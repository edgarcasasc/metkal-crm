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Gráfico1" sheetId="1" r:id="rId5"/>
    <sheet name="CALCULOS" sheetId="2" r:id="rId6"/>
    <sheet name="Certificado" sheetId="3" r:id="rId7"/>
    <sheet name="Resultados I" sheetId="4" r:id="rId8"/>
    <sheet name="Anexo II" sheetId="5" r:id="rId9"/>
    <sheet name="ETIQUETA" sheetId="6" r:id="rId10"/>
    <sheet name="Clase" sheetId="7" r:id="rId11"/>
    <sheet name="Pesas" sheetId="8" r:id="rId12"/>
  </sheets>
</workbook>
</file>

<file path=xl/comments1.xml><?xml version="1.0" encoding="utf-8"?>
<comments xmlns="http://schemas.openxmlformats.org/spreadsheetml/2006/main">
  <authors>
    <author>Metkal</author>
  </authors>
  <commentList>
    <comment ref="H86" authorId="0">
      <text>
        <r>
          <rPr>
            <sz val="11"/>
            <color indexed="8"/>
            <rFont val="Helvetica Neue"/>
          </rPr>
          <t>Metkal:
Sólo colocar la corrección.</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<sst xmlns="http://schemas.openxmlformats.org/spreadsheetml/2006/main" uniqueCount="415">
  <si>
    <t>Cálculos e incertidumbres</t>
  </si>
  <si>
    <t>copiar del consecutivo</t>
  </si>
  <si>
    <t>Las áreas en amarillo indican las que deben ser editadas</t>
  </si>
  <si>
    <r>
      <rPr>
        <sz val="11"/>
        <color indexed="8"/>
        <rFont val="Times New Roman"/>
      </rPr>
      <t>Las áreas en gris indican que</t>
    </r>
    <r>
      <rPr>
        <b val="1"/>
        <sz val="11"/>
        <color indexed="8"/>
        <rFont val="Times New Roman"/>
      </rPr>
      <t xml:space="preserve"> </t>
    </r>
    <r>
      <rPr>
        <b val="1"/>
        <sz val="11"/>
        <color indexed="20"/>
        <rFont val="Times New Roman"/>
      </rPr>
      <t>NO</t>
    </r>
    <r>
      <rPr>
        <sz val="11"/>
        <color indexed="8"/>
        <rFont val="Times New Roman"/>
      </rPr>
      <t xml:space="preserve"> deben ser editadas</t>
    </r>
  </si>
  <si>
    <t>Informe</t>
  </si>
  <si>
    <t>cliente</t>
  </si>
  <si>
    <t>Dirección</t>
  </si>
  <si>
    <t>Ciudad</t>
  </si>
  <si>
    <t>Instrumento</t>
  </si>
  <si>
    <t xml:space="preserve">Alcance </t>
  </si>
  <si>
    <t xml:space="preserve">Marca </t>
  </si>
  <si>
    <t>Modelo</t>
  </si>
  <si>
    <t>Serie</t>
  </si>
  <si>
    <t>Identificación</t>
  </si>
  <si>
    <t>Recepción</t>
  </si>
  <si>
    <t xml:space="preserve">Fecha </t>
  </si>
  <si>
    <t>Vence</t>
  </si>
  <si>
    <t>Condición</t>
  </si>
  <si>
    <r>
      <rPr>
        <sz val="10"/>
        <color indexed="8"/>
        <rFont val="Times New Roman"/>
      </rPr>
      <t>M-MK-0497/26</t>
    </r>
  </si>
  <si>
    <r>
      <rPr>
        <sz val="10"/>
        <color indexed="8"/>
        <rFont val="Times New Roman"/>
      </rPr>
      <t>BALANZA DIGITAL DE 1 220 g</t>
    </r>
  </si>
  <si>
    <t>1200 g</t>
  </si>
  <si>
    <r>
      <rPr>
        <sz val="10"/>
        <color indexed="8"/>
        <rFont val="Times New Roman"/>
      </rPr>
      <t>AND</t>
    </r>
  </si>
  <si>
    <r>
      <rPr>
        <sz val="10"/>
        <color indexed="8"/>
        <rFont val="Times New Roman"/>
      </rPr>
      <t>GF-1202A</t>
    </r>
  </si>
  <si>
    <t>P3000164</t>
  </si>
  <si>
    <t>EBASG018</t>
  </si>
  <si>
    <t>Laura Gutierrez      laura.gutierrez@csiclosures.com</t>
  </si>
  <si>
    <t>vencido</t>
  </si>
  <si>
    <t>SAAV</t>
  </si>
  <si>
    <t>C</t>
  </si>
  <si>
    <t>Condiciones ambientales y carácterísticas de los equipos</t>
  </si>
  <si>
    <t>Vigencia</t>
  </si>
  <si>
    <t>Instrumentos patrón utilizados</t>
  </si>
  <si>
    <t>Meses</t>
  </si>
  <si>
    <t>Magnitud</t>
  </si>
  <si>
    <t>Valor inicial</t>
  </si>
  <si>
    <t>Valor final</t>
  </si>
  <si>
    <t>División mínima del instrumento (d)</t>
  </si>
  <si>
    <t>Corrección del instrumento</t>
  </si>
  <si>
    <t>Incertidumbre del       instrumento          (k = 1)</t>
  </si>
  <si>
    <t>Unidades</t>
  </si>
  <si>
    <t>Condiciones ambientales promedio</t>
  </si>
  <si>
    <t>Descripción del patrón utilizado.</t>
  </si>
  <si>
    <t>Alcance de medición</t>
  </si>
  <si>
    <t>ID</t>
  </si>
  <si>
    <t>No. de informe</t>
  </si>
  <si>
    <t xml:space="preserve">Vigencia </t>
  </si>
  <si>
    <t>T. Ambiental promedio:</t>
  </si>
  <si>
    <t>⁰C</t>
  </si>
  <si>
    <t>Juego de pesas Patrón</t>
  </si>
  <si>
    <t>20 kg a 1 000 kg</t>
  </si>
  <si>
    <t>MK-040</t>
  </si>
  <si>
    <t>M-MK-0008/25</t>
  </si>
  <si>
    <t>H. relativa promedio:</t>
  </si>
  <si>
    <t>%</t>
  </si>
  <si>
    <t>Juego de pesas Clase: E2</t>
  </si>
  <si>
    <t>1 mg a 5 kg</t>
  </si>
  <si>
    <t>MK-043</t>
  </si>
  <si>
    <t>5-26239</t>
  </si>
  <si>
    <t>Temp. Ambiental</t>
  </si>
  <si>
    <t>°C</t>
  </si>
  <si>
    <t>P. barometrica promedio:</t>
  </si>
  <si>
    <t>hPa</t>
  </si>
  <si>
    <t>Pesas Cilíndricas Clase: F1</t>
  </si>
  <si>
    <t>10 kg</t>
  </si>
  <si>
    <t>MK-044</t>
  </si>
  <si>
    <t>5-26240</t>
  </si>
  <si>
    <t>H. relativa</t>
  </si>
  <si>
    <t>Temperatura de las pesas:</t>
  </si>
  <si>
    <t>Presión</t>
  </si>
  <si>
    <t>Densidad de las pesas:</t>
  </si>
  <si>
    <t>7 950</t>
  </si>
  <si>
    <r>
      <rPr>
        <sz val="10"/>
        <color indexed="8"/>
        <rFont val="Times New Roman"/>
      </rPr>
      <t>kg/m</t>
    </r>
    <r>
      <rPr>
        <vertAlign val="superscript"/>
        <sz val="9"/>
        <color indexed="8"/>
        <rFont val="Times New Roman"/>
      </rPr>
      <t>3</t>
    </r>
  </si>
  <si>
    <r>
      <rPr>
        <b val="1"/>
        <sz val="10"/>
        <color indexed="8"/>
        <rFont val="Times New Roman"/>
      </rPr>
      <t>DT</t>
    </r>
    <r>
      <rPr>
        <b val="1"/>
        <vertAlign val="subscript"/>
        <sz val="10"/>
        <color indexed="8"/>
        <rFont val="Times New Roman"/>
      </rPr>
      <t>CONV</t>
    </r>
  </si>
  <si>
    <t>Datos de portada</t>
  </si>
  <si>
    <t>revisar</t>
  </si>
  <si>
    <t>Tiempo de estabilización</t>
  </si>
  <si>
    <t>Carga</t>
  </si>
  <si>
    <t>UNIDADES:</t>
  </si>
  <si>
    <t xml:space="preserve">                t</t>
  </si>
  <si>
    <t>n</t>
  </si>
  <si>
    <r>
      <rPr>
        <b val="1"/>
        <sz val="10"/>
        <color indexed="8"/>
        <rFont val="Times New Roman"/>
      </rPr>
      <t>g</t>
    </r>
  </si>
  <si>
    <t>s</t>
  </si>
  <si>
    <t>Clase:</t>
  </si>
  <si>
    <t>Especial</t>
  </si>
  <si>
    <t>Div. Mínimas:</t>
  </si>
  <si>
    <t>e</t>
  </si>
  <si>
    <t>g</t>
  </si>
  <si>
    <t>Tiempo max</t>
  </si>
  <si>
    <t>Resolución del instrumento d:</t>
  </si>
  <si>
    <t>e:</t>
  </si>
  <si>
    <t>Prueba de carga excéntrica ( 1/3 a 1/2 de MAX )</t>
  </si>
  <si>
    <t>Carga de prueba:</t>
  </si>
  <si>
    <t>Prueba de repetibilidad ( carga total entre el 50 %)</t>
  </si>
  <si>
    <t>Prueba de repetibilidad ( carga total entre el 100 %)</t>
  </si>
  <si>
    <t>Posición</t>
  </si>
  <si>
    <r>
      <rPr>
        <b val="1"/>
        <sz val="10"/>
        <color indexed="8"/>
        <rFont val="Times New Roman"/>
      </rPr>
      <t>I</t>
    </r>
    <r>
      <rPr>
        <b val="1"/>
        <vertAlign val="subscript"/>
        <sz val="10"/>
        <color indexed="8"/>
        <rFont val="Times New Roman"/>
      </rPr>
      <t>L</t>
    </r>
  </si>
  <si>
    <r>
      <rPr>
        <b val="1"/>
        <sz val="10"/>
        <color indexed="8"/>
        <rFont val="Times New Roman"/>
      </rPr>
      <t>dI</t>
    </r>
    <r>
      <rPr>
        <b val="1"/>
        <vertAlign val="subscript"/>
        <sz val="10"/>
        <color indexed="8"/>
        <rFont val="Times New Roman"/>
      </rPr>
      <t>ecc</t>
    </r>
  </si>
  <si>
    <r>
      <rPr>
        <b val="1"/>
        <sz val="10"/>
        <color indexed="8"/>
        <rFont val="Times New Roman"/>
      </rPr>
      <t>IdI</t>
    </r>
    <r>
      <rPr>
        <b val="1"/>
        <vertAlign val="subscript"/>
        <sz val="10"/>
        <color indexed="8"/>
        <rFont val="Times New Roman"/>
      </rPr>
      <t>ecc</t>
    </r>
    <r>
      <rPr>
        <b val="1"/>
        <sz val="10"/>
        <color indexed="8"/>
        <rFont val="Times New Roman"/>
      </rPr>
      <t>I</t>
    </r>
  </si>
  <si>
    <r>
      <rPr>
        <sz val="10"/>
        <color indexed="8"/>
        <rFont val="Times New Roman"/>
      </rPr>
      <t>g</t>
    </r>
  </si>
  <si>
    <t>Numero de prueba</t>
  </si>
  <si>
    <r>
      <rPr>
        <b val="1"/>
        <sz val="10"/>
        <color indexed="8"/>
        <rFont val="Times New Roman"/>
      </rPr>
      <t>I</t>
    </r>
    <r>
      <rPr>
        <b val="1"/>
        <vertAlign val="subscript"/>
        <sz val="10"/>
        <color indexed="8"/>
        <rFont val="Times New Roman"/>
      </rPr>
      <t>0</t>
    </r>
  </si>
  <si>
    <t>Efecto de carga excentrica:</t>
  </si>
  <si>
    <t>u (ecc)=</t>
  </si>
  <si>
    <t>Relativo</t>
  </si>
  <si>
    <t>s=</t>
  </si>
  <si>
    <t>Nota:</t>
  </si>
  <si>
    <t>Antes de realizar la prueba la indicacion se ajusta a cero</t>
  </si>
  <si>
    <t>la carga se aplicara por lo menos 5 veces y al menos 3 veces</t>
  </si>
  <si>
    <t xml:space="preserve"> cuando L ≥ 100 kg</t>
  </si>
  <si>
    <t>u(rep)</t>
  </si>
  <si>
    <t>Tabla de incertidumbres</t>
  </si>
  <si>
    <t>Prueba de exactitud acendente</t>
  </si>
  <si>
    <t xml:space="preserve">Masa convencional </t>
  </si>
  <si>
    <t xml:space="preserve">Error máximo </t>
  </si>
  <si>
    <t>Repetibilidad</t>
  </si>
  <si>
    <t>Masa conv.</t>
  </si>
  <si>
    <t>Deriva pesas</t>
  </si>
  <si>
    <t>Indicacion sin carga</t>
  </si>
  <si>
    <t>Indicacion con carga</t>
  </si>
  <si>
    <t>Empuje del aire</t>
  </si>
  <si>
    <t>Convección</t>
  </si>
  <si>
    <t>Carga excentrica</t>
  </si>
  <si>
    <t>Error</t>
  </si>
  <si>
    <t>u comb.</t>
  </si>
  <si>
    <t>U k=2</t>
  </si>
  <si>
    <r>
      <rPr>
        <b val="1"/>
        <sz val="11"/>
        <color indexed="8"/>
        <rFont val="Times New Roman"/>
      </rPr>
      <t>I</t>
    </r>
    <r>
      <rPr>
        <b val="1"/>
        <vertAlign val="subscript"/>
        <sz val="11"/>
        <color indexed="8"/>
        <rFont val="Times New Roman"/>
      </rPr>
      <t>0</t>
    </r>
  </si>
  <si>
    <t>del patron (dmc)</t>
  </si>
  <si>
    <t>tolerado</t>
  </si>
  <si>
    <t>Div. Minimas</t>
  </si>
  <si>
    <t xml:space="preserve">Σu(dmc) k=1 </t>
  </si>
  <si>
    <t>Nominal</t>
  </si>
  <si>
    <t>kg</t>
  </si>
  <si>
    <t xml:space="preserve">Juego de pesas </t>
  </si>
  <si>
    <t>Inc. por Deriva de la msa guia euromet cg-18</t>
  </si>
  <si>
    <t>F1</t>
  </si>
  <si>
    <t>Corrección e incertidumbre por convección</t>
  </si>
  <si>
    <t>Cambio  en kg para pesas patrón, para diferencias de temperatura seleccionadas (convección)</t>
  </si>
  <si>
    <t>Valor nominal</t>
  </si>
  <si>
    <t>Masa convencional</t>
  </si>
  <si>
    <t>EMT</t>
  </si>
  <si>
    <r>
      <rPr>
        <b val="1"/>
        <sz val="10"/>
        <color indexed="8"/>
        <rFont val="Times New Roman"/>
      </rPr>
      <t>u(dm</t>
    </r>
    <r>
      <rPr>
        <b val="1"/>
        <vertAlign val="subscript"/>
        <sz val="10"/>
        <color indexed="8"/>
        <rFont val="Times New Roman"/>
      </rPr>
      <t>c</t>
    </r>
    <r>
      <rPr>
        <b val="1"/>
        <sz val="10"/>
        <color indexed="8"/>
        <rFont val="Times New Roman"/>
      </rPr>
      <t xml:space="preserve">) k=1 </t>
    </r>
  </si>
  <si>
    <t>EMT/3*RAIZ(3)  u(dmD)</t>
  </si>
  <si>
    <t>Dt C°</t>
  </si>
  <si>
    <t xml:space="preserve">u (dmconv) </t>
  </si>
  <si>
    <t>m en kg</t>
  </si>
  <si>
    <t>Dt en grados Celsius</t>
  </si>
  <si>
    <t xml:space="preserve">± kg </t>
  </si>
  <si>
    <t xml:space="preserve">± Kg   </t>
  </si>
  <si>
    <r>
      <rPr>
        <b val="1"/>
        <sz val="8"/>
        <color indexed="8"/>
        <rFont val="Times New Roman"/>
      </rPr>
      <t>g</t>
    </r>
  </si>
  <si>
    <t>c</t>
  </si>
  <si>
    <r>
      <rPr>
        <b val="1"/>
        <sz val="10"/>
        <color indexed="8"/>
        <rFont val="Times New Roman"/>
      </rPr>
      <t>c</t>
    </r>
  </si>
  <si>
    <t>Deriva de la msa guia euromet g-18</t>
  </si>
  <si>
    <t>M1</t>
  </si>
  <si>
    <t>//**--A39</t>
  </si>
  <si>
    <t>u (dmB)</t>
  </si>
  <si>
    <t>M-MK-0497/26</t>
  </si>
  <si>
    <t>BALANZA DIGITAL DE 1 220 g</t>
  </si>
  <si>
    <t>AND</t>
  </si>
  <si>
    <t>GF-1202A</t>
  </si>
  <si>
    <t>T2118597</t>
  </si>
  <si>
    <t>RBD-048</t>
  </si>
  <si>
    <t>RECICLADORA INDUSTRIAL DE ACUMULADORES, S.A. DE C.V.</t>
  </si>
  <si>
    <t xml:space="preserve">CARRETERA A GARCIA KM.1.2 S/N CP. 66350 </t>
  </si>
  <si>
    <t xml:space="preserve">SANTA CATARINA </t>
  </si>
  <si>
    <t>NUEVO LEÓN</t>
  </si>
  <si>
    <r>
      <rPr>
        <b val="1"/>
        <sz val="19"/>
        <color indexed="8"/>
        <rFont val="Century Gothic"/>
      </rPr>
      <t xml:space="preserve">CERTIFICADO DE CALIBRACIÓN  </t>
    </r>
    <r>
      <rPr>
        <sz val="19"/>
        <color indexed="8"/>
        <rFont val="Century Gothic"/>
      </rPr>
      <t>(CALIBRATION CERTIFICATE)</t>
    </r>
  </si>
  <si>
    <r>
      <rPr>
        <b val="1"/>
        <sz val="10"/>
        <color indexed="8"/>
        <rFont val="Century Gothic"/>
      </rPr>
      <t xml:space="preserve">  No. de certificado: </t>
    </r>
    <r>
      <rPr>
        <sz val="10"/>
        <color indexed="8"/>
        <rFont val="Century Gothic"/>
      </rPr>
      <t xml:space="preserve">   (Certificate number)</t>
    </r>
  </si>
  <si>
    <r>
      <rPr>
        <b val="1"/>
        <sz val="14"/>
        <color indexed="8"/>
        <rFont val="Century Gothic"/>
      </rPr>
      <t>M-MK-0497/26</t>
    </r>
  </si>
  <si>
    <r>
      <rPr>
        <b val="1"/>
        <sz val="10"/>
        <color indexed="8"/>
        <rFont val="Century Gothic"/>
      </rPr>
      <t>Datos del cliente</t>
    </r>
    <r>
      <rPr>
        <sz val="10"/>
        <color indexed="8"/>
        <rFont val="Century Gothic"/>
      </rPr>
      <t xml:space="preserve">: </t>
    </r>
    <r>
      <rPr>
        <sz val="9"/>
        <color indexed="8"/>
        <rFont val="Century Gothic"/>
      </rPr>
      <t xml:space="preserve">( </t>
    </r>
    <r>
      <rPr>
        <i val="1"/>
        <sz val="9"/>
        <color indexed="8"/>
        <rFont val="Century Gothic"/>
      </rPr>
      <t>Customer )</t>
    </r>
  </si>
  <si>
    <r>
      <rPr>
        <b val="1"/>
        <sz val="10"/>
        <color indexed="8"/>
        <rFont val="Century Gothic"/>
      </rPr>
      <t xml:space="preserve">Fecha de calibración: </t>
    </r>
    <r>
      <rPr>
        <sz val="10"/>
        <color indexed="8"/>
        <rFont val="Century Gothic"/>
      </rPr>
      <t xml:space="preserve">
</t>
    </r>
    <r>
      <rPr>
        <i val="1"/>
        <sz val="8"/>
        <color indexed="8"/>
        <rFont val="Century Gothic"/>
      </rPr>
      <t>(Calibration date)</t>
    </r>
  </si>
  <si>
    <r>
      <rPr>
        <b val="1"/>
        <sz val="10"/>
        <color indexed="8"/>
        <rFont val="Century Gothic"/>
      </rPr>
      <t>Nombre:</t>
    </r>
    <r>
      <rPr>
        <sz val="10"/>
        <color indexed="8"/>
        <rFont val="Century Gothic"/>
      </rPr>
      <t xml:space="preserve">
</t>
    </r>
    <r>
      <rPr>
        <i val="1"/>
        <sz val="8"/>
        <color indexed="8"/>
        <rFont val="Century Gothic"/>
      </rPr>
      <t>(Name)</t>
    </r>
  </si>
  <si>
    <r>
      <rPr>
        <sz val="10"/>
        <color indexed="8"/>
        <rFont val="Century Gothic"/>
      </rPr>
      <t>RECICLADORA INDUSTRIAL DE ACUMULADORES, S.A. DE C.V.</t>
    </r>
  </si>
  <si>
    <r>
      <rPr>
        <b val="1"/>
        <sz val="10"/>
        <color indexed="8"/>
        <rFont val="Century Gothic"/>
      </rPr>
      <t xml:space="preserve">Fecha de emisión: </t>
    </r>
    <r>
      <rPr>
        <sz val="10"/>
        <color indexed="8"/>
        <rFont val="Century Gothic"/>
      </rPr>
      <t xml:space="preserve">
</t>
    </r>
    <r>
      <rPr>
        <i val="1"/>
        <sz val="8"/>
        <color indexed="8"/>
        <rFont val="Century Gothic"/>
      </rPr>
      <t>(Date issued)</t>
    </r>
  </si>
  <si>
    <r>
      <rPr>
        <b val="1"/>
        <sz val="10"/>
        <color indexed="8"/>
        <rFont val="Century Gothic"/>
      </rPr>
      <t>Domicilio:</t>
    </r>
    <r>
      <rPr>
        <b val="1"/>
        <sz val="8"/>
        <color indexed="8"/>
        <rFont val="Century Gothic"/>
      </rPr>
      <t xml:space="preserve"> </t>
    </r>
    <r>
      <rPr>
        <sz val="8"/>
        <color indexed="8"/>
        <rFont val="Century Gothic"/>
      </rPr>
      <t xml:space="preserve">
</t>
    </r>
    <r>
      <rPr>
        <i val="1"/>
        <sz val="8"/>
        <color indexed="8"/>
        <rFont val="Century Gothic"/>
      </rPr>
      <t>(Address)</t>
    </r>
  </si>
  <si>
    <r>
      <rPr>
        <sz val="10"/>
        <color indexed="8"/>
        <rFont val="Century Gothic"/>
      </rPr>
      <t xml:space="preserve">CARRETERA A GARCIA KM.1.2 S/N CP. 66350 </t>
    </r>
  </si>
  <si>
    <r>
      <rPr>
        <b val="1"/>
        <sz val="10"/>
        <color indexed="8"/>
        <rFont val="Century Gothic"/>
      </rPr>
      <t>Vigencia solicitada:</t>
    </r>
    <r>
      <rPr>
        <sz val="10"/>
        <color indexed="8"/>
        <rFont val="Century Gothic"/>
      </rPr>
      <t xml:space="preserve">  </t>
    </r>
    <r>
      <rPr>
        <i val="1"/>
        <sz val="10"/>
        <color indexed="8"/>
        <rFont val="Century Gothic"/>
      </rPr>
      <t>(Due date required)</t>
    </r>
  </si>
  <si>
    <r>
      <rPr>
        <sz val="10"/>
        <color indexed="8"/>
        <rFont val="Century Gothic"/>
      </rPr>
      <t>SANTA CATARINA , NUEVO LEÓN</t>
    </r>
  </si>
  <si>
    <r>
      <rPr>
        <b val="1"/>
        <sz val="10"/>
        <color indexed="8"/>
        <rFont val="Century Gothic"/>
      </rPr>
      <t>Fecha de recepcion:</t>
    </r>
    <r>
      <rPr>
        <sz val="10"/>
        <color indexed="8"/>
        <rFont val="Century Gothic"/>
      </rPr>
      <t xml:space="preserve">  </t>
    </r>
    <r>
      <rPr>
        <i val="1"/>
        <sz val="10"/>
        <color indexed="8"/>
        <rFont val="Century Gothic"/>
      </rPr>
      <t>(Reception date)</t>
    </r>
  </si>
  <si>
    <t>Página (Page):</t>
  </si>
  <si>
    <t>1 de 2</t>
  </si>
  <si>
    <r>
      <rPr>
        <b val="1"/>
        <sz val="10"/>
        <color indexed="8"/>
        <rFont val="Century Gothic"/>
      </rPr>
      <t>Descripción del Instrumento:</t>
    </r>
    <r>
      <rPr>
        <i val="1"/>
        <sz val="8"/>
        <color indexed="8"/>
        <rFont val="Century Gothic"/>
      </rPr>
      <t xml:space="preserve"> (Instrument description)</t>
    </r>
  </si>
  <si>
    <t>Lugar de la calibración:</t>
  </si>
  <si>
    <t>INSTALACIONES DEL CLIENTE</t>
  </si>
  <si>
    <t>Instrumento :</t>
  </si>
  <si>
    <r>
      <rPr>
        <sz val="10"/>
        <color indexed="8"/>
        <rFont val="Century Gothic"/>
      </rPr>
      <t>BALANZA DIGITAL DE 1 220 g</t>
    </r>
  </si>
  <si>
    <t>(Instrument)</t>
  </si>
  <si>
    <t>Temperatura :</t>
  </si>
  <si>
    <t>Marca:</t>
  </si>
  <si>
    <r>
      <rPr>
        <sz val="10"/>
        <color indexed="8"/>
        <rFont val="Century Gothic"/>
      </rPr>
      <t>AND</t>
    </r>
  </si>
  <si>
    <t>(Temperature)</t>
  </si>
  <si>
    <t>(Manufacturer)</t>
  </si>
  <si>
    <t>Humedad Relativa :</t>
  </si>
  <si>
    <t>Modelo:</t>
  </si>
  <si>
    <r>
      <rPr>
        <sz val="10"/>
        <color indexed="8"/>
        <rFont val="Century Gothic"/>
      </rPr>
      <t>GF-1202A</t>
    </r>
  </si>
  <si>
    <t>(Relative Humidity)</t>
  </si>
  <si>
    <t>(Model)</t>
  </si>
  <si>
    <t>No. serie:</t>
  </si>
  <si>
    <r>
      <rPr>
        <sz val="10"/>
        <color indexed="8"/>
        <rFont val="Century Gothic"/>
      </rPr>
      <t>T2118597</t>
    </r>
  </si>
  <si>
    <t>(Serial number)</t>
  </si>
  <si>
    <t>ID Interno:</t>
  </si>
  <si>
    <r>
      <rPr>
        <sz val="10"/>
        <color indexed="8"/>
        <rFont val="Century Gothic"/>
      </rPr>
      <t>RBD-048</t>
    </r>
  </si>
  <si>
    <t>(Customer ID)</t>
  </si>
  <si>
    <t>Intervalo :</t>
  </si>
  <si>
    <r>
      <rPr>
        <sz val="10"/>
        <color indexed="8"/>
        <rFont val="Century Gothic"/>
      </rPr>
      <t>g</t>
    </r>
  </si>
  <si>
    <t>(Range)</t>
  </si>
  <si>
    <t>Resolución:</t>
  </si>
  <si>
    <t>(Resolution)</t>
  </si>
  <si>
    <t xml:space="preserve">El  laboratorio  de  calibraciones  cuenta  con  un  sistema  de  Gestión de Procesos basado en: </t>
  </si>
  <si>
    <t>ISO/IEC 17025:2017</t>
  </si>
  <si>
    <t>Requisitos  generales  para  la competencia  de los  laboratorios  de  ensayo  y  de  calibración.</t>
  </si>
  <si>
    <t>Procedimiento    utilizado</t>
  </si>
  <si>
    <t>7.2M1</t>
  </si>
  <si>
    <t>Método:</t>
  </si>
  <si>
    <t>Comparación directa</t>
  </si>
  <si>
    <t>(Procedure used)</t>
  </si>
  <si>
    <t>(Method)</t>
  </si>
  <si>
    <r>
      <rPr>
        <b val="1"/>
        <sz val="10"/>
        <color indexed="8"/>
        <rFont val="Century Gothic"/>
      </rPr>
      <t xml:space="preserve">Trazabilidad Metrologica </t>
    </r>
    <r>
      <rPr>
        <i val="1"/>
        <sz val="8"/>
        <color indexed="8"/>
        <rFont val="Century Gothic"/>
      </rPr>
      <t>(Metrological Traceability)</t>
    </r>
  </si>
  <si>
    <t>Descripción del patrón</t>
  </si>
  <si>
    <t xml:space="preserve">Certificado / Informe                </t>
  </si>
  <si>
    <r>
      <rPr>
        <b val="1"/>
        <sz val="8"/>
        <color indexed="8"/>
        <rFont val="Century Gothic"/>
      </rPr>
      <t xml:space="preserve">Vigencia          </t>
    </r>
    <r>
      <rPr>
        <sz val="8"/>
        <color indexed="8"/>
        <rFont val="Century Gothic"/>
      </rPr>
      <t xml:space="preserve">  </t>
    </r>
  </si>
  <si>
    <t xml:space="preserve">ID interno          </t>
  </si>
  <si>
    <t>Intervalo</t>
  </si>
  <si>
    <t>(Description)</t>
  </si>
  <si>
    <t xml:space="preserve"> (Certificate number)</t>
  </si>
  <si>
    <t>(Validity)</t>
  </si>
  <si>
    <t>(Internal ID)</t>
  </si>
  <si>
    <r>
      <rPr>
        <sz val="10"/>
        <color indexed="8"/>
        <rFont val="Century Gothic"/>
      </rPr>
      <t>Juego de pesas Clase: E2</t>
    </r>
  </si>
  <si>
    <r>
      <rPr>
        <sz val="10"/>
        <color indexed="8"/>
        <rFont val="Century Gothic"/>
      </rPr>
      <t>5-26239</t>
    </r>
  </si>
  <si>
    <r>
      <rPr>
        <sz val="10"/>
        <color indexed="8"/>
        <rFont val="Century Gothic"/>
      </rPr>
      <t>MK-043</t>
    </r>
  </si>
  <si>
    <r>
      <rPr>
        <sz val="10"/>
        <color indexed="8"/>
        <rFont val="Century Gothic"/>
      </rPr>
      <t>1 mg a 5 kg</t>
    </r>
  </si>
  <si>
    <r>
      <rPr>
        <sz val="9"/>
        <color indexed="8"/>
        <rFont val="Century Gothic"/>
      </rPr>
      <t>1 mg a 5 kg</t>
    </r>
  </si>
  <si>
    <t>Nota: La incertidumbre de los patrones es acorde a 1/3 del EMT, siendo clasificadas OIML</t>
  </si>
  <si>
    <t>Calibró:</t>
  </si>
  <si>
    <t>Daniel A. Solorio Gallegos</t>
  </si>
  <si>
    <t>Firma</t>
  </si>
  <si>
    <t>(Calibrated by:)</t>
  </si>
  <si>
    <t>Ingeniero de Servicio</t>
  </si>
  <si>
    <t>(Signature)</t>
  </si>
  <si>
    <t>Aprobó:</t>
  </si>
  <si>
    <t>Sergio Garza Rangel</t>
  </si>
  <si>
    <t>(Approved by:)</t>
  </si>
  <si>
    <t>Director Administrativo</t>
  </si>
  <si>
    <r>
      <rPr>
        <sz val="10"/>
        <color indexed="8"/>
        <rFont val="Century Gothic"/>
      </rPr>
      <t xml:space="preserve">   No. de certificado:
</t>
    </r>
    <r>
      <rPr>
        <i val="1"/>
        <sz val="8"/>
        <color indexed="8"/>
        <rFont val="Century Gothic"/>
      </rPr>
      <t xml:space="preserve">   (Calibration number)</t>
    </r>
  </si>
  <si>
    <t xml:space="preserve">CERTIFICADO DE CALIBRACIÓN
(CALIBRATION CERTIFICATE)
</t>
  </si>
  <si>
    <r>
      <rPr>
        <sz val="10"/>
        <color indexed="8"/>
        <rFont val="Century Gothic"/>
      </rPr>
      <t xml:space="preserve">   Fecha de calibración:
</t>
    </r>
    <r>
      <rPr>
        <i val="1"/>
        <sz val="8"/>
        <color indexed="8"/>
        <rFont val="Century Gothic"/>
      </rPr>
      <t xml:space="preserve">   (Calibration date)</t>
    </r>
  </si>
  <si>
    <r>
      <rPr>
        <sz val="10"/>
        <color indexed="8"/>
        <rFont val="Century Gothic"/>
      </rPr>
      <t xml:space="preserve">   Fecha de emision:
</t>
    </r>
    <r>
      <rPr>
        <i val="1"/>
        <sz val="8"/>
        <color indexed="8"/>
        <rFont val="Century Gothic"/>
      </rPr>
      <t xml:space="preserve">   (Issued date)</t>
    </r>
  </si>
  <si>
    <r>
      <rPr>
        <sz val="10"/>
        <color indexed="8"/>
        <rFont val="Century Gothic"/>
      </rPr>
      <t xml:space="preserve">   Página:
</t>
    </r>
    <r>
      <rPr>
        <i val="1"/>
        <sz val="8"/>
        <color indexed="8"/>
        <rFont val="Century Gothic"/>
      </rPr>
      <t xml:space="preserve">   (Page)</t>
    </r>
  </si>
  <si>
    <t>2 de 2</t>
  </si>
  <si>
    <t>Prueba de carga excentrica</t>
  </si>
  <si>
    <t>Prueba de Repetibilidad</t>
  </si>
  <si>
    <t>Indicación</t>
  </si>
  <si>
    <t>Posición del receptor de carga</t>
  </si>
  <si>
    <t xml:space="preserve">Carga   </t>
  </si>
  <si>
    <t xml:space="preserve">Desviación estandar </t>
  </si>
  <si>
    <t>Zona</t>
  </si>
  <si>
    <t>Frente</t>
  </si>
  <si>
    <t>Efecto de carga excentrica</t>
  </si>
  <si>
    <t>Error de Indicacion</t>
  </si>
  <si>
    <t>Carga
Nominal</t>
  </si>
  <si>
    <t>Error de Indicación</t>
  </si>
  <si>
    <t>Incertidumbre expandida k=2</t>
  </si>
  <si>
    <t>Gráfica de error de indicación</t>
  </si>
  <si>
    <r>
      <rPr>
        <b val="1"/>
        <sz val="9"/>
        <color indexed="8"/>
        <rFont val="Times New Roman"/>
      </rPr>
      <t>g</t>
    </r>
  </si>
  <si>
    <t xml:space="preserve"> No cumple</t>
  </si>
  <si>
    <t>Incertidumbre expandida</t>
  </si>
  <si>
    <t>Error de indicación</t>
  </si>
  <si>
    <t>Carga Excentrica</t>
  </si>
  <si>
    <t>Prueba de repetibilidad</t>
  </si>
  <si>
    <t>Prueba de exactitud</t>
  </si>
  <si>
    <r>
      <rPr>
        <b val="1"/>
        <sz val="10"/>
        <color indexed="8"/>
        <rFont val="Times New Roman"/>
      </rPr>
      <t xml:space="preserve">Nota: </t>
    </r>
    <r>
      <rPr>
        <sz val="10"/>
        <color indexed="8"/>
        <rFont val="Times New Roman"/>
      </rPr>
      <t>El equipo cumple de acuerdo con las especificaciones del fabricante.</t>
    </r>
  </si>
  <si>
    <t>CALIBRADO</t>
  </si>
  <si>
    <t>CERTIFICADO:</t>
  </si>
  <si>
    <r>
      <rPr>
        <b val="1"/>
        <sz val="28"/>
        <color indexed="8"/>
        <rFont val="Tahoma"/>
      </rPr>
      <t>M-MK-0497/26</t>
    </r>
  </si>
  <si>
    <t xml:space="preserve"> Fecha de calibración:</t>
  </si>
  <si>
    <t xml:space="preserve"> Vigencia de cliente:</t>
  </si>
  <si>
    <t xml:space="preserve"> ID:</t>
  </si>
  <si>
    <r>
      <rPr>
        <b val="1"/>
        <sz val="28"/>
        <color indexed="8"/>
        <rFont val="Tahoma"/>
      </rPr>
      <t>RBD-048</t>
    </r>
  </si>
  <si>
    <t>Metkal</t>
  </si>
  <si>
    <t>MK-ET-01</t>
  </si>
  <si>
    <t>CLASIFICACIÓN DE LOS INSTRUMENTOS PARA PESAR</t>
  </si>
  <si>
    <t>ERRORES MAXIMOS TOLERADOS DE LOS INSTRUMENTOS PARA PESAR EN PRUEBAS INICIALES</t>
  </si>
  <si>
    <t xml:space="preserve">Especial </t>
  </si>
  <si>
    <t>Errores máximos</t>
  </si>
  <si>
    <t xml:space="preserve">                             Para cargas m  expresadas en escalones de verificación (e)</t>
  </si>
  <si>
    <t xml:space="preserve">    &gt; 100 000</t>
  </si>
  <si>
    <t xml:space="preserve">        I</t>
  </si>
  <si>
    <t>permitidos</t>
  </si>
  <si>
    <t>I</t>
  </si>
  <si>
    <t>I I</t>
  </si>
  <si>
    <t>I I I</t>
  </si>
  <si>
    <t>I I I I</t>
  </si>
  <si>
    <t>± 0,5 e</t>
  </si>
  <si>
    <r>
      <rPr>
        <sz val="10"/>
        <color indexed="8"/>
        <rFont val="Arial"/>
      </rPr>
      <t xml:space="preserve">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50 000</t>
    </r>
  </si>
  <si>
    <r>
      <rPr>
        <sz val="10"/>
        <color indexed="8"/>
        <rFont val="Arial"/>
      </rPr>
      <t xml:space="preserve">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5 000</t>
    </r>
  </si>
  <si>
    <r>
      <rPr>
        <sz val="10"/>
        <color indexed="8"/>
        <rFont val="Arial"/>
      </rPr>
      <t xml:space="preserve">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500</t>
    </r>
  </si>
  <si>
    <r>
      <rPr>
        <sz val="10"/>
        <color indexed="8"/>
        <rFont val="Arial"/>
      </rPr>
      <t xml:space="preserve">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50</t>
    </r>
  </si>
  <si>
    <t xml:space="preserve">   100 000 </t>
  </si>
  <si>
    <t>± 1 e</t>
  </si>
  <si>
    <r>
      <rPr>
        <sz val="10"/>
        <color indexed="8"/>
        <rFont val="Arial"/>
      </rPr>
      <t xml:space="preserve">50 000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200 000</t>
    </r>
  </si>
  <si>
    <r>
      <rPr>
        <sz val="10"/>
        <color indexed="8"/>
        <rFont val="Arial"/>
      </rPr>
      <t xml:space="preserve">5 000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20 000</t>
    </r>
  </si>
  <si>
    <r>
      <rPr>
        <sz val="10"/>
        <color indexed="8"/>
        <rFont val="Arial"/>
      </rPr>
      <t xml:space="preserve">500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2 000</t>
    </r>
  </si>
  <si>
    <r>
      <rPr>
        <sz val="10"/>
        <color indexed="8"/>
        <rFont val="Arial"/>
      </rPr>
      <t xml:space="preserve">500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200</t>
    </r>
  </si>
  <si>
    <t xml:space="preserve">Fina y Especial </t>
  </si>
  <si>
    <t xml:space="preserve">     Fina y Especial </t>
  </si>
  <si>
    <t>± 1,5 e</t>
  </si>
  <si>
    <r>
      <rPr>
        <sz val="10"/>
        <color indexed="8"/>
        <rFont val="Arial"/>
      </rPr>
      <t xml:space="preserve">200 000 </t>
    </r>
    <r>
      <rPr>
        <u val="single"/>
        <sz val="10"/>
        <color indexed="8"/>
        <rFont val="Arial"/>
      </rPr>
      <t xml:space="preserve">&lt; </t>
    </r>
    <r>
      <rPr>
        <sz val="10"/>
        <color indexed="8"/>
        <rFont val="Arial"/>
      </rPr>
      <t>m</t>
    </r>
  </si>
  <si>
    <r>
      <rPr>
        <sz val="10"/>
        <color indexed="8"/>
        <rFont val="Arial"/>
      </rPr>
      <t xml:space="preserve">20 000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100 000</t>
    </r>
  </si>
  <si>
    <r>
      <rPr>
        <sz val="10"/>
        <color indexed="8"/>
        <rFont val="Arial"/>
      </rPr>
      <t xml:space="preserve">2 000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10 000</t>
    </r>
  </si>
  <si>
    <r>
      <rPr>
        <sz val="10"/>
        <color indexed="8"/>
        <rFont val="Arial"/>
      </rPr>
      <t xml:space="preserve">200 </t>
    </r>
    <r>
      <rPr>
        <u val="single"/>
        <sz val="10"/>
        <color indexed="8"/>
        <rFont val="Arial"/>
      </rPr>
      <t xml:space="preserve">&lt; </t>
    </r>
    <r>
      <rPr>
        <sz val="10"/>
        <color indexed="8"/>
        <rFont val="Arial"/>
      </rPr>
      <t xml:space="preserve">m  </t>
    </r>
    <r>
      <rPr>
        <u val="single"/>
        <sz val="10"/>
        <color indexed="8"/>
        <rFont val="Arial"/>
      </rPr>
      <t>&lt;</t>
    </r>
    <r>
      <rPr>
        <sz val="10"/>
        <color indexed="8"/>
        <rFont val="Arial"/>
      </rPr>
      <t xml:space="preserve"> 1 000</t>
    </r>
  </si>
  <si>
    <t xml:space="preserve">     I I               I</t>
  </si>
  <si>
    <t xml:space="preserve">       I I                I</t>
  </si>
  <si>
    <t>espacios a llenar</t>
  </si>
  <si>
    <t xml:space="preserve">              n=max/e</t>
  </si>
  <si>
    <t xml:space="preserve">Clase </t>
  </si>
  <si>
    <t>Intervalos</t>
  </si>
  <si>
    <t>Tolerancia</t>
  </si>
  <si>
    <t xml:space="preserve">         50 000</t>
  </si>
  <si>
    <t>i</t>
  </si>
  <si>
    <t>Div min (d)</t>
  </si>
  <si>
    <t xml:space="preserve">             Fina        I I</t>
  </si>
  <si>
    <t>II</t>
  </si>
  <si>
    <t>III</t>
  </si>
  <si>
    <t>IIII</t>
  </si>
  <si>
    <t>alcance</t>
  </si>
  <si>
    <t>e=d</t>
  </si>
  <si>
    <t xml:space="preserve">                   ( 50 e )</t>
  </si>
  <si>
    <t>e=5d</t>
  </si>
  <si>
    <t xml:space="preserve">        Fina     I I</t>
  </si>
  <si>
    <t>200000</t>
  </si>
  <si>
    <t>e=10d</t>
  </si>
  <si>
    <t xml:space="preserve">          10 000</t>
  </si>
  <si>
    <t xml:space="preserve">           ( 20 e )</t>
  </si>
  <si>
    <t xml:space="preserve">              Media y Fina </t>
  </si>
  <si>
    <t>100000</t>
  </si>
  <si>
    <t xml:space="preserve">               I I I               I I </t>
  </si>
  <si>
    <t xml:space="preserve">          5 000</t>
  </si>
  <si>
    <t>Clase de exactitud</t>
  </si>
  <si>
    <t>División de verificación</t>
  </si>
  <si>
    <t>Número de escalones de verificación    n=max/e</t>
  </si>
  <si>
    <t>Alcance Mínimo (Min)</t>
  </si>
  <si>
    <t xml:space="preserve">               Media      I I I</t>
  </si>
  <si>
    <t>Mínimo</t>
  </si>
  <si>
    <t>Máximo</t>
  </si>
  <si>
    <t>Límite inferior</t>
  </si>
  <si>
    <t xml:space="preserve">                    ( 20 e )</t>
  </si>
  <si>
    <t>Especial   I</t>
  </si>
  <si>
    <r>
      <rPr>
        <sz val="10"/>
        <color indexed="8"/>
        <rFont val="Arial"/>
      </rPr>
      <t xml:space="preserve">0,001 g   </t>
    </r>
    <r>
      <rPr>
        <u val="single"/>
        <sz val="10"/>
        <color indexed="8"/>
        <rFont val="Arial"/>
      </rPr>
      <t>&lt;</t>
    </r>
    <r>
      <rPr>
        <sz val="10"/>
        <color indexed="8"/>
        <rFont val="Arial"/>
      </rPr>
      <t xml:space="preserve">   e*</t>
    </r>
  </si>
  <si>
    <t>50 000</t>
  </si>
  <si>
    <t>---</t>
  </si>
  <si>
    <t>100 e</t>
  </si>
  <si>
    <t xml:space="preserve">          1 000</t>
  </si>
  <si>
    <t>Fina   I I</t>
  </si>
  <si>
    <r>
      <rPr>
        <sz val="10"/>
        <color indexed="8"/>
        <rFont val="Arial"/>
      </rPr>
      <t xml:space="preserve">0,001 g  </t>
    </r>
    <r>
      <rPr>
        <u val="single"/>
        <sz val="10"/>
        <color indexed="8"/>
        <rFont val="Arial"/>
      </rPr>
      <t>&lt;</t>
    </r>
    <r>
      <rPr>
        <sz val="10"/>
        <color indexed="8"/>
        <rFont val="Arial"/>
      </rPr>
      <t xml:space="preserve">  e  </t>
    </r>
    <r>
      <rPr>
        <u val="single"/>
        <sz val="10"/>
        <color indexed="8"/>
        <rFont val="Arial"/>
      </rPr>
      <t>&lt;</t>
    </r>
    <r>
      <rPr>
        <sz val="10"/>
        <color indexed="8"/>
        <rFont val="Arial"/>
      </rPr>
      <t xml:space="preserve"> 0,05 g</t>
    </r>
  </si>
  <si>
    <t>100 000</t>
  </si>
  <si>
    <t>20 e</t>
  </si>
  <si>
    <t xml:space="preserve">          Ordinaria      I I I I </t>
  </si>
  <si>
    <r>
      <rPr>
        <sz val="10"/>
        <color indexed="8"/>
        <rFont val="Arial"/>
      </rPr>
      <t xml:space="preserve">0,1 g   </t>
    </r>
    <r>
      <rPr>
        <u val="single"/>
        <sz val="10"/>
        <color indexed="8"/>
        <rFont val="Arial"/>
      </rPr>
      <t>&lt;</t>
    </r>
    <r>
      <rPr>
        <sz val="10"/>
        <color indexed="8"/>
        <rFont val="Arial"/>
      </rPr>
      <t xml:space="preserve">  e</t>
    </r>
  </si>
  <si>
    <t>5 000</t>
  </si>
  <si>
    <t>50 e</t>
  </si>
  <si>
    <t xml:space="preserve">                 Media    I I I</t>
  </si>
  <si>
    <t xml:space="preserve">Media I I I </t>
  </si>
  <si>
    <r>
      <rPr>
        <sz val="10"/>
        <color indexed="8"/>
        <rFont val="Arial"/>
      </rPr>
      <t xml:space="preserve">0,1 g   </t>
    </r>
    <r>
      <rPr>
        <u val="single"/>
        <sz val="10"/>
        <color indexed="8"/>
        <rFont val="Arial"/>
      </rPr>
      <t>&lt;</t>
    </r>
    <r>
      <rPr>
        <sz val="10"/>
        <color indexed="8"/>
        <rFont val="Arial"/>
      </rPr>
      <t xml:space="preserve">   e   </t>
    </r>
    <r>
      <rPr>
        <u val="single"/>
        <sz val="10"/>
        <color indexed="8"/>
        <rFont val="Arial"/>
      </rPr>
      <t>&lt;</t>
    </r>
    <r>
      <rPr>
        <sz val="10"/>
        <color indexed="8"/>
        <rFont val="Arial"/>
      </rPr>
      <t xml:space="preserve">   2 g</t>
    </r>
  </si>
  <si>
    <t>10 000</t>
  </si>
  <si>
    <r>
      <rPr>
        <sz val="10"/>
        <color indexed="8"/>
        <rFont val="Arial"/>
      </rPr>
      <t xml:space="preserve">5 g   </t>
    </r>
    <r>
      <rPr>
        <u val="single"/>
        <sz val="10"/>
        <color indexed="8"/>
        <rFont val="Arial"/>
      </rPr>
      <t>&lt;</t>
    </r>
    <r>
      <rPr>
        <sz val="10"/>
        <color indexed="8"/>
        <rFont val="Arial"/>
      </rPr>
      <t xml:space="preserve">   e</t>
    </r>
  </si>
  <si>
    <t xml:space="preserve">      Ordinaria    I I I</t>
  </si>
  <si>
    <t xml:space="preserve">                   ( 20 e )</t>
  </si>
  <si>
    <t xml:space="preserve">Ordinaria I I I I </t>
  </si>
  <si>
    <t>5 g  &lt;  e</t>
  </si>
  <si>
    <t>1 000</t>
  </si>
  <si>
    <t>10 e</t>
  </si>
  <si>
    <t xml:space="preserve"> 1 mg</t>
  </si>
  <si>
    <t xml:space="preserve">   5 mg  50 mg</t>
  </si>
  <si>
    <t xml:space="preserve">        100 mg</t>
  </si>
  <si>
    <t xml:space="preserve">                1 g</t>
  </si>
  <si>
    <t xml:space="preserve">                  2 g</t>
  </si>
  <si>
    <t xml:space="preserve">                           5 g</t>
  </si>
  <si>
    <t xml:space="preserve">          , , , , , , , , , </t>
  </si>
  <si>
    <t xml:space="preserve">     &gt;  5 g</t>
  </si>
  <si>
    <t>MK-020</t>
  </si>
  <si>
    <t>VALOR NOMINAL</t>
  </si>
  <si>
    <t>VALOR DE MASA CONVENCIONAL</t>
  </si>
  <si>
    <t>Incertidumbre Expandida</t>
  </si>
  <si>
    <t>MK-021</t>
  </si>
  <si>
    <r>
      <rPr>
        <sz val="10"/>
        <color indexed="8"/>
        <rFont val="Century Gothic"/>
      </rPr>
      <t>VALOR DE MASA CONVENCIONAL</t>
    </r>
  </si>
  <si>
    <t>CTK-069</t>
  </si>
  <si>
    <t>#</t>
  </si>
  <si>
    <t>1 g</t>
  </si>
  <si>
    <t>+</t>
  </si>
  <si>
    <t>100 mg</t>
  </si>
  <si>
    <t>2(*) g</t>
  </si>
  <si>
    <t>valor conv</t>
  </si>
  <si>
    <t>incer exp.</t>
  </si>
  <si>
    <t>200 mg</t>
  </si>
  <si>
    <t>2(**) g</t>
  </si>
  <si>
    <t>200(*) mg</t>
  </si>
  <si>
    <t>5 g</t>
  </si>
  <si>
    <t>500 mg</t>
  </si>
  <si>
    <t>10 g</t>
  </si>
  <si>
    <t>20(*)  g</t>
  </si>
  <si>
    <t>20(**)  g</t>
  </si>
  <si>
    <t>50 g</t>
  </si>
  <si>
    <t>100 g</t>
  </si>
  <si>
    <t>200 g</t>
  </si>
  <si>
    <t>500 g</t>
  </si>
  <si>
    <t>1 kg</t>
  </si>
  <si>
    <t>2 (*)kg</t>
  </si>
  <si>
    <t>2 (**)kg</t>
  </si>
  <si>
    <t>5 kg</t>
  </si>
  <si>
    <t>1 (*)kg</t>
  </si>
  <si>
    <t>1 (*1*)kg</t>
  </si>
  <si>
    <t>1 (*2*)kg</t>
  </si>
  <si>
    <t>1 (*4*)kg</t>
  </si>
  <si>
    <t>2 kg</t>
  </si>
  <si>
    <t>CTK-173</t>
  </si>
  <si>
    <t>20 kg</t>
  </si>
</sst>
</file>

<file path=xl/styles.xml><?xml version="1.0" encoding="utf-8"?>
<styleSheet xmlns="http://schemas.openxmlformats.org/spreadsheetml/2006/main">
  <numFmts count="46">
    <numFmt numFmtId="0" formatCode="General"/>
    <numFmt numFmtId="59" formatCode="yyyy&quot;-&quot;mmm&quot;-&quot;dd"/>
    <numFmt numFmtId="60" formatCode="0.0&quot; °C&quot;"/>
    <numFmt numFmtId="61" formatCode="0.0"/>
    <numFmt numFmtId="62" formatCode="0.00&quot; °C&quot;"/>
    <numFmt numFmtId="63" formatCode="&quot;± &quot;0.0&quot; °C&quot;"/>
    <numFmt numFmtId="64" formatCode="0&quot; %&quot;"/>
    <numFmt numFmtId="65" formatCode="0.00000"/>
    <numFmt numFmtId="66" formatCode="0&quot; &quot;000"/>
    <numFmt numFmtId="67" formatCode="0.000000"/>
    <numFmt numFmtId="68" formatCode="00.000"/>
    <numFmt numFmtId="69" formatCode="0.000"/>
    <numFmt numFmtId="70" formatCode="&quot; &quot;0.0000000"/>
    <numFmt numFmtId="71" formatCode="0.0000"/>
    <numFmt numFmtId="72" formatCode="0.0000000000"/>
    <numFmt numFmtId="73" formatCode="&quot;± &quot;0&quot; mbar&quot;"/>
    <numFmt numFmtId="74" formatCode="0.0&quot; mbar &quot;"/>
    <numFmt numFmtId="75" formatCode="0.0000000"/>
    <numFmt numFmtId="76" formatCode="0.00000000000"/>
    <numFmt numFmtId="77" formatCode="0.000000000"/>
    <numFmt numFmtId="78" formatCode="0.00000000"/>
    <numFmt numFmtId="79" formatCode="&quot; &quot;0.0000000000"/>
    <numFmt numFmtId="80" formatCode="&quot; &quot;0.0000"/>
    <numFmt numFmtId="81" formatCode="0.0000&quot; &quot;"/>
    <numFmt numFmtId="82" formatCode="&quot; &quot;0.0000000&quot; &quot;"/>
    <numFmt numFmtId="83" formatCode="0.000000000&quot; &quot;"/>
    <numFmt numFmtId="84" formatCode="#,##0.000"/>
    <numFmt numFmtId="85" formatCode="0.000&quot; *&quot;"/>
    <numFmt numFmtId="86" formatCode="0.0&quot; *&quot;"/>
    <numFmt numFmtId="87" formatCode="#,##0.0"/>
    <numFmt numFmtId="88" formatCode="&quot; &quot;0000.0"/>
    <numFmt numFmtId="89" formatCode="000&quot; &quot;0.0000"/>
    <numFmt numFmtId="90" formatCode="&quot; &quot;0000.0&quot; *&quot;"/>
    <numFmt numFmtId="91" formatCode="yyyy&quot;-&quot;mm&quot;-&quot;dd"/>
    <numFmt numFmtId="92" formatCode="yyyy/mm"/>
    <numFmt numFmtId="93" formatCode="0.0%"/>
    <numFmt numFmtId="94" formatCode="0&quot; °C&quot;"/>
    <numFmt numFmtId="95" formatCode="000"/>
    <numFmt numFmtId="96" formatCode="000.00"/>
    <numFmt numFmtId="97" formatCode="0.00&quot; g&quot;"/>
    <numFmt numFmtId="98" formatCode="0&quot;,&quot;0000"/>
    <numFmt numFmtId="99" formatCode="00"/>
    <numFmt numFmtId="100" formatCode="0&quot; kg&quot;"/>
    <numFmt numFmtId="101" formatCode="0&quot; s&quot;"/>
    <numFmt numFmtId="102" formatCode="#,##0.0000"/>
    <numFmt numFmtId="103" formatCode="00&quot; &quot;000"/>
  </numFmts>
  <fonts count="108">
    <font>
      <sz val="10"/>
      <color indexed="8"/>
      <name val="Arial"/>
    </font>
    <font>
      <sz val="12"/>
      <color indexed="8"/>
      <name val="Helvetica Neue"/>
    </font>
    <font>
      <sz val="10"/>
      <color indexed="8"/>
      <name val="Calibri"/>
    </font>
    <font>
      <sz val="9"/>
      <color indexed="11"/>
      <name val="Calibri"/>
    </font>
    <font>
      <sz val="14"/>
      <color indexed="11"/>
      <name val="Calibri"/>
    </font>
    <font>
      <sz val="15"/>
      <color indexed="8"/>
      <name val="Calibri"/>
    </font>
    <font>
      <sz val="14"/>
      <color indexed="8"/>
      <name val="Times New Roman"/>
    </font>
    <font>
      <b val="1"/>
      <sz val="12"/>
      <color indexed="8"/>
      <name val="Times New Roman"/>
    </font>
    <font>
      <sz val="11"/>
      <color indexed="8"/>
      <name val="Times New Roman"/>
    </font>
    <font>
      <b val="1"/>
      <sz val="11"/>
      <color indexed="8"/>
      <name val="Times New Roman"/>
    </font>
    <font>
      <b val="1"/>
      <sz val="11"/>
      <color indexed="20"/>
      <name val="Times New Roman"/>
    </font>
    <font>
      <b val="1"/>
      <sz val="10"/>
      <color indexed="8"/>
      <name val="Times New Roman"/>
    </font>
    <font>
      <sz val="10"/>
      <color indexed="8"/>
      <name val="Times New Roman"/>
    </font>
    <font>
      <b val="1"/>
      <sz val="8"/>
      <color indexed="8"/>
      <name val="Times New Roman"/>
    </font>
    <font>
      <b val="1"/>
      <sz val="9"/>
      <color indexed="8"/>
      <name val="Times New Roman"/>
    </font>
    <font>
      <b val="1"/>
      <sz val="14"/>
      <color indexed="8"/>
      <name val="Times New Roman"/>
    </font>
    <font>
      <sz val="12"/>
      <color indexed="8"/>
      <name val="Times New Roman"/>
    </font>
    <font>
      <vertAlign val="superscript"/>
      <sz val="9"/>
      <color indexed="8"/>
      <name val="Times New Roman"/>
    </font>
    <font>
      <b val="1"/>
      <vertAlign val="subscript"/>
      <sz val="10"/>
      <color indexed="8"/>
      <name val="Times New Roman"/>
    </font>
    <font>
      <sz val="10"/>
      <color indexed="9"/>
      <name val="Times New Roman"/>
    </font>
    <font>
      <b val="1"/>
      <sz val="7"/>
      <color indexed="8"/>
      <name val="Times New Roman"/>
    </font>
    <font>
      <b val="1"/>
      <sz val="10"/>
      <color indexed="27"/>
      <name val="Times New Roman"/>
    </font>
    <font>
      <b val="1"/>
      <sz val="22"/>
      <color indexed="8"/>
      <name val="Times New Roman"/>
    </font>
    <font>
      <b val="1"/>
      <vertAlign val="subscript"/>
      <sz val="11"/>
      <color indexed="8"/>
      <name val="Times New Roman"/>
    </font>
    <font>
      <b val="1"/>
      <sz val="16"/>
      <color indexed="8"/>
      <name val="Times New Roman"/>
    </font>
    <font>
      <b val="1"/>
      <sz val="18"/>
      <color indexed="8"/>
      <name val="Times New Roman"/>
    </font>
    <font>
      <b val="1"/>
      <sz val="10"/>
      <color indexed="9"/>
      <name val="Times New Roman"/>
    </font>
    <font>
      <b val="1"/>
      <sz val="11"/>
      <color indexed="30"/>
      <name val="Times New Roman"/>
    </font>
    <font>
      <sz val="11"/>
      <color indexed="8"/>
      <name val="Helvetica Neue"/>
    </font>
    <font>
      <sz val="10"/>
      <color indexed="32"/>
      <name val="Tahoma"/>
    </font>
    <font>
      <sz val="16"/>
      <color indexed="8"/>
      <name val="Code 128"/>
    </font>
    <font>
      <sz val="11"/>
      <color indexed="9"/>
      <name val="Century Gothic"/>
    </font>
    <font>
      <sz val="10"/>
      <color indexed="9"/>
      <name val="Arial"/>
    </font>
    <font>
      <sz val="11"/>
      <color indexed="8"/>
      <name val="Tahoma"/>
    </font>
    <font>
      <sz val="11"/>
      <color indexed="8"/>
      <name val="Century Gothic"/>
    </font>
    <font>
      <b val="1"/>
      <sz val="18"/>
      <color indexed="33"/>
      <name val="Century Gothic"/>
    </font>
    <font>
      <i val="1"/>
      <sz val="8"/>
      <color indexed="8"/>
      <name val="Century Gothic"/>
    </font>
    <font>
      <sz val="12"/>
      <color indexed="8"/>
      <name val="Century Gothic"/>
    </font>
    <font>
      <sz val="10"/>
      <color indexed="8"/>
      <name val="Century Gothic"/>
    </font>
    <font>
      <b val="1"/>
      <sz val="19"/>
      <color indexed="8"/>
      <name val="Century Gothic"/>
    </font>
    <font>
      <sz val="19"/>
      <color indexed="8"/>
      <name val="Century Gothic"/>
    </font>
    <font>
      <b val="1"/>
      <sz val="10"/>
      <color indexed="8"/>
      <name val="Century Gothic"/>
    </font>
    <font>
      <b val="1"/>
      <sz val="14"/>
      <color indexed="8"/>
      <name val="Century Gothic"/>
    </font>
    <font>
      <b val="1"/>
      <sz val="12"/>
      <color indexed="8"/>
      <name val="Century Gothic"/>
    </font>
    <font>
      <sz val="8"/>
      <color indexed="20"/>
      <name val="Century Gothic"/>
    </font>
    <font>
      <sz val="9"/>
      <color indexed="8"/>
      <name val="Century Gothic"/>
    </font>
    <font>
      <i val="1"/>
      <sz val="9"/>
      <color indexed="8"/>
      <name val="Century Gothic"/>
    </font>
    <font>
      <sz val="10"/>
      <color indexed="9"/>
      <name val="Tahoma"/>
    </font>
    <font>
      <b val="1"/>
      <sz val="12"/>
      <color indexed="9"/>
      <name val="Arial"/>
    </font>
    <font>
      <sz val="10"/>
      <color indexed="8"/>
      <name val="Tahoma"/>
    </font>
    <font>
      <b val="1"/>
      <sz val="8"/>
      <color indexed="8"/>
      <name val="Century Gothic"/>
    </font>
    <font>
      <sz val="8"/>
      <color indexed="8"/>
      <name val="Century Gothic"/>
    </font>
    <font>
      <i val="1"/>
      <sz val="10"/>
      <color indexed="8"/>
      <name val="Century Gothic"/>
    </font>
    <font>
      <b val="1"/>
      <sz val="9"/>
      <color indexed="8"/>
      <name val="Century Gothic"/>
    </font>
    <font>
      <sz val="10"/>
      <color indexed="9"/>
      <name val="Century Gothic"/>
    </font>
    <font>
      <sz val="7"/>
      <color indexed="9"/>
      <name val="Century Gothic"/>
    </font>
    <font>
      <sz val="9"/>
      <color indexed="8"/>
      <name val="Tahoma"/>
    </font>
    <font>
      <sz val="8"/>
      <color indexed="8"/>
      <name val="Tahoma"/>
    </font>
    <font>
      <sz val="10"/>
      <color indexed="22"/>
      <name val="Tahoma"/>
    </font>
    <font>
      <b val="1"/>
      <sz val="10"/>
      <color indexed="22"/>
      <name val="Tahoma"/>
    </font>
    <font>
      <sz val="11"/>
      <color indexed="8"/>
      <name val="Arial"/>
    </font>
    <font>
      <b val="1"/>
      <sz val="10"/>
      <color indexed="8"/>
      <name val="Arial"/>
    </font>
    <font>
      <b val="1"/>
      <sz val="16"/>
      <color indexed="8"/>
      <name val="Tahoma"/>
    </font>
    <font>
      <b val="1"/>
      <sz val="9"/>
      <color indexed="8"/>
      <name val="Times New Roman"/>
    </font>
    <font>
      <sz val="8"/>
      <color indexed="8"/>
      <name val="Times New Roman"/>
    </font>
    <font>
      <b val="1"/>
      <sz val="26"/>
      <color indexed="8"/>
      <name val="Times New Roman"/>
    </font>
    <font>
      <sz val="8"/>
      <color indexed="8"/>
      <name val="Times New Roman"/>
    </font>
    <font>
      <sz val="9"/>
      <color indexed="8"/>
      <name val="Times New Roman"/>
    </font>
    <font>
      <b val="1"/>
      <i val="1"/>
      <sz val="10"/>
      <color indexed="8"/>
      <name val="Times New Roman"/>
    </font>
    <font>
      <sz val="8"/>
      <color indexed="9"/>
      <name val="Times New Roman"/>
    </font>
    <font>
      <b val="1"/>
      <sz val="11"/>
      <color indexed="9"/>
      <name val="Times New Roman"/>
    </font>
    <font>
      <b val="1"/>
      <sz val="10"/>
      <color indexed="9"/>
      <name val="Arial"/>
    </font>
    <font>
      <b val="1"/>
      <sz val="10"/>
      <color indexed="22"/>
      <name val="Times New Roman"/>
    </font>
    <font>
      <b val="1"/>
      <sz val="8"/>
      <color indexed="22"/>
      <name val="Arial"/>
    </font>
    <font>
      <b val="1"/>
      <sz val="10"/>
      <color indexed="22"/>
      <name val="Arial"/>
    </font>
    <font>
      <sz val="10"/>
      <color indexed="22"/>
      <name val="Arial"/>
    </font>
    <font>
      <sz val="9"/>
      <color indexed="9"/>
      <name val="Times New Roman"/>
    </font>
    <font>
      <sz val="10"/>
      <color indexed="22"/>
      <name val="Times New Roman"/>
    </font>
    <font>
      <sz val="11"/>
      <color indexed="22"/>
      <name val="Times New Roman"/>
    </font>
    <font>
      <b val="1"/>
      <sz val="11"/>
      <color indexed="22"/>
      <name val="Times New Roman"/>
    </font>
    <font>
      <b val="1"/>
      <sz val="17"/>
      <color indexed="8"/>
      <name val="Times New Roman"/>
    </font>
    <font>
      <sz val="7"/>
      <color indexed="8"/>
      <name val="Times New Roman"/>
    </font>
    <font>
      <sz val="7"/>
      <color indexed="9"/>
      <name val="Times New Roman"/>
    </font>
    <font>
      <sz val="10"/>
      <color indexed="8"/>
      <name val="Bauhaus 93"/>
    </font>
    <font>
      <sz val="8"/>
      <color indexed="8"/>
      <name val="Arial"/>
    </font>
    <font>
      <sz val="7"/>
      <color indexed="8"/>
      <name val="Arial"/>
    </font>
    <font>
      <sz val="18"/>
      <color indexed="8"/>
      <name val="Calibri"/>
    </font>
    <font>
      <b val="1"/>
      <sz val="10"/>
      <color indexed="8"/>
      <name val="Tahoma"/>
    </font>
    <font>
      <b val="1"/>
      <sz val="14"/>
      <color indexed="8"/>
      <name val="Arial"/>
    </font>
    <font>
      <b val="1"/>
      <sz val="55"/>
      <color indexed="8"/>
      <name val="Tahoma"/>
    </font>
    <font>
      <sz val="17"/>
      <color indexed="8"/>
      <name val="Arial"/>
    </font>
    <font>
      <sz val="120"/>
      <color indexed="8"/>
      <name val="Tahoma"/>
    </font>
    <font>
      <sz val="72"/>
      <color indexed="8"/>
      <name val="Tahoma"/>
    </font>
    <font>
      <sz val="17"/>
      <color indexed="8"/>
      <name val="Tahoma"/>
    </font>
    <font>
      <b val="1"/>
      <sz val="23"/>
      <color indexed="8"/>
      <name val="Tahoma"/>
    </font>
    <font>
      <b val="1"/>
      <sz val="28"/>
      <color indexed="8"/>
      <name val="Tahoma"/>
    </font>
    <font>
      <b val="1"/>
      <sz val="27"/>
      <color indexed="8"/>
      <name val="Arial"/>
    </font>
    <font>
      <b val="1"/>
      <sz val="19"/>
      <color indexed="8"/>
      <name val="Arial"/>
    </font>
    <font>
      <b val="1"/>
      <sz val="21"/>
      <color indexed="8"/>
      <name val="Tahoma"/>
    </font>
    <font>
      <b val="1"/>
      <sz val="24"/>
      <color indexed="8"/>
      <name val="Arial"/>
    </font>
    <font>
      <b val="1"/>
      <sz val="20"/>
      <color indexed="8"/>
      <name val="Tahoma"/>
    </font>
    <font>
      <b val="1"/>
      <sz val="15"/>
      <color indexed="9"/>
      <name val="Tahoma"/>
    </font>
    <font>
      <b val="1"/>
      <sz val="10"/>
      <color indexed="9"/>
      <name val="Tahoma"/>
    </font>
    <font>
      <b val="1"/>
      <sz val="65"/>
      <color indexed="9"/>
      <name val="Tahoma"/>
    </font>
    <font>
      <sz val="11"/>
      <color indexed="8"/>
      <name val="Calibri"/>
    </font>
    <font>
      <sz val="22"/>
      <color indexed="8"/>
      <name val="Arial"/>
    </font>
    <font>
      <u val="single"/>
      <sz val="10"/>
      <color indexed="8"/>
      <name val="Arial"/>
    </font>
    <font>
      <b val="1"/>
      <sz val="14"/>
      <color indexed="8"/>
      <name val="Calibri"/>
    </font>
  </fonts>
  <fills count="14">
    <fill>
      <patternFill patternType="none"/>
    </fill>
    <fill>
      <patternFill patternType="gray125"/>
    </fill>
    <fill>
      <patternFill patternType="solid">
        <fgColor indexed="9"/>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
      <patternFill patternType="solid">
        <fgColor indexed="26"/>
        <bgColor auto="1"/>
      </patternFill>
    </fill>
    <fill>
      <patternFill patternType="solid">
        <fgColor indexed="8"/>
        <bgColor auto="1"/>
      </patternFill>
    </fill>
    <fill>
      <patternFill patternType="solid">
        <fgColor indexed="28"/>
        <bgColor auto="1"/>
      </patternFill>
    </fill>
    <fill>
      <patternFill patternType="solid">
        <fgColor indexed="29"/>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s>
  <borders count="173">
    <border>
      <left/>
      <right/>
      <top/>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style="thin">
        <color indexed="17"/>
      </top>
      <bottom style="medium">
        <color indexed="8"/>
      </bottom>
      <diagonal/>
    </border>
    <border>
      <left style="thin">
        <color indexed="17"/>
      </left>
      <right style="medium">
        <color indexed="8"/>
      </right>
      <top style="thin">
        <color indexed="17"/>
      </top>
      <bottom style="thin">
        <color indexed="17"/>
      </bottom>
      <diagonal/>
    </border>
    <border>
      <left style="medium">
        <color indexed="8"/>
      </left>
      <right style="medium">
        <color indexed="8"/>
      </right>
      <top style="medium">
        <color indexed="8"/>
      </top>
      <bottom style="thin">
        <color indexed="8"/>
      </bottom>
      <diagonal/>
    </border>
    <border>
      <left style="medium">
        <color indexed="8"/>
      </left>
      <right style="thin">
        <color indexed="17"/>
      </right>
      <top style="thin">
        <color indexed="17"/>
      </top>
      <bottom style="thin">
        <color indexed="17"/>
      </bottom>
      <diagonal/>
    </border>
    <border>
      <left style="medium">
        <color indexed="8"/>
      </left>
      <right style="medium">
        <color indexed="8"/>
      </right>
      <top style="thin">
        <color indexed="8"/>
      </top>
      <bottom style="medium">
        <color indexed="8"/>
      </bottom>
      <diagonal/>
    </border>
    <border>
      <left style="thin">
        <color indexed="17"/>
      </left>
      <right style="thin">
        <color indexed="17"/>
      </right>
      <top style="medium">
        <color indexed="8"/>
      </top>
      <bottom style="thin">
        <color indexed="17"/>
      </bottom>
      <diagonal/>
    </border>
    <border>
      <left style="thin">
        <color indexed="17"/>
      </left>
      <right style="thin">
        <color indexed="17"/>
      </right>
      <top style="thin">
        <color indexed="17"/>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thin">
        <color indexed="17"/>
      </left>
      <right style="thin">
        <color indexed="8"/>
      </right>
      <top style="thin">
        <color indexed="17"/>
      </top>
      <bottom style="thin">
        <color indexed="17"/>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17"/>
      </top>
      <bottom style="thin">
        <color indexed="17"/>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thin">
        <color indexed="17"/>
      </right>
      <top style="thin">
        <color indexed="17"/>
      </top>
      <bottom style="thin">
        <color indexed="8"/>
      </bottom>
      <diagonal/>
    </border>
    <border>
      <left style="thin">
        <color indexed="17"/>
      </left>
      <right style="medium">
        <color indexed="8"/>
      </right>
      <top style="thin">
        <color indexed="17"/>
      </top>
      <bottom style="thin">
        <color indexed="8"/>
      </bottom>
      <diagonal/>
    </border>
    <border>
      <left style="medium">
        <color indexed="8"/>
      </left>
      <right style="medium">
        <color indexed="8"/>
      </right>
      <top style="thin">
        <color indexed="17"/>
      </top>
      <bottom style="thin">
        <color indexed="17"/>
      </bottom>
      <diagonal/>
    </border>
    <border>
      <left style="medium">
        <color indexed="8"/>
      </left>
      <right style="medium">
        <color indexed="8"/>
      </right>
      <top style="medium">
        <color indexed="8"/>
      </top>
      <bottom style="thin">
        <color indexed="17"/>
      </bottom>
      <diagonal/>
    </border>
    <border>
      <left style="medium">
        <color indexed="8"/>
      </left>
      <right style="medium">
        <color indexed="8"/>
      </right>
      <top style="medium">
        <color indexed="8"/>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17"/>
      </left>
      <right style="thin">
        <color indexed="17"/>
      </right>
      <top style="thin">
        <color indexed="8"/>
      </top>
      <bottom style="thin">
        <color indexed="8"/>
      </bottom>
      <diagonal/>
    </border>
    <border>
      <left style="medium">
        <color indexed="8"/>
      </left>
      <right style="medium">
        <color indexed="8"/>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thin">
        <color indexed="17"/>
      </right>
      <top style="thin">
        <color indexed="17"/>
      </top>
      <bottom style="thin">
        <color indexed="17"/>
      </bottom>
      <diagonal/>
    </border>
    <border>
      <left style="medium">
        <color indexed="8"/>
      </left>
      <right style="medium">
        <color indexed="8"/>
      </right>
      <top style="thin">
        <color indexed="17"/>
      </top>
      <bottom style="medium">
        <color indexed="8"/>
      </bottom>
      <diagonal/>
    </border>
    <border>
      <left style="medium">
        <color indexed="8"/>
      </left>
      <right style="medium">
        <color indexed="8"/>
      </right>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thin">
        <color indexed="17"/>
      </left>
      <right style="thin">
        <color indexed="17"/>
      </right>
      <top style="thin">
        <color indexed="8"/>
      </top>
      <bottom style="thin">
        <color indexed="17"/>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medium">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bottom style="thin">
        <color indexed="8"/>
      </bottom>
      <diagonal/>
    </border>
    <border>
      <left style="medium">
        <color indexed="8"/>
      </left>
      <right style="medium">
        <color indexed="8"/>
      </right>
      <top style="medium">
        <color indexed="8"/>
      </top>
      <bottom style="medium">
        <color indexed="8"/>
      </bottom>
      <diagonal/>
    </border>
    <border>
      <left style="thin">
        <color indexed="17"/>
      </left>
      <right style="thin">
        <color indexed="17"/>
      </right>
      <top style="medium">
        <color indexed="8"/>
      </top>
      <bottom style="medium">
        <color indexed="8"/>
      </bottom>
      <diagonal/>
    </border>
    <border>
      <left style="thin">
        <color indexed="17"/>
      </left>
      <right style="thin">
        <color indexed="17"/>
      </right>
      <top style="thin">
        <color indexed="17"/>
      </top>
      <bottom/>
      <diagonal/>
    </border>
    <border>
      <left style="medium">
        <color indexed="8"/>
      </left>
      <right/>
      <top/>
      <bottom/>
      <diagonal/>
    </border>
    <border>
      <left/>
      <right style="thin">
        <color indexed="17"/>
      </right>
      <top style="thin">
        <color indexed="17"/>
      </top>
      <bottom style="thin">
        <color indexed="17"/>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17"/>
      </left>
      <right style="thin">
        <color indexed="17"/>
      </right>
      <top/>
      <bottom style="thin">
        <color indexed="17"/>
      </bottom>
      <diagonal/>
    </border>
    <border>
      <left style="medium">
        <color indexed="8"/>
      </left>
      <right style="thin">
        <color indexed="17"/>
      </right>
      <top style="medium">
        <color indexed="8"/>
      </top>
      <bottom style="medium">
        <color indexed="8"/>
      </bottom>
      <diagonal/>
    </border>
    <border>
      <left style="thin">
        <color indexed="17"/>
      </left>
      <right style="medium">
        <color indexed="8"/>
      </right>
      <top style="medium">
        <color indexed="8"/>
      </top>
      <bottom style="medium">
        <color indexed="8"/>
      </bottom>
      <diagonal/>
    </border>
    <border>
      <left style="medium">
        <color indexed="8"/>
      </left>
      <right style="thin">
        <color indexed="17"/>
      </right>
      <top style="medium">
        <color indexed="8"/>
      </top>
      <bottom style="thin">
        <color indexed="17"/>
      </bottom>
      <diagonal/>
    </border>
    <border>
      <left style="thin">
        <color indexed="17"/>
      </left>
      <right style="medium">
        <color indexed="8"/>
      </right>
      <top style="medium">
        <color indexed="8"/>
      </top>
      <bottom style="thin">
        <color indexed="17"/>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7"/>
      </right>
      <top style="thin">
        <color indexed="17"/>
      </top>
      <bottom style="medium">
        <color indexed="8"/>
      </bottom>
      <diagonal/>
    </border>
    <border>
      <left style="thin">
        <color indexed="17"/>
      </left>
      <right style="medium">
        <color indexed="8"/>
      </right>
      <top style="thin">
        <color indexed="17"/>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thin">
        <color indexed="17"/>
      </left>
      <right/>
      <top style="medium">
        <color indexed="8"/>
      </top>
      <bottom style="thin">
        <color indexed="17"/>
      </bottom>
      <diagonal/>
    </border>
    <border>
      <left/>
      <right style="thin">
        <color indexed="17"/>
      </right>
      <top style="medium">
        <color indexed="8"/>
      </top>
      <bottom style="thin">
        <color indexed="17"/>
      </bottom>
      <diagonal/>
    </border>
    <border>
      <left style="thin">
        <color indexed="17"/>
      </left>
      <right style="thin">
        <color indexed="17"/>
      </right>
      <top style="thin">
        <color indexed="17"/>
      </top>
      <bottom style="thick">
        <color indexed="8"/>
      </bottom>
      <diagonal/>
    </border>
    <border>
      <left style="thin">
        <color indexed="17"/>
      </left>
      <right style="thick">
        <color indexed="8"/>
      </right>
      <top style="thin">
        <color indexed="17"/>
      </top>
      <bottom style="thin">
        <color indexed="17"/>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style="thin">
        <color indexed="17"/>
      </right>
      <top style="thin">
        <color indexed="17"/>
      </top>
      <bottom style="thin">
        <color indexed="17"/>
      </bottom>
      <diagonal/>
    </border>
    <border>
      <left style="thin">
        <color indexed="17"/>
      </left>
      <right style="thick">
        <color indexed="8"/>
      </right>
      <top style="thin">
        <color indexed="17"/>
      </top>
      <bottom style="medium">
        <color indexed="8"/>
      </bottom>
      <diagonal/>
    </border>
    <border>
      <left style="thick">
        <color indexed="8"/>
      </left>
      <right/>
      <top/>
      <bottom style="medium">
        <color indexed="8"/>
      </bottom>
      <diagonal/>
    </border>
    <border>
      <left/>
      <right style="thick">
        <color indexed="8"/>
      </right>
      <top/>
      <bottom style="medium">
        <color indexed="8"/>
      </bottom>
      <diagonal/>
    </border>
    <border>
      <left style="medium">
        <color indexed="8"/>
      </left>
      <right style="thick">
        <color indexed="8"/>
      </right>
      <top style="medium">
        <color indexed="8"/>
      </top>
      <bottom style="thin">
        <color indexed="17"/>
      </bottom>
      <diagonal/>
    </border>
    <border>
      <left style="thick">
        <color indexed="8"/>
      </left>
      <right style="medium">
        <color indexed="8"/>
      </right>
      <top style="medium">
        <color indexed="8"/>
      </top>
      <bottom style="medium">
        <color indexed="8"/>
      </bottom>
      <diagonal/>
    </border>
    <border>
      <left style="medium">
        <color indexed="8"/>
      </left>
      <right style="thick">
        <color indexed="8"/>
      </right>
      <top style="thin">
        <color indexed="17"/>
      </top>
      <bottom style="thin">
        <color indexed="17"/>
      </bottom>
      <diagonal/>
    </border>
    <border>
      <left style="thick">
        <color indexed="8"/>
      </left>
      <right style="medium">
        <color indexed="8"/>
      </right>
      <top style="medium">
        <color indexed="8"/>
      </top>
      <bottom style="thin">
        <color indexed="17"/>
      </bottom>
      <diagonal/>
    </border>
    <border>
      <left style="medium">
        <color indexed="8"/>
      </left>
      <right style="thick">
        <color indexed="8"/>
      </right>
      <top style="thin">
        <color indexed="17"/>
      </top>
      <bottom style="medium">
        <color indexed="8"/>
      </bottom>
      <diagonal/>
    </border>
    <border>
      <left style="thick">
        <color indexed="8"/>
      </left>
      <right style="medium">
        <color indexed="8"/>
      </right>
      <top style="thin">
        <color indexed="17"/>
      </top>
      <bottom style="medium">
        <color indexed="8"/>
      </bottom>
      <diagonal/>
    </border>
    <border>
      <left style="thin">
        <color indexed="17"/>
      </left>
      <right style="thin">
        <color indexed="17"/>
      </right>
      <top style="thin">
        <color indexed="8"/>
      </top>
      <bottom style="medium">
        <color indexed="8"/>
      </bottom>
      <diagonal/>
    </border>
    <border>
      <left style="thin">
        <color indexed="17"/>
      </left>
      <right style="thin">
        <color indexed="17"/>
      </right>
      <top style="medium">
        <color indexed="8"/>
      </top>
      <bottom/>
      <diagonal/>
    </border>
    <border>
      <left style="medium">
        <color indexed="8"/>
      </left>
      <right style="thick">
        <color indexed="8"/>
      </right>
      <top style="medium">
        <color indexed="8"/>
      </top>
      <bottom style="medium">
        <color indexed="8"/>
      </bottom>
      <diagonal/>
    </border>
    <border>
      <left style="thick">
        <color indexed="8"/>
      </left>
      <right/>
      <top style="thick">
        <color indexed="8"/>
      </top>
      <bottom style="medium">
        <color indexed="8"/>
      </bottom>
      <diagonal/>
    </border>
    <border>
      <left/>
      <right/>
      <top style="thick">
        <color indexed="8"/>
      </top>
      <bottom style="medium">
        <color indexed="8"/>
      </bottom>
      <diagonal/>
    </border>
    <border>
      <left/>
      <right style="thick">
        <color indexed="8"/>
      </right>
      <top style="thick">
        <color indexed="8"/>
      </top>
      <bottom style="medium">
        <color indexed="8"/>
      </bottom>
      <diagonal/>
    </border>
    <border>
      <left style="medium">
        <color indexed="8"/>
      </left>
      <right style="thin">
        <color indexed="17"/>
      </right>
      <top/>
      <bottom style="thin">
        <color indexed="17"/>
      </bottom>
      <diagonal/>
    </border>
    <border>
      <left/>
      <right style="thick">
        <color indexed="8"/>
      </right>
      <top style="medium">
        <color indexed="8"/>
      </top>
      <bottom/>
      <diagonal/>
    </border>
    <border>
      <left style="thick">
        <color indexed="8"/>
      </left>
      <right style="medium">
        <color indexed="8"/>
      </right>
      <top style="medium">
        <color indexed="8"/>
      </top>
      <bottom/>
      <diagonal/>
    </border>
    <border>
      <left/>
      <right style="thick">
        <color indexed="8"/>
      </right>
      <top style="medium">
        <color indexed="8"/>
      </top>
      <bottom style="medium">
        <color indexed="8"/>
      </bottom>
      <diagonal/>
    </border>
    <border>
      <left style="thick">
        <color indexed="8"/>
      </left>
      <right style="medium">
        <color indexed="8"/>
      </right>
      <top/>
      <bottom style="medium">
        <color indexed="8"/>
      </bottom>
      <diagonal/>
    </border>
    <border>
      <left style="thick">
        <color indexed="8"/>
      </left>
      <right style="hair">
        <color indexed="8"/>
      </right>
      <top style="medium">
        <color indexed="8"/>
      </top>
      <bottom style="hair">
        <color indexed="8"/>
      </bottom>
      <diagonal/>
    </border>
    <border>
      <left style="hair">
        <color indexed="8"/>
      </left>
      <right style="hair">
        <color indexed="8"/>
      </right>
      <top style="medium">
        <color indexed="8"/>
      </top>
      <bottom style="hair">
        <color indexed="8"/>
      </bottom>
      <diagonal/>
    </border>
    <border>
      <left style="hair">
        <color indexed="8"/>
      </left>
      <right style="thick">
        <color indexed="8"/>
      </right>
      <top style="medium">
        <color indexed="8"/>
      </top>
      <bottom style="hair">
        <color indexed="8"/>
      </bottom>
      <diagonal/>
    </border>
    <border>
      <left style="medium">
        <color indexed="8"/>
      </left>
      <right style="thin">
        <color indexed="8"/>
      </right>
      <top style="thin">
        <color indexed="8"/>
      </top>
      <bottom style="thin">
        <color indexed="31"/>
      </bottom>
      <diagonal/>
    </border>
    <border>
      <left style="thin">
        <color indexed="8"/>
      </left>
      <right style="thick">
        <color indexed="8"/>
      </right>
      <top style="medium">
        <color indexed="8"/>
      </top>
      <bottom style="thin">
        <color indexed="8"/>
      </bottom>
      <diagonal/>
    </border>
    <border>
      <left style="thick">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ck">
        <color indexed="8"/>
      </right>
      <top style="hair">
        <color indexed="8"/>
      </top>
      <bottom style="hair">
        <color indexed="8"/>
      </bottom>
      <diagonal/>
    </border>
    <border>
      <left style="medium">
        <color indexed="8"/>
      </left>
      <right style="thin">
        <color indexed="8"/>
      </right>
      <top style="thin">
        <color indexed="31"/>
      </top>
      <bottom style="thin">
        <color indexed="31"/>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medium">
        <color indexed="8"/>
      </left>
      <right style="thin">
        <color indexed="8"/>
      </right>
      <top style="thin">
        <color indexed="31"/>
      </top>
      <bottom style="medium">
        <color indexed="8"/>
      </bottom>
      <diagonal/>
    </border>
    <border>
      <left style="medium">
        <color indexed="8"/>
      </left>
      <right style="thin">
        <color indexed="17"/>
      </right>
      <top style="thin">
        <color indexed="17"/>
      </top>
      <bottom/>
      <diagonal/>
    </border>
    <border>
      <left style="thick">
        <color indexed="8"/>
      </left>
      <right style="hair">
        <color indexed="8"/>
      </right>
      <top style="hair">
        <color indexed="8"/>
      </top>
      <bottom style="thick">
        <color indexed="8"/>
      </bottom>
      <diagonal/>
    </border>
    <border>
      <left style="hair">
        <color indexed="8"/>
      </left>
      <right style="hair">
        <color indexed="8"/>
      </right>
      <top style="hair">
        <color indexed="8"/>
      </top>
      <bottom style="thick">
        <color indexed="8"/>
      </bottom>
      <diagonal/>
    </border>
    <border>
      <left style="hair">
        <color indexed="8"/>
      </left>
      <right style="thick">
        <color indexed="8"/>
      </right>
      <top style="hair">
        <color indexed="8"/>
      </top>
      <bottom style="thick">
        <color indexed="8"/>
      </bottom>
      <diagonal/>
    </border>
    <border>
      <left style="thick">
        <color indexed="8"/>
      </left>
      <right style="thin">
        <color indexed="17"/>
      </right>
      <top style="thick">
        <color indexed="8"/>
      </top>
      <bottom style="thin">
        <color indexed="17"/>
      </bottom>
      <diagonal/>
    </border>
    <border>
      <left style="thin">
        <color indexed="17"/>
      </left>
      <right style="thin">
        <color indexed="17"/>
      </right>
      <top style="thick">
        <color indexed="8"/>
      </top>
      <bottom style="thin">
        <color indexed="17"/>
      </bottom>
      <diagonal/>
    </border>
    <border>
      <left style="medium">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ck">
        <color indexed="8"/>
      </right>
      <top style="thin">
        <color indexed="8"/>
      </top>
      <bottom style="medium">
        <color indexed="8"/>
      </bottom>
      <diagonal/>
    </border>
    <border>
      <left style="thin">
        <color indexed="8"/>
      </left>
      <right style="medium">
        <color indexed="8"/>
      </right>
      <top style="medium">
        <color indexed="8"/>
      </top>
      <bottom style="thin">
        <color indexed="17"/>
      </bottom>
      <diagonal/>
    </border>
    <border>
      <left style="thin">
        <color indexed="8"/>
      </left>
      <right style="medium">
        <color indexed="8"/>
      </right>
      <top style="thin">
        <color indexed="17"/>
      </top>
      <bottom style="thin">
        <color indexed="8"/>
      </bottom>
      <diagonal/>
    </border>
    <border>
      <left style="thin">
        <color indexed="17"/>
      </left>
      <right/>
      <top style="thin">
        <color indexed="17"/>
      </top>
      <bottom/>
      <diagonal/>
    </border>
    <border>
      <left/>
      <right/>
      <top style="thin">
        <color indexed="17"/>
      </top>
      <bottom/>
      <diagonal/>
    </border>
    <border>
      <left/>
      <right style="thin">
        <color indexed="17"/>
      </right>
      <top style="thin">
        <color indexed="17"/>
      </top>
      <bottom/>
      <diagonal/>
    </border>
    <border>
      <left style="thin">
        <color indexed="17"/>
      </left>
      <right/>
      <top/>
      <bottom/>
      <diagonal/>
    </border>
    <border>
      <left/>
      <right/>
      <top/>
      <bottom/>
      <diagonal/>
    </border>
    <border>
      <left/>
      <right style="thin">
        <color indexed="17"/>
      </right>
      <top/>
      <bottom/>
      <diagonal/>
    </border>
    <border>
      <left style="thin">
        <color indexed="17"/>
      </left>
      <right/>
      <top/>
      <bottom style="thin">
        <color indexed="17"/>
      </bottom>
      <diagonal/>
    </border>
    <border>
      <left/>
      <right/>
      <top/>
      <bottom style="thin">
        <color indexed="17"/>
      </bottom>
      <diagonal/>
    </border>
    <border>
      <left/>
      <right style="thin">
        <color indexed="17"/>
      </right>
      <top/>
      <bottom style="thin">
        <color indexed="17"/>
      </bottom>
      <diagonal/>
    </border>
    <border>
      <left/>
      <right style="medium">
        <color indexed="8"/>
      </right>
      <top/>
      <bottom/>
      <diagonal/>
    </border>
    <border>
      <left style="thin">
        <color indexed="17"/>
      </left>
      <right style="medium">
        <color indexed="8"/>
      </right>
      <top/>
      <bottom/>
      <diagonal/>
    </border>
    <border>
      <left style="medium">
        <color indexed="8"/>
      </left>
      <right style="medium">
        <color indexed="8"/>
      </right>
      <top style="medium">
        <color indexed="8"/>
      </top>
      <bottom style="hair">
        <color indexed="8"/>
      </bottom>
      <diagonal/>
    </border>
    <border>
      <left style="thin">
        <color indexed="17"/>
      </left>
      <right style="hair">
        <color indexed="8"/>
      </right>
      <top/>
      <bottom/>
      <diagonal/>
    </border>
    <border>
      <left style="hair">
        <color indexed="8"/>
      </left>
      <right/>
      <top/>
      <bottom/>
      <diagonal/>
    </border>
    <border>
      <left/>
      <right style="hair">
        <color indexed="8"/>
      </right>
      <top/>
      <bottom/>
      <diagonal/>
    </border>
    <border>
      <left/>
      <right/>
      <top style="hair">
        <color indexed="8"/>
      </top>
      <bottom/>
      <diagonal/>
    </border>
    <border>
      <left/>
      <right style="hair">
        <color indexed="8"/>
      </right>
      <top style="hair">
        <color indexed="8"/>
      </top>
      <bottom/>
      <diagonal/>
    </border>
    <border>
      <left style="hair">
        <color indexed="8"/>
      </left>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style="medium">
        <color indexed="8"/>
      </top>
      <bottom/>
      <diagonal/>
    </border>
    <border>
      <left style="hair">
        <color indexed="8"/>
      </left>
      <right/>
      <top style="medium">
        <color indexed="8"/>
      </top>
      <bottom/>
      <diagonal/>
    </border>
    <border>
      <left style="hair">
        <color indexed="8"/>
      </left>
      <right style="hair">
        <color indexed="8"/>
      </right>
      <top/>
      <bottom/>
      <diagonal/>
    </border>
    <border>
      <left style="hair">
        <color indexed="8"/>
      </left>
      <right style="hair">
        <color indexed="8"/>
      </right>
      <top/>
      <bottom style="medium">
        <color indexed="8"/>
      </bottom>
      <diagonal/>
    </border>
    <border>
      <left style="hair">
        <color indexed="8"/>
      </left>
      <right style="hair">
        <color indexed="8"/>
      </right>
      <top style="hair">
        <color indexed="8"/>
      </top>
      <bottom/>
      <diagonal/>
    </border>
    <border>
      <left style="hair">
        <color indexed="8"/>
      </left>
      <right style="hair">
        <color indexed="8"/>
      </right>
      <top/>
      <bottom style="hair">
        <color indexed="8"/>
      </bottom>
      <diagonal/>
    </border>
    <border>
      <left style="thin">
        <color indexed="8"/>
      </left>
      <right style="thin">
        <color indexed="17"/>
      </right>
      <top style="thin">
        <color indexed="8"/>
      </top>
      <bottom style="thin">
        <color indexed="8"/>
      </bottom>
      <diagonal/>
    </border>
    <border>
      <left style="thin">
        <color indexed="17"/>
      </left>
      <right style="thin">
        <color indexed="8"/>
      </right>
      <top style="thin">
        <color indexed="8"/>
      </top>
      <bottom style="thin">
        <color indexed="8"/>
      </bottom>
      <diagonal/>
    </border>
    <border>
      <left style="thin">
        <color indexed="17"/>
      </left>
      <right style="thin">
        <color indexed="17"/>
      </right>
      <top style="thin">
        <color indexed="8"/>
      </top>
      <bottom/>
      <diagonal/>
    </border>
    <border>
      <left style="thin">
        <color indexed="17"/>
      </left>
      <right/>
      <top/>
      <bottom style="thin">
        <color indexed="8"/>
      </bottom>
      <diagonal/>
    </border>
    <border>
      <left/>
      <right/>
      <top/>
      <bottom style="thin">
        <color indexed="8"/>
      </bottom>
      <diagonal/>
    </border>
    <border>
      <left style="thin">
        <color indexed="8"/>
      </left>
      <right style="thin">
        <color indexed="17"/>
      </right>
      <top style="thin">
        <color indexed="8"/>
      </top>
      <bottom style="thin">
        <color indexed="17"/>
      </bottom>
      <diagonal/>
    </border>
    <border>
      <left style="thin">
        <color indexed="17"/>
      </left>
      <right style="thin">
        <color indexed="8"/>
      </right>
      <top style="thin">
        <color indexed="8"/>
      </top>
      <bottom style="thin">
        <color indexed="17"/>
      </bottom>
      <diagonal/>
    </border>
    <border>
      <left style="thin">
        <color indexed="8"/>
      </left>
      <right style="thin">
        <color indexed="17"/>
      </right>
      <top style="thin">
        <color indexed="17"/>
      </top>
      <bottom style="thin">
        <color indexed="8"/>
      </bottom>
      <diagonal/>
    </border>
    <border>
      <left style="thin">
        <color indexed="17"/>
      </left>
      <right style="thin">
        <color indexed="8"/>
      </right>
      <top style="thin">
        <color indexed="17"/>
      </top>
      <bottom style="thin">
        <color indexed="8"/>
      </bottom>
      <diagonal/>
    </border>
    <border>
      <left style="thin">
        <color indexed="8"/>
      </left>
      <right style="thin">
        <color indexed="17"/>
      </right>
      <top style="thin">
        <color indexed="17"/>
      </top>
      <bottom/>
      <diagonal/>
    </border>
    <border>
      <left style="thin">
        <color indexed="17"/>
      </left>
      <right/>
      <top style="thin">
        <color indexed="8"/>
      </top>
      <bottom/>
      <diagonal/>
    </border>
    <border>
      <left/>
      <right/>
      <top style="thin">
        <color indexed="8"/>
      </top>
      <bottom/>
      <diagonal/>
    </border>
    <border>
      <left style="thin">
        <color indexed="17"/>
      </left>
      <right style="thin">
        <color indexed="17"/>
      </right>
      <top/>
      <bottom/>
      <diagonal/>
    </border>
    <border>
      <left/>
      <right style="thin">
        <color indexed="8"/>
      </right>
      <top/>
      <bottom/>
      <diagonal/>
    </border>
    <border>
      <left style="thin">
        <color indexed="8"/>
      </left>
      <right style="thin">
        <color indexed="8"/>
      </right>
      <top style="thin">
        <color indexed="8"/>
      </top>
      <bottom/>
      <diagonal/>
    </border>
    <border>
      <left/>
      <right/>
      <top style="thin">
        <color indexed="8"/>
      </top>
      <bottom style="thin">
        <color indexed="8"/>
      </bottom>
      <diagonal/>
    </border>
    <border>
      <left style="thin">
        <color indexed="8"/>
      </left>
      <right style="thin">
        <color indexed="17"/>
      </right>
      <top/>
      <bottom/>
      <diagonal/>
    </border>
    <border>
      <left style="thin">
        <color indexed="8"/>
      </left>
      <right style="thin">
        <color indexed="8"/>
      </right>
      <top/>
      <bottom style="thin">
        <color indexed="8"/>
      </bottom>
      <diagonal/>
    </border>
    <border>
      <left style="thin">
        <color indexed="8"/>
      </left>
      <right/>
      <top/>
      <bottom/>
      <diagonal/>
    </border>
    <border>
      <left/>
      <right style="thin">
        <color indexed="17"/>
      </right>
      <top/>
      <bottom style="thin">
        <color indexed="8"/>
      </bottom>
      <diagonal/>
    </border>
    <border>
      <left style="thin">
        <color indexed="8"/>
      </left>
      <right style="thin">
        <color indexed="8"/>
      </right>
      <top/>
      <bottom/>
      <diagonal/>
    </border>
    <border>
      <left/>
      <right style="thin">
        <color indexed="17"/>
      </right>
      <top style="thin">
        <color indexed="8"/>
      </top>
      <bottom/>
      <diagonal/>
    </border>
    <border>
      <left style="thin">
        <color indexed="17"/>
      </left>
      <right style="thin">
        <color indexed="9"/>
      </right>
      <top style="thin">
        <color indexed="17"/>
      </top>
      <bottom style="thin">
        <color indexed="17"/>
      </bottom>
      <diagonal/>
    </border>
    <border>
      <left style="thin">
        <color indexed="9"/>
      </left>
      <right style="thin">
        <color indexed="17"/>
      </right>
      <top style="thin">
        <color indexed="17"/>
      </top>
      <bottom style="thin">
        <color indexed="17"/>
      </bottom>
      <diagonal/>
    </border>
    <border>
      <left style="thin">
        <color indexed="17"/>
      </left>
      <right style="thin">
        <color indexed="9"/>
      </right>
      <top style="thin">
        <color indexed="17"/>
      </top>
      <bottom style="thin">
        <color indexed="8"/>
      </bottom>
      <diagonal/>
    </border>
    <border>
      <left style="thin">
        <color indexed="9"/>
      </left>
      <right style="thin">
        <color indexed="17"/>
      </right>
      <top style="thin">
        <color indexed="17"/>
      </top>
      <bottom style="thin">
        <color indexed="8"/>
      </bottom>
      <diagonal/>
    </border>
    <border>
      <left style="thin">
        <color indexed="8"/>
      </left>
      <right style="thin">
        <color indexed="8"/>
      </right>
      <top style="thin">
        <color indexed="17"/>
      </top>
      <bottom style="thin">
        <color indexed="17"/>
      </bottom>
      <diagonal/>
    </border>
    <border>
      <left style="thin">
        <color indexed="17"/>
      </left>
      <right style="thin">
        <color indexed="8"/>
      </right>
      <top style="thin">
        <color indexed="17"/>
      </top>
      <bottom/>
      <diagonal/>
    </border>
    <border>
      <left style="thin">
        <color indexed="8"/>
      </left>
      <right style="thin">
        <color indexed="8"/>
      </right>
      <top style="thin">
        <color indexed="8"/>
      </top>
      <bottom style="thin">
        <color indexed="17"/>
      </bottom>
      <diagonal/>
    </border>
    <border>
      <left style="thin">
        <color indexed="8"/>
      </left>
      <right style="thin">
        <color indexed="8"/>
      </right>
      <top/>
      <bottom style="thin">
        <color indexed="17"/>
      </bottom>
      <diagonal/>
    </border>
    <border>
      <left style="thin">
        <color indexed="8"/>
      </left>
      <right style="thin">
        <color indexed="8"/>
      </right>
      <top style="thin">
        <color indexed="17"/>
      </top>
      <bottom style="thin">
        <color indexed="8"/>
      </bottom>
      <diagonal/>
    </border>
  </borders>
  <cellStyleXfs count="1">
    <xf numFmtId="0" fontId="0" applyNumberFormat="0" applyFont="1" applyFill="0" applyBorder="0" applyAlignment="1" applyProtection="0">
      <alignment vertical="bottom"/>
    </xf>
  </cellStyleXfs>
  <cellXfs count="116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49" fontId="6" fillId="2" borderId="1"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49" fontId="7" fillId="2" borderId="1" applyNumberFormat="1" applyFont="1" applyFill="1" applyBorder="1" applyAlignment="1" applyProtection="0">
      <alignment vertical="bottom"/>
    </xf>
    <xf numFmtId="0" fontId="0" fillId="2" borderId="3"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49" fontId="8" fillId="2" borderId="5" applyNumberFormat="1" applyFont="1" applyFill="1" applyBorder="1" applyAlignment="1" applyProtection="0">
      <alignment vertical="bottom"/>
    </xf>
    <xf numFmtId="0" fontId="7" fillId="2" borderId="1"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1"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0" fontId="11" fillId="2" borderId="1" applyNumberFormat="0" applyFont="1" applyFill="1" applyBorder="1" applyAlignment="1" applyProtection="0">
      <alignment vertical="bottom"/>
    </xf>
    <xf numFmtId="0" fontId="12" fillId="2" borderId="1" applyNumberFormat="0" applyFont="1" applyFill="1" applyBorder="1" applyAlignment="1" applyProtection="0">
      <alignment horizontal="center" vertical="bottom"/>
    </xf>
    <xf numFmtId="49" fontId="12" fillId="2" borderId="1" applyNumberFormat="1" applyFont="1" applyFill="1" applyBorder="1" applyAlignment="1" applyProtection="0">
      <alignment horizontal="left" vertical="bottom"/>
    </xf>
    <xf numFmtId="49" fontId="12" fillId="2" borderId="1" applyNumberFormat="1" applyFont="1" applyFill="1" applyBorder="1" applyAlignment="1" applyProtection="0">
      <alignment horizontal="center" vertical="bottom"/>
    </xf>
    <xf numFmtId="59" fontId="12" fillId="2" borderId="1" applyNumberFormat="1" applyFont="1" applyFill="1" applyBorder="1" applyAlignment="1" applyProtection="0">
      <alignment horizontal="left" vertical="bottom"/>
    </xf>
    <xf numFmtId="0" fontId="12" fillId="2" borderId="1" applyNumberFormat="0" applyFont="1" applyFill="1" applyBorder="1" applyAlignment="1" applyProtection="0">
      <alignment horizontal="left" vertical="bottom"/>
    </xf>
    <xf numFmtId="0" fontId="12" fillId="2" borderId="8" applyNumberFormat="0" applyFont="1" applyFill="1" applyBorder="1" applyAlignment="1" applyProtection="0">
      <alignment horizontal="left" vertical="bottom"/>
    </xf>
    <xf numFmtId="0" fontId="12" fillId="2" borderId="3" applyNumberFormat="0" applyFont="1" applyFill="1" applyBorder="1" applyAlignment="1" applyProtection="0">
      <alignment horizontal="center" vertical="bottom"/>
    </xf>
    <xf numFmtId="49" fontId="7" fillId="5" borderId="9" applyNumberFormat="1" applyFont="1" applyFill="1" applyBorder="1" applyAlignment="1" applyProtection="0">
      <alignment horizontal="center" vertical="bottom"/>
    </xf>
    <xf numFmtId="0" fontId="7" fillId="5" borderId="10" applyNumberFormat="0" applyFont="1" applyFill="1" applyBorder="1" applyAlignment="1" applyProtection="0">
      <alignment horizontal="center" vertical="bottom"/>
    </xf>
    <xf numFmtId="0" fontId="7" fillId="5" borderId="11" applyNumberFormat="0" applyFont="1" applyFill="1" applyBorder="1" applyAlignment="1" applyProtection="0">
      <alignment horizontal="center" vertical="bottom"/>
    </xf>
    <xf numFmtId="0" fontId="0" fillId="2" borderId="5" applyNumberFormat="0" applyFont="1" applyFill="1" applyBorder="1" applyAlignment="1" applyProtection="0">
      <alignment vertical="bottom"/>
    </xf>
    <xf numFmtId="0" fontId="11" fillId="2" borderId="1" applyNumberFormat="0" applyFont="1" applyFill="1" applyBorder="1" applyAlignment="1" applyProtection="0">
      <alignment horizontal="center" vertical="center"/>
    </xf>
    <xf numFmtId="0" fontId="0" fillId="2" borderId="12" applyNumberFormat="0" applyFont="1" applyFill="1" applyBorder="1" applyAlignment="1" applyProtection="0">
      <alignment vertical="bottom"/>
    </xf>
    <xf numFmtId="49" fontId="13" fillId="2" borderId="13" applyNumberFormat="1" applyFont="1" applyFill="1" applyBorder="1" applyAlignment="1" applyProtection="0">
      <alignment horizontal="center" vertical="bottom"/>
    </xf>
    <xf numFmtId="0" fontId="12" fillId="2" borderId="14" applyNumberFormat="0" applyFont="1" applyFill="1" applyBorder="1" applyAlignment="1" applyProtection="0">
      <alignment horizontal="center" vertical="bottom"/>
    </xf>
    <xf numFmtId="0" fontId="7" fillId="5" borderId="15" applyNumberFormat="0" applyFont="1" applyFill="1" applyBorder="1" applyAlignment="1" applyProtection="0">
      <alignment horizontal="center" vertical="bottom"/>
    </xf>
    <xf numFmtId="0" fontId="7" fillId="5" borderId="16" applyNumberFormat="0" applyFont="1" applyFill="1" applyBorder="1" applyAlignment="1" applyProtection="0">
      <alignment horizontal="center" vertical="bottom"/>
    </xf>
    <xf numFmtId="0" fontId="7" fillId="5" borderId="17" applyNumberFormat="0" applyFont="1" applyFill="1" applyBorder="1" applyAlignment="1" applyProtection="0">
      <alignment horizontal="center" vertical="bottom"/>
    </xf>
    <xf numFmtId="0" fontId="14" fillId="2" borderId="2" applyNumberFormat="0" applyFont="1" applyFill="1" applyBorder="1" applyAlignment="1" applyProtection="0">
      <alignment vertical="bottom"/>
    </xf>
    <xf numFmtId="0" fontId="11" fillId="2" borderId="2" applyNumberFormat="0" applyFont="1" applyFill="1" applyBorder="1" applyAlignment="1" applyProtection="0">
      <alignment horizontal="center" vertical="bottom"/>
    </xf>
    <xf numFmtId="60" fontId="11" fillId="2" borderId="2" applyNumberFormat="1" applyFont="1" applyFill="1" applyBorder="1" applyAlignment="1" applyProtection="0">
      <alignment horizontal="center" vertical="bottom"/>
    </xf>
    <xf numFmtId="49" fontId="15" fillId="2" borderId="18" applyNumberFormat="1" applyFont="1" applyFill="1" applyBorder="1" applyAlignment="1" applyProtection="0">
      <alignment horizontal="center" vertical="bottom"/>
    </xf>
    <xf numFmtId="0" fontId="15" fillId="2" borderId="8" applyNumberFormat="0" applyFont="1" applyFill="1" applyBorder="1" applyAlignment="1" applyProtection="0">
      <alignment horizontal="center" vertical="bottom"/>
    </xf>
    <xf numFmtId="0" fontId="15" fillId="2" borderId="19" applyNumberFormat="0" applyFont="1" applyFill="1" applyBorder="1" applyAlignment="1" applyProtection="0">
      <alignment horizontal="center" vertical="bottom"/>
    </xf>
    <xf numFmtId="1" fontId="7" fillId="6" borderId="6" applyNumberFormat="1" applyFont="1" applyFill="1" applyBorder="1" applyAlignment="1" applyProtection="0">
      <alignment horizontal="center" vertical="bottom"/>
    </xf>
    <xf numFmtId="49" fontId="11" fillId="2" borderId="20" applyNumberFormat="1" applyFont="1" applyFill="1" applyBorder="1" applyAlignment="1" applyProtection="0">
      <alignment vertical="bottom"/>
    </xf>
    <xf numFmtId="49" fontId="13" fillId="2" borderId="21" applyNumberFormat="1" applyFont="1" applyFill="1" applyBorder="1" applyAlignment="1" applyProtection="0">
      <alignment horizontal="center" vertical="center" wrapText="1"/>
    </xf>
    <xf numFmtId="49" fontId="13" fillId="6" borderId="22" applyNumberFormat="1" applyFont="1" applyFill="1" applyBorder="1" applyAlignment="1" applyProtection="0">
      <alignment horizontal="center" vertical="center" wrapText="1"/>
    </xf>
    <xf numFmtId="0" fontId="0" fillId="2" borderId="20" applyNumberFormat="0" applyFont="1" applyFill="1" applyBorder="1" applyAlignment="1" applyProtection="0">
      <alignment vertical="bottom"/>
    </xf>
    <xf numFmtId="49" fontId="9" fillId="5" borderId="23" applyNumberFormat="1" applyFont="1" applyFill="1" applyBorder="1" applyAlignment="1" applyProtection="0">
      <alignment horizontal="center" vertical="bottom"/>
    </xf>
    <xf numFmtId="0" fontId="9" fillId="5" borderId="24" applyNumberFormat="0" applyFont="1" applyFill="1" applyBorder="1" applyAlignment="1" applyProtection="0">
      <alignment horizontal="center" vertical="bottom"/>
    </xf>
    <xf numFmtId="0" fontId="9" fillId="5" borderId="25" applyNumberFormat="0" applyFont="1" applyFill="1" applyBorder="1" applyAlignment="1" applyProtection="0">
      <alignment horizontal="center" vertical="bottom"/>
    </xf>
    <xf numFmtId="49" fontId="11" fillId="2" borderId="26" applyNumberFormat="1" applyFont="1" applyFill="1" applyBorder="1" applyAlignment="1" applyProtection="0">
      <alignment horizontal="center" vertical="bottom"/>
    </xf>
    <xf numFmtId="0" fontId="11" fillId="2" borderId="26" applyNumberFormat="0" applyFont="1" applyFill="1" applyBorder="1" applyAlignment="1" applyProtection="0">
      <alignment horizontal="center" vertical="bottom"/>
    </xf>
    <xf numFmtId="0" fontId="0" fillId="2" borderId="7" applyNumberFormat="0" applyFont="1" applyFill="1" applyBorder="1" applyAlignment="1" applyProtection="0">
      <alignment vertical="bottom"/>
    </xf>
    <xf numFmtId="0" fontId="11" fillId="2" borderId="20" applyNumberFormat="0" applyFont="1" applyFill="1" applyBorder="1" applyAlignment="1" applyProtection="0">
      <alignment horizontal="center" vertical="center" wrapText="1"/>
    </xf>
    <xf numFmtId="0" fontId="11" fillId="6" borderId="27" applyNumberFormat="0" applyFont="1" applyFill="1" applyBorder="1" applyAlignment="1" applyProtection="0">
      <alignment horizontal="center" vertical="center" wrapText="1"/>
    </xf>
    <xf numFmtId="0" fontId="13" fillId="2" borderId="20" applyNumberFormat="0" applyFont="1" applyFill="1" applyBorder="1" applyAlignment="1" applyProtection="0">
      <alignment horizontal="center" vertical="center" wrapText="1"/>
    </xf>
    <xf numFmtId="49" fontId="14" fillId="2" borderId="28" applyNumberFormat="1" applyFont="1" applyFill="1" applyBorder="1" applyAlignment="1" applyProtection="0">
      <alignment vertical="bottom"/>
    </xf>
    <xf numFmtId="61" fontId="12" fillId="6" borderId="29" applyNumberFormat="1" applyFont="1" applyFill="1" applyBorder="1" applyAlignment="1" applyProtection="0">
      <alignment horizontal="center" vertical="bottom"/>
    </xf>
    <xf numFmtId="49" fontId="12" fillId="6" borderId="30" applyNumberFormat="1" applyFont="1" applyFill="1" applyBorder="1" applyAlignment="1" applyProtection="0">
      <alignment horizontal="left" vertical="bottom"/>
    </xf>
    <xf numFmtId="49" fontId="11" fillId="3" borderId="13" applyNumberFormat="1" applyFont="1" applyFill="1" applyBorder="1" applyAlignment="1" applyProtection="0">
      <alignment horizontal="center" vertical="center"/>
    </xf>
    <xf numFmtId="0" fontId="11" fillId="3" borderId="13" applyNumberFormat="0" applyFont="1" applyFill="1" applyBorder="1" applyAlignment="1" applyProtection="0">
      <alignment horizontal="center" vertical="center"/>
    </xf>
    <xf numFmtId="14" fontId="11" fillId="3" borderId="13" applyNumberFormat="1" applyFont="1" applyFill="1" applyBorder="1" applyAlignment="1" applyProtection="0">
      <alignment horizontal="center" vertical="center"/>
    </xf>
    <xf numFmtId="9" fontId="16" fillId="2" borderId="31" applyNumberFormat="1" applyFont="1" applyFill="1" applyBorder="1" applyAlignment="1" applyProtection="0">
      <alignment horizontal="center" vertical="bottom"/>
    </xf>
    <xf numFmtId="0" fontId="11" fillId="2" borderId="32" applyNumberFormat="0" applyFont="1" applyFill="1" applyBorder="1" applyAlignment="1" applyProtection="0">
      <alignment horizontal="center" vertical="center" wrapText="1"/>
    </xf>
    <xf numFmtId="0" fontId="11" fillId="6" borderId="33" applyNumberFormat="0" applyFont="1" applyFill="1" applyBorder="1" applyAlignment="1" applyProtection="0">
      <alignment horizontal="center" vertical="center" wrapText="1"/>
    </xf>
    <xf numFmtId="0" fontId="13" fillId="2" borderId="32" applyNumberFormat="0" applyFont="1" applyFill="1" applyBorder="1" applyAlignment="1" applyProtection="0">
      <alignment horizontal="center" vertical="center" wrapText="1"/>
    </xf>
    <xf numFmtId="49" fontId="14" fillId="2" borderId="34" applyNumberFormat="1" applyFont="1" applyFill="1" applyBorder="1" applyAlignment="1" applyProtection="0">
      <alignment vertical="bottom"/>
    </xf>
    <xf numFmtId="0" fontId="12" fillId="6" borderId="13" applyNumberFormat="1" applyFont="1" applyFill="1" applyBorder="1" applyAlignment="1" applyProtection="0">
      <alignment horizontal="center" vertical="bottom"/>
    </xf>
    <xf numFmtId="49" fontId="12" fillId="6" borderId="35" applyNumberFormat="1" applyFont="1" applyFill="1" applyBorder="1" applyAlignment="1" applyProtection="0">
      <alignment horizontal="left" vertical="bottom"/>
    </xf>
    <xf numFmtId="49" fontId="12" fillId="3" borderId="13" applyNumberFormat="1" applyFont="1" applyFill="1" applyBorder="1" applyAlignment="1" applyProtection="0">
      <alignment horizontal="center" vertical="bottom"/>
    </xf>
    <xf numFmtId="49" fontId="13" fillId="3" borderId="13" applyNumberFormat="1" applyFont="1" applyFill="1" applyBorder="1" applyAlignment="1" applyProtection="0">
      <alignment horizontal="center" vertical="bottom"/>
    </xf>
    <xf numFmtId="59" fontId="13" fillId="3" borderId="13" applyNumberFormat="1" applyFont="1" applyFill="1" applyBorder="1" applyAlignment="1" applyProtection="0">
      <alignment horizontal="center" vertical="bottom"/>
    </xf>
    <xf numFmtId="49" fontId="13" fillId="2" borderId="4" applyNumberFormat="1" applyFont="1" applyFill="1" applyBorder="1" applyAlignment="1" applyProtection="0">
      <alignment vertical="bottom"/>
    </xf>
    <xf numFmtId="61" fontId="12" fillId="3" borderId="4" applyNumberFormat="1" applyFont="1" applyFill="1" applyBorder="1" applyAlignment="1" applyProtection="0">
      <alignment horizontal="center" vertical="bottom"/>
    </xf>
    <xf numFmtId="0" fontId="12" fillId="6" borderId="4" applyNumberFormat="1" applyFont="1" applyFill="1" applyBorder="1" applyAlignment="1" applyProtection="0">
      <alignment horizontal="center" vertical="bottom"/>
    </xf>
    <xf numFmtId="49" fontId="12" fillId="6" borderId="4" applyNumberFormat="1" applyFont="1" applyFill="1" applyBorder="1" applyAlignment="1" applyProtection="0">
      <alignment horizontal="center" vertical="bottom"/>
    </xf>
    <xf numFmtId="49" fontId="13" fillId="3" borderId="13" applyNumberFormat="1" applyFont="1" applyFill="1" applyBorder="1" applyAlignment="1" applyProtection="0">
      <alignment horizontal="center" vertical="center"/>
    </xf>
    <xf numFmtId="14" fontId="13" fillId="3" borderId="13" applyNumberFormat="1" applyFont="1" applyFill="1" applyBorder="1" applyAlignment="1" applyProtection="0">
      <alignment horizontal="center" vertical="center"/>
    </xf>
    <xf numFmtId="49" fontId="13" fillId="2" borderId="36" applyNumberFormat="1" applyFont="1" applyFill="1" applyBorder="1" applyAlignment="1" applyProtection="0">
      <alignment vertical="bottom"/>
    </xf>
    <xf numFmtId="0" fontId="12" fillId="3" borderId="36" applyNumberFormat="1" applyFont="1" applyFill="1" applyBorder="1" applyAlignment="1" applyProtection="0">
      <alignment horizontal="center" vertical="bottom"/>
    </xf>
    <xf numFmtId="0" fontId="12" fillId="6" borderId="36" applyNumberFormat="1" applyFont="1" applyFill="1" applyBorder="1" applyAlignment="1" applyProtection="0">
      <alignment horizontal="center" vertical="bottom"/>
    </xf>
    <xf numFmtId="49" fontId="12" fillId="6" borderId="36" applyNumberFormat="1" applyFont="1" applyFill="1" applyBorder="1" applyAlignment="1" applyProtection="0">
      <alignment horizontal="center" vertical="bottom"/>
    </xf>
    <xf numFmtId="61" fontId="12" fillId="7" borderId="13" applyNumberFormat="1" applyFont="1" applyFill="1" applyBorder="1" applyAlignment="1" applyProtection="0">
      <alignment horizontal="center" vertical="bottom"/>
    </xf>
    <xf numFmtId="0" fontId="12" fillId="2" borderId="37" applyNumberFormat="0" applyFont="1" applyFill="1" applyBorder="1" applyAlignment="1" applyProtection="0">
      <alignment horizontal="left" vertical="center"/>
    </xf>
    <xf numFmtId="0" fontId="13" fillId="2" borderId="37" applyNumberFormat="0" applyFont="1" applyFill="1" applyBorder="1" applyAlignment="1" applyProtection="0">
      <alignment horizontal="center" vertical="bottom"/>
    </xf>
    <xf numFmtId="15" fontId="13" fillId="2" borderId="37" applyNumberFormat="1" applyFont="1" applyFill="1" applyBorder="1" applyAlignment="1" applyProtection="0">
      <alignment horizontal="center" vertical="bottom"/>
    </xf>
    <xf numFmtId="0" fontId="0" fillId="2" borderId="37" applyNumberFormat="0" applyFont="1" applyFill="1" applyBorder="1" applyAlignment="1" applyProtection="0">
      <alignment vertical="bottom"/>
    </xf>
    <xf numFmtId="9" fontId="16" fillId="2" borderId="1" applyNumberFormat="1" applyFont="1" applyFill="1" applyBorder="1" applyAlignment="1" applyProtection="0">
      <alignment horizontal="center" vertical="bottom"/>
    </xf>
    <xf numFmtId="49" fontId="13" fillId="2" borderId="6" applyNumberFormat="1" applyFont="1" applyFill="1" applyBorder="1" applyAlignment="1" applyProtection="0">
      <alignment vertical="bottom"/>
    </xf>
    <xf numFmtId="0" fontId="12" fillId="3" borderId="6" applyNumberFormat="1" applyFont="1" applyFill="1" applyBorder="1" applyAlignment="1" applyProtection="0">
      <alignment horizontal="center" vertical="bottom"/>
    </xf>
    <xf numFmtId="0" fontId="12" fillId="6" borderId="6" applyNumberFormat="1" applyFont="1" applyFill="1" applyBorder="1" applyAlignment="1" applyProtection="0">
      <alignment horizontal="center" vertical="bottom"/>
    </xf>
    <xf numFmtId="49" fontId="12" fillId="6" borderId="6" applyNumberFormat="1" applyFont="1" applyFill="1" applyBorder="1" applyAlignment="1" applyProtection="0">
      <alignment horizontal="center" vertical="bottom"/>
    </xf>
    <xf numFmtId="49" fontId="12" fillId="6" borderId="13" applyNumberFormat="1" applyFont="1" applyFill="1" applyBorder="1" applyAlignment="1" applyProtection="0">
      <alignment horizontal="center" vertical="bottom"/>
    </xf>
    <xf numFmtId="0" fontId="12" fillId="2" borderId="1" applyNumberFormat="0" applyFont="1" applyFill="1" applyBorder="1" applyAlignment="1" applyProtection="0">
      <alignment horizontal="left" vertical="center"/>
    </xf>
    <xf numFmtId="0" fontId="12" fillId="2" borderId="1" applyNumberFormat="0" applyFont="1" applyFill="1" applyBorder="1" applyAlignment="1" applyProtection="0">
      <alignment horizontal="right" vertical="bottom"/>
    </xf>
    <xf numFmtId="15" fontId="12" fillId="2" borderId="1" applyNumberFormat="1" applyFont="1" applyFill="1" applyBorder="1" applyAlignment="1" applyProtection="0">
      <alignment horizontal="right" vertical="center"/>
    </xf>
    <xf numFmtId="0" fontId="12" fillId="2" borderId="7" applyNumberFormat="0" applyFont="1" applyFill="1" applyBorder="1" applyAlignment="1" applyProtection="0">
      <alignment horizontal="left" vertical="bottom"/>
    </xf>
    <xf numFmtId="15" fontId="0" fillId="2" borderId="7" applyNumberFormat="1" applyFont="1" applyFill="1" applyBorder="1" applyAlignment="1" applyProtection="0">
      <alignment vertical="bottom"/>
    </xf>
    <xf numFmtId="0" fontId="12" fillId="2" borderId="7" applyNumberFormat="0" applyFont="1" applyFill="1" applyBorder="1" applyAlignment="1" applyProtection="0">
      <alignment horizontal="center" vertical="bottom"/>
    </xf>
    <xf numFmtId="49" fontId="11" fillId="2" borderId="38" applyNumberFormat="1" applyFont="1" applyFill="1" applyBorder="1" applyAlignment="1" applyProtection="0">
      <alignment vertical="bottom"/>
    </xf>
    <xf numFmtId="1" fontId="12" fillId="6" borderId="39" applyNumberFormat="1" applyFont="1" applyFill="1" applyBorder="1" applyAlignment="1" applyProtection="0">
      <alignment horizontal="center" vertical="bottom"/>
    </xf>
    <xf numFmtId="49" fontId="12" fillId="6" borderId="40" applyNumberFormat="1" applyFont="1" applyFill="1" applyBorder="1" applyAlignment="1" applyProtection="0">
      <alignment horizontal="left" vertical="bottom"/>
    </xf>
    <xf numFmtId="15" fontId="0" fillId="2" borderId="1" applyNumberFormat="1" applyFont="1" applyFill="1" applyBorder="1" applyAlignment="1" applyProtection="0">
      <alignment vertical="bottom"/>
    </xf>
    <xf numFmtId="60" fontId="11" fillId="2" borderId="7" applyNumberFormat="1" applyFont="1" applyFill="1" applyBorder="1" applyAlignment="1" applyProtection="0">
      <alignment horizontal="center" vertical="bottom"/>
    </xf>
    <xf numFmtId="62" fontId="11" fillId="2" borderId="7" applyNumberFormat="1" applyFont="1" applyFill="1" applyBorder="1" applyAlignment="1" applyProtection="0">
      <alignment horizontal="center" vertical="bottom"/>
    </xf>
    <xf numFmtId="2" fontId="12" fillId="2" borderId="1" applyNumberFormat="1" applyFont="1" applyFill="1" applyBorder="1" applyAlignment="1" applyProtection="0">
      <alignment horizontal="left" vertical="bottom"/>
    </xf>
    <xf numFmtId="0" fontId="19" fillId="2" borderId="8" applyNumberFormat="1" applyFont="1" applyFill="1" applyBorder="1" applyAlignment="1" applyProtection="0">
      <alignment horizontal="center" vertical="bottom"/>
    </xf>
    <xf numFmtId="1" fontId="0" fillId="2" borderId="1" applyNumberFormat="1" applyFont="1" applyFill="1" applyBorder="1" applyAlignment="1" applyProtection="0">
      <alignment vertical="bottom"/>
    </xf>
    <xf numFmtId="1" fontId="11" fillId="2" borderId="1" applyNumberFormat="1" applyFont="1" applyFill="1" applyBorder="1" applyAlignment="1" applyProtection="0">
      <alignment vertical="bottom"/>
    </xf>
    <xf numFmtId="0" fontId="11" fillId="2" borderId="1" applyNumberFormat="0" applyFont="1" applyFill="1" applyBorder="1" applyAlignment="1" applyProtection="0">
      <alignment horizontal="center" vertical="center" wrapText="1"/>
    </xf>
    <xf numFmtId="63" fontId="11" fillId="2" borderId="1" applyNumberFormat="1" applyFont="1" applyFill="1" applyBorder="1" applyAlignment="1" applyProtection="0">
      <alignment horizontal="center" vertical="bottom"/>
    </xf>
    <xf numFmtId="64" fontId="12" fillId="2" borderId="1" applyNumberFormat="1" applyFont="1" applyFill="1" applyBorder="1" applyAlignment="1" applyProtection="0">
      <alignment horizontal="left" vertical="bottom"/>
    </xf>
    <xf numFmtId="0" fontId="12" fillId="2" borderId="12" applyNumberFormat="0" applyFont="1" applyFill="1" applyBorder="1" applyAlignment="1" applyProtection="0">
      <alignment horizontal="left" vertical="bottom"/>
    </xf>
    <xf numFmtId="49" fontId="20" fillId="2" borderId="13" applyNumberFormat="1" applyFont="1" applyFill="1" applyBorder="1" applyAlignment="1" applyProtection="0">
      <alignment horizontal="center" vertical="bottom"/>
    </xf>
    <xf numFmtId="0" fontId="0" fillId="2" borderId="31" applyNumberFormat="0" applyFont="1" applyFill="1" applyBorder="1" applyAlignment="1" applyProtection="0">
      <alignment vertical="bottom"/>
    </xf>
    <xf numFmtId="0" fontId="14" fillId="2" borderId="1" applyNumberFormat="0" applyFont="1" applyFill="1" applyBorder="1" applyAlignment="1" applyProtection="0">
      <alignment vertical="bottom"/>
    </xf>
    <xf numFmtId="60" fontId="11" fillId="2" borderId="1" applyNumberFormat="1" applyFont="1" applyFill="1" applyBorder="1" applyAlignment="1" applyProtection="0">
      <alignment horizontal="center" vertical="bottom"/>
    </xf>
    <xf numFmtId="0" fontId="21" fillId="2" borderId="1" applyNumberFormat="0" applyFont="1" applyFill="1" applyBorder="1" applyAlignment="1" applyProtection="0">
      <alignment horizontal="left" vertical="bottom"/>
    </xf>
    <xf numFmtId="49" fontId="7" fillId="2" borderId="37" applyNumberFormat="1" applyFont="1" applyFill="1" applyBorder="1" applyAlignment="1" applyProtection="0">
      <alignment horizontal="center" vertical="bottom"/>
    </xf>
    <xf numFmtId="0" fontId="12" fillId="2" borderId="2" applyNumberFormat="0" applyFont="1" applyFill="1" applyBorder="1" applyAlignment="1" applyProtection="0">
      <alignment horizontal="center" vertical="bottom"/>
    </xf>
    <xf numFmtId="0" fontId="21" fillId="2" borderId="1" applyNumberFormat="0" applyFont="1" applyFill="1" applyBorder="1" applyAlignment="1" applyProtection="0">
      <alignment vertical="bottom"/>
    </xf>
    <xf numFmtId="0" fontId="13" fillId="2" borderId="28" applyNumberFormat="0" applyFont="1" applyFill="1" applyBorder="1" applyAlignment="1" applyProtection="0">
      <alignment horizontal="center" vertical="bottom"/>
    </xf>
    <xf numFmtId="49" fontId="11" fillId="6" borderId="29" applyNumberFormat="1" applyFont="1" applyFill="1" applyBorder="1" applyAlignment="1" applyProtection="0">
      <alignment horizontal="center" vertical="center" wrapText="1"/>
    </xf>
    <xf numFmtId="49" fontId="13" fillId="6" borderId="29" applyNumberFormat="1" applyFont="1" applyFill="1" applyBorder="1" applyAlignment="1" applyProtection="0">
      <alignment horizontal="center" vertical="center" wrapText="1"/>
    </xf>
    <xf numFmtId="0" fontId="13" fillId="6" borderId="29" applyNumberFormat="0" applyFont="1" applyFill="1" applyBorder="1" applyAlignment="1" applyProtection="0">
      <alignment horizontal="center" vertical="center" wrapText="1"/>
    </xf>
    <xf numFmtId="49" fontId="13" fillId="6" borderId="41" applyNumberFormat="1" applyFont="1" applyFill="1" applyBorder="1" applyAlignment="1" applyProtection="0">
      <alignment vertical="bottom"/>
    </xf>
    <xf numFmtId="0" fontId="11" fillId="2" borderId="1" applyNumberFormat="0" applyFont="1" applyFill="1" applyBorder="1" applyAlignment="1" applyProtection="0">
      <alignment horizontal="center" vertical="bottom" wrapText="1"/>
    </xf>
    <xf numFmtId="49" fontId="11" fillId="2" borderId="34" applyNumberFormat="1" applyFont="1" applyFill="1" applyBorder="1" applyAlignment="1" applyProtection="0">
      <alignment horizontal="center" vertical="bottom"/>
    </xf>
    <xf numFmtId="0" fontId="11" fillId="6" borderId="13" applyNumberFormat="0" applyFont="1" applyFill="1" applyBorder="1" applyAlignment="1" applyProtection="0">
      <alignment horizontal="center" vertical="center" wrapText="1"/>
    </xf>
    <xf numFmtId="49" fontId="13" fillId="6" borderId="42" applyNumberFormat="1" applyFont="1" applyFill="1" applyBorder="1" applyAlignment="1" applyProtection="0">
      <alignment horizontal="center" vertical="center" wrapText="1"/>
    </xf>
    <xf numFmtId="0" fontId="13" fillId="6" borderId="43" applyNumberFormat="0" applyFont="1" applyFill="1" applyBorder="1" applyAlignment="1" applyProtection="0">
      <alignment horizontal="center" vertical="center" wrapText="1"/>
    </xf>
    <xf numFmtId="0" fontId="13" fillId="6" borderId="44" applyNumberFormat="0" applyFont="1" applyFill="1" applyBorder="1" applyAlignment="1" applyProtection="0">
      <alignment vertical="bottom"/>
    </xf>
    <xf numFmtId="0" fontId="11" fillId="2" borderId="1" applyNumberFormat="0" applyFont="1" applyFill="1" applyBorder="1" applyAlignment="1" applyProtection="0">
      <alignment horizontal="center" vertical="bottom"/>
    </xf>
    <xf numFmtId="0" fontId="11" fillId="2" borderId="34" applyNumberFormat="1" applyFont="1" applyFill="1" applyBorder="1" applyAlignment="1" applyProtection="0">
      <alignment horizontal="center" vertical="bottom"/>
    </xf>
    <xf numFmtId="1" fontId="12" fillId="3" borderId="13" applyNumberFormat="1" applyFont="1" applyFill="1" applyBorder="1" applyAlignment="1" applyProtection="0">
      <alignment horizontal="center" vertical="bottom"/>
    </xf>
    <xf numFmtId="1" fontId="0" fillId="3" borderId="42" applyNumberFormat="1" applyFont="1" applyFill="1" applyBorder="1" applyAlignment="1" applyProtection="0">
      <alignment vertical="bottom"/>
    </xf>
    <xf numFmtId="2" fontId="0" fillId="3" borderId="43" applyNumberFormat="1" applyFont="1" applyFill="1" applyBorder="1" applyAlignment="1" applyProtection="0">
      <alignment vertical="bottom"/>
    </xf>
    <xf numFmtId="49" fontId="12" fillId="6" borderId="35" applyNumberFormat="1" applyFont="1" applyFill="1" applyBorder="1" applyAlignment="1" applyProtection="0">
      <alignment horizontal="center" vertical="bottom"/>
    </xf>
    <xf numFmtId="65" fontId="12" fillId="2" borderId="1" applyNumberFormat="1" applyFont="1" applyFill="1" applyBorder="1" applyAlignment="1" applyProtection="0">
      <alignment horizontal="center" vertical="bottom"/>
    </xf>
    <xf numFmtId="49" fontId="11" fillId="2" borderId="3" applyNumberFormat="1" applyFont="1" applyFill="1" applyBorder="1" applyAlignment="1" applyProtection="0">
      <alignment horizontal="right" vertical="bottom"/>
    </xf>
    <xf numFmtId="0" fontId="11" fillId="6" borderId="45" applyNumberFormat="0" applyFont="1" applyFill="1" applyBorder="1" applyAlignment="1" applyProtection="0">
      <alignment horizontal="center" vertical="bottom"/>
    </xf>
    <xf numFmtId="49" fontId="14" fillId="2" borderId="3" applyNumberFormat="1" applyFont="1" applyFill="1" applyBorder="1" applyAlignment="1" applyProtection="0">
      <alignment horizontal="right" vertical="bottom"/>
    </xf>
    <xf numFmtId="66" fontId="11" fillId="6" borderId="45" applyNumberFormat="1" applyFont="1" applyFill="1" applyBorder="1" applyAlignment="1" applyProtection="0">
      <alignment horizontal="center" vertical="bottom"/>
    </xf>
    <xf numFmtId="49" fontId="11" fillId="2" borderId="5" applyNumberFormat="1" applyFont="1" applyFill="1" applyBorder="1" applyAlignment="1" applyProtection="0">
      <alignment vertical="bottom"/>
    </xf>
    <xf numFmtId="9" fontId="12" fillId="2" borderId="1" applyNumberFormat="1" applyFont="1" applyFill="1" applyBorder="1" applyAlignment="1" applyProtection="0">
      <alignment horizontal="left" vertical="bottom"/>
    </xf>
    <xf numFmtId="49" fontId="12" fillId="8" borderId="13" applyNumberFormat="1" applyFont="1" applyFill="1" applyBorder="1" applyAlignment="1" applyProtection="0">
      <alignment horizontal="center" vertical="bottom"/>
    </xf>
    <xf numFmtId="67" fontId="12" fillId="2" borderId="1" applyNumberFormat="1" applyFont="1" applyFill="1" applyBorder="1" applyAlignment="1" applyProtection="0">
      <alignment horizontal="center" vertical="bottom"/>
    </xf>
    <xf numFmtId="0" fontId="0" fillId="2" borderId="46" applyNumberFormat="0" applyFont="1" applyFill="1" applyBorder="1" applyAlignment="1" applyProtection="0">
      <alignment vertical="bottom"/>
    </xf>
    <xf numFmtId="0" fontId="11" fillId="2" borderId="47" applyNumberFormat="0" applyFont="1" applyFill="1" applyBorder="1" applyAlignment="1" applyProtection="0">
      <alignment vertical="bottom"/>
    </xf>
    <xf numFmtId="9" fontId="12" fillId="2" borderId="1" applyNumberFormat="1" applyFont="1" applyFill="1" applyBorder="1" applyAlignment="1" applyProtection="0">
      <alignment horizontal="center" vertical="bottom"/>
    </xf>
    <xf numFmtId="0" fontId="11" fillId="2" borderId="1" applyNumberFormat="0" applyFont="1" applyFill="1" applyBorder="1" applyAlignment="1" applyProtection="0">
      <alignment horizontal="right" vertical="bottom"/>
    </xf>
    <xf numFmtId="68" fontId="11" fillId="3" borderId="45" applyNumberFormat="1" applyFont="1" applyFill="1" applyBorder="1" applyAlignment="1" applyProtection="0">
      <alignment horizontal="center" vertical="bottom"/>
    </xf>
    <xf numFmtId="49" fontId="11" fillId="3" borderId="48" applyNumberFormat="1" applyFont="1" applyFill="1" applyBorder="1" applyAlignment="1" applyProtection="0">
      <alignment horizontal="left" vertical="bottom"/>
    </xf>
    <xf numFmtId="61" fontId="11" fillId="2" borderId="49" applyNumberFormat="1" applyFont="1" applyFill="1" applyBorder="1" applyAlignment="1" applyProtection="0">
      <alignment horizontal="center" vertical="bottom"/>
    </xf>
    <xf numFmtId="61" fontId="11" fillId="2" borderId="1" applyNumberFormat="1" applyFont="1" applyFill="1" applyBorder="1" applyAlignment="1" applyProtection="0">
      <alignment horizontal="center" vertical="bottom"/>
    </xf>
    <xf numFmtId="0" fontId="11" fillId="2" borderId="38" applyNumberFormat="0" applyFont="1" applyFill="1" applyBorder="1" applyAlignment="1" applyProtection="0">
      <alignment vertical="bottom"/>
    </xf>
    <xf numFmtId="49" fontId="11" fillId="6" borderId="39" applyNumberFormat="1" applyFont="1" applyFill="1" applyBorder="1" applyAlignment="1" applyProtection="0">
      <alignment horizontal="right" vertical="bottom"/>
    </xf>
    <xf numFmtId="0" fontId="0" fillId="6" borderId="50" applyNumberFormat="1" applyFont="1" applyFill="1" applyBorder="1" applyAlignment="1" applyProtection="0">
      <alignment vertical="bottom"/>
    </xf>
    <xf numFmtId="0" fontId="0" fillId="6" borderId="51" applyNumberFormat="0" applyFont="1" applyFill="1" applyBorder="1" applyAlignment="1" applyProtection="0">
      <alignment vertical="bottom"/>
    </xf>
    <xf numFmtId="49" fontId="12" fillId="6" borderId="40" applyNumberFormat="1" applyFont="1" applyFill="1" applyBorder="1" applyAlignment="1" applyProtection="0">
      <alignment horizontal="center" vertical="bottom"/>
    </xf>
    <xf numFmtId="0" fontId="11" fillId="2" borderId="52" applyNumberFormat="0" applyFont="1" applyFill="1" applyBorder="1" applyAlignment="1" applyProtection="0">
      <alignment vertical="bottom"/>
    </xf>
    <xf numFmtId="69" fontId="11" fillId="3" borderId="45" applyNumberFormat="1" applyFont="1" applyFill="1" applyBorder="1" applyAlignment="1" applyProtection="0">
      <alignment horizontal="center" vertical="bottom"/>
    </xf>
    <xf numFmtId="0" fontId="11" fillId="2" borderId="5" applyNumberFormat="0" applyFont="1" applyFill="1" applyBorder="1" applyAlignment="1" applyProtection="0">
      <alignment vertical="bottom"/>
    </xf>
    <xf numFmtId="0" fontId="11" fillId="3" borderId="45" applyNumberFormat="1" applyFont="1" applyFill="1" applyBorder="1" applyAlignment="1" applyProtection="0">
      <alignment horizontal="center" vertical="bottom"/>
    </xf>
    <xf numFmtId="0" fontId="11" fillId="2" borderId="5" applyNumberFormat="0" applyFont="1" applyFill="1" applyBorder="1" applyAlignment="1" applyProtection="0">
      <alignment horizontal="left" vertical="bottom"/>
    </xf>
    <xf numFmtId="49" fontId="7" fillId="5" borderId="23" applyNumberFormat="1" applyFont="1" applyFill="1" applyBorder="1" applyAlignment="1" applyProtection="0">
      <alignment horizontal="left" vertical="bottom"/>
    </xf>
    <xf numFmtId="0" fontId="11" fillId="5" borderId="24" applyNumberFormat="0" applyFont="1" applyFill="1" applyBorder="1" applyAlignment="1" applyProtection="0">
      <alignment horizontal="right" vertical="bottom"/>
    </xf>
    <xf numFmtId="0" fontId="11" fillId="5" borderId="24" applyNumberFormat="0" applyFont="1" applyFill="1" applyBorder="1" applyAlignment="1" applyProtection="0">
      <alignment horizontal="left" vertical="bottom"/>
    </xf>
    <xf numFmtId="0" fontId="11" fillId="5" borderId="25" applyNumberFormat="0" applyFont="1" applyFill="1" applyBorder="1" applyAlignment="1" applyProtection="0">
      <alignment horizontal="center" vertical="bottom"/>
    </xf>
    <xf numFmtId="49" fontId="12" fillId="6" borderId="23" applyNumberFormat="1" applyFont="1" applyFill="1" applyBorder="1" applyAlignment="1" applyProtection="0">
      <alignment horizontal="center" vertical="bottom"/>
    </xf>
    <xf numFmtId="0" fontId="12" fillId="6" borderId="25" applyNumberFormat="0" applyFont="1" applyFill="1" applyBorder="1" applyAlignment="1" applyProtection="0">
      <alignment horizontal="center" vertical="bottom"/>
    </xf>
    <xf numFmtId="1" fontId="12" fillId="3" borderId="45" applyNumberFormat="1" applyFont="1" applyFill="1" applyBorder="1" applyAlignment="1" applyProtection="0">
      <alignment horizontal="center" vertical="bottom"/>
    </xf>
    <xf numFmtId="49" fontId="12" fillId="6" borderId="45" applyNumberFormat="1" applyFont="1" applyFill="1" applyBorder="1" applyAlignment="1" applyProtection="0">
      <alignment horizontal="center" vertical="bottom"/>
    </xf>
    <xf numFmtId="0" fontId="11" fillId="2" borderId="5" applyNumberFormat="0" applyFont="1" applyFill="1" applyBorder="1" applyAlignment="1" applyProtection="0">
      <alignment horizontal="center" vertical="bottom"/>
    </xf>
    <xf numFmtId="0" fontId="7" fillId="2" borderId="3" applyNumberFormat="0" applyFont="1" applyFill="1" applyBorder="1" applyAlignment="1" applyProtection="0">
      <alignment horizontal="left" vertical="bottom"/>
    </xf>
    <xf numFmtId="49" fontId="7" fillId="5" borderId="9" applyNumberFormat="1" applyFont="1" applyFill="1" applyBorder="1" applyAlignment="1" applyProtection="0">
      <alignment horizontal="center" vertical="center"/>
    </xf>
    <xf numFmtId="0" fontId="7" fillId="5" borderId="10" applyNumberFormat="0" applyFont="1" applyFill="1" applyBorder="1" applyAlignment="1" applyProtection="0">
      <alignment horizontal="center" vertical="center"/>
    </xf>
    <xf numFmtId="0" fontId="7" fillId="5" borderId="11" applyNumberFormat="0" applyFont="1" applyFill="1" applyBorder="1" applyAlignment="1" applyProtection="0">
      <alignment horizontal="center" vertical="center"/>
    </xf>
    <xf numFmtId="0" fontId="12" fillId="2" borderId="53" applyNumberFormat="0" applyFont="1" applyFill="1" applyBorder="1" applyAlignment="1" applyProtection="0">
      <alignment horizontal="center" vertical="bottom"/>
    </xf>
    <xf numFmtId="0" fontId="12" fillId="2" borderId="46" applyNumberFormat="0" applyFont="1" applyFill="1" applyBorder="1" applyAlignment="1" applyProtection="0">
      <alignment horizontal="center" vertical="bottom"/>
    </xf>
    <xf numFmtId="0" fontId="12" fillId="2" borderId="54" applyNumberFormat="0" applyFont="1" applyFill="1" applyBorder="1" applyAlignment="1" applyProtection="0">
      <alignment horizontal="center" vertical="bottom"/>
    </xf>
    <xf numFmtId="0" fontId="7" fillId="5" borderId="15" applyNumberFormat="0" applyFont="1" applyFill="1" applyBorder="1" applyAlignment="1" applyProtection="0">
      <alignment horizontal="center" vertical="center"/>
    </xf>
    <xf numFmtId="0" fontId="7" fillId="5" borderId="16" applyNumberFormat="0" applyFont="1" applyFill="1" applyBorder="1" applyAlignment="1" applyProtection="0">
      <alignment horizontal="center" vertical="center"/>
    </xf>
    <xf numFmtId="0" fontId="7" fillId="5" borderId="17" applyNumberFormat="0" applyFont="1" applyFill="1" applyBorder="1" applyAlignment="1" applyProtection="0">
      <alignment horizontal="center" vertical="center"/>
    </xf>
    <xf numFmtId="0" fontId="7" fillId="2" borderId="20" applyNumberFormat="0" applyFont="1" applyFill="1" applyBorder="1" applyAlignment="1" applyProtection="0">
      <alignment vertical="center" wrapText="1"/>
    </xf>
    <xf numFmtId="49" fontId="11" fillId="2" borderId="21" applyNumberFormat="1" applyFont="1" applyFill="1" applyBorder="1" applyAlignment="1" applyProtection="0">
      <alignment horizontal="center" vertical="center"/>
    </xf>
    <xf numFmtId="49" fontId="11" fillId="2" borderId="45" applyNumberFormat="1" applyFont="1" applyFill="1" applyBorder="1" applyAlignment="1" applyProtection="0">
      <alignment horizontal="center" vertical="bottom"/>
    </xf>
    <xf numFmtId="1" fontId="12" fillId="2" borderId="3" applyNumberFormat="1" applyFont="1" applyFill="1" applyBorder="1" applyAlignment="1" applyProtection="0">
      <alignment horizontal="center" vertical="bottom"/>
    </xf>
    <xf numFmtId="49" fontId="11" fillId="2" borderId="53" applyNumberFormat="1" applyFont="1" applyFill="1" applyBorder="1" applyAlignment="1" applyProtection="0">
      <alignment horizontal="center" vertical="bottom"/>
    </xf>
    <xf numFmtId="0" fontId="11" fillId="2" borderId="54" applyNumberFormat="0" applyFont="1" applyFill="1" applyBorder="1" applyAlignment="1" applyProtection="0">
      <alignment horizontal="center" vertical="bottom"/>
    </xf>
    <xf numFmtId="1" fontId="12" fillId="3" borderId="45" applyNumberFormat="1" applyFont="1" applyFill="1" applyBorder="1" applyAlignment="1" applyProtection="0">
      <alignment horizontal="center" vertical="center"/>
    </xf>
    <xf numFmtId="0" fontId="12" fillId="6" borderId="23" applyNumberFormat="0" applyFont="1" applyFill="1" applyBorder="1" applyAlignment="1" applyProtection="0">
      <alignment horizontal="center" vertical="bottom"/>
    </xf>
    <xf numFmtId="49" fontId="11" fillId="2" borderId="45" applyNumberFormat="1" applyFont="1" applyFill="1" applyBorder="1" applyAlignment="1" applyProtection="0">
      <alignment vertical="bottom"/>
    </xf>
    <xf numFmtId="0" fontId="11" fillId="2" borderId="45" applyNumberFormat="0" applyFont="1" applyFill="1" applyBorder="1" applyAlignment="1" applyProtection="0">
      <alignment vertical="bottom"/>
    </xf>
    <xf numFmtId="0" fontId="12" fillId="6" borderId="45" applyNumberFormat="0" applyFont="1" applyFill="1" applyBorder="1" applyAlignment="1" applyProtection="0">
      <alignment horizontal="center" vertical="bottom"/>
    </xf>
    <xf numFmtId="0" fontId="11" fillId="2" borderId="32" applyNumberFormat="0" applyFont="1" applyFill="1" applyBorder="1" applyAlignment="1" applyProtection="0">
      <alignment horizontal="center" vertical="center"/>
    </xf>
    <xf numFmtId="0" fontId="11" fillId="2" borderId="45" applyNumberFormat="0" applyFont="1" applyFill="1" applyBorder="1" applyAlignment="1" applyProtection="0">
      <alignment horizontal="center" vertical="center" wrapText="1"/>
    </xf>
    <xf numFmtId="49" fontId="11" fillId="2" borderId="45" applyNumberFormat="1" applyFont="1" applyFill="1" applyBorder="1" applyAlignment="1" applyProtection="0">
      <alignment horizontal="center" vertical="center" wrapText="1"/>
    </xf>
    <xf numFmtId="0" fontId="11" fillId="2" borderId="55" applyNumberFormat="0" applyFont="1" applyFill="1" applyBorder="1" applyAlignment="1" applyProtection="0">
      <alignment horizontal="center" vertical="bottom"/>
    </xf>
    <xf numFmtId="0" fontId="11" fillId="2" borderId="7" applyNumberFormat="0" applyFont="1" applyFill="1" applyBorder="1" applyAlignment="1" applyProtection="0">
      <alignment horizontal="center" vertical="bottom"/>
    </xf>
    <xf numFmtId="49" fontId="11" fillId="2" borderId="7" applyNumberFormat="1" applyFont="1" applyFill="1" applyBorder="1" applyAlignment="1" applyProtection="0">
      <alignment horizontal="center" vertical="bottom"/>
    </xf>
    <xf numFmtId="0" fontId="11" fillId="2" borderId="56" applyNumberFormat="0" applyFont="1" applyFill="1" applyBorder="1" applyAlignment="1" applyProtection="0">
      <alignment horizontal="center" vertical="bottom"/>
    </xf>
    <xf numFmtId="1" fontId="11" fillId="2" borderId="20" applyNumberFormat="1" applyFont="1" applyFill="1" applyBorder="1" applyAlignment="1" applyProtection="0">
      <alignment horizontal="center" vertical="center" wrapText="1"/>
    </xf>
    <xf numFmtId="49" fontId="11" fillId="2" borderId="55" applyNumberFormat="1" applyFont="1" applyFill="1" applyBorder="1" applyAlignment="1" applyProtection="0">
      <alignment horizontal="center" vertical="bottom"/>
    </xf>
    <xf numFmtId="0" fontId="11" fillId="2" borderId="4" applyNumberFormat="1" applyFont="1" applyFill="1" applyBorder="1" applyAlignment="1" applyProtection="0">
      <alignment horizontal="center" vertical="bottom"/>
    </xf>
    <xf numFmtId="69" fontId="12" fillId="3" borderId="45" applyNumberFormat="1" applyFont="1" applyFill="1" applyBorder="1" applyAlignment="1" applyProtection="0">
      <alignment horizontal="center" vertical="bottom"/>
    </xf>
    <xf numFmtId="69" fontId="12" fillId="9" borderId="57" applyNumberFormat="1" applyFont="1" applyFill="1" applyBorder="1" applyAlignment="1" applyProtection="0">
      <alignment horizontal="center" vertical="bottom"/>
    </xf>
    <xf numFmtId="69" fontId="12" fillId="9" borderId="58" applyNumberFormat="1" applyFont="1" applyFill="1" applyBorder="1" applyAlignment="1" applyProtection="0">
      <alignment horizontal="center" vertical="bottom"/>
    </xf>
    <xf numFmtId="61" fontId="11" fillId="2" borderId="5" applyNumberFormat="1" applyFont="1" applyFill="1" applyBorder="1" applyAlignment="1" applyProtection="0">
      <alignment horizontal="center" vertical="bottom"/>
    </xf>
    <xf numFmtId="0" fontId="11" fillId="2" borderId="59" applyNumberFormat="0" applyFont="1" applyFill="1" applyBorder="1" applyAlignment="1" applyProtection="0">
      <alignment horizontal="center" vertical="bottom"/>
    </xf>
    <xf numFmtId="0" fontId="11" fillId="2" borderId="60" applyNumberFormat="0" applyFont="1" applyFill="1" applyBorder="1" applyAlignment="1" applyProtection="0">
      <alignment horizontal="center" vertical="bottom"/>
    </xf>
    <xf numFmtId="0" fontId="11" fillId="2" borderId="36" applyNumberFormat="1" applyFont="1" applyFill="1" applyBorder="1" applyAlignment="1" applyProtection="0">
      <alignment horizontal="center" vertical="bottom"/>
    </xf>
    <xf numFmtId="69" fontId="12" fillId="6" borderId="34" applyNumberFormat="1" applyFont="1" applyFill="1" applyBorder="1" applyAlignment="1" applyProtection="0">
      <alignment horizontal="center" vertical="bottom"/>
    </xf>
    <xf numFmtId="69" fontId="12" fillId="6" borderId="35" applyNumberFormat="1" applyFont="1" applyFill="1" applyBorder="1" applyAlignment="1" applyProtection="0">
      <alignment horizontal="center" vertical="bottom"/>
    </xf>
    <xf numFmtId="0" fontId="9" fillId="2" borderId="4" applyNumberFormat="1" applyFont="1" applyFill="1" applyBorder="1" applyAlignment="1" applyProtection="0">
      <alignment horizontal="center" vertical="top" wrapText="1"/>
    </xf>
    <xf numFmtId="69" fontId="8" fillId="6" borderId="28" applyNumberFormat="1" applyFont="1" applyFill="1" applyBorder="1" applyAlignment="1" applyProtection="0">
      <alignment horizontal="center" vertical="bottom"/>
    </xf>
    <xf numFmtId="69" fontId="8" fillId="6" borderId="30" applyNumberFormat="1" applyFont="1" applyFill="1" applyBorder="1" applyAlignment="1" applyProtection="0">
      <alignment horizontal="center" vertical="bottom"/>
    </xf>
    <xf numFmtId="69" fontId="8" fillId="3" borderId="61" applyNumberFormat="1" applyFont="1" applyFill="1" applyBorder="1" applyAlignment="1" applyProtection="0">
      <alignment horizontal="center" vertical="bottom"/>
    </xf>
    <xf numFmtId="69" fontId="8" fillId="3" borderId="62" applyNumberFormat="1" applyFont="1" applyFill="1" applyBorder="1" applyAlignment="1" applyProtection="0">
      <alignment horizontal="center" vertical="bottom"/>
    </xf>
    <xf numFmtId="0" fontId="9" fillId="2" borderId="36" applyNumberFormat="1" applyFont="1" applyFill="1" applyBorder="1" applyAlignment="1" applyProtection="0">
      <alignment horizontal="center" vertical="top" wrapText="1"/>
    </xf>
    <xf numFmtId="69" fontId="8" fillId="6" borderId="34" applyNumberFormat="1" applyFont="1" applyFill="1" applyBorder="1" applyAlignment="1" applyProtection="0">
      <alignment horizontal="center" vertical="bottom"/>
    </xf>
    <xf numFmtId="69" fontId="8" fillId="6" borderId="35" applyNumberFormat="1" applyFont="1" applyFill="1" applyBorder="1" applyAlignment="1" applyProtection="0">
      <alignment horizontal="center" vertical="bottom"/>
    </xf>
    <xf numFmtId="61" fontId="8" fillId="2" borderId="20" applyNumberFormat="1" applyFont="1" applyFill="1" applyBorder="1" applyAlignment="1" applyProtection="0">
      <alignment horizontal="center" vertical="bottom"/>
    </xf>
    <xf numFmtId="0" fontId="11" fillId="2" borderId="6" applyNumberFormat="1" applyFont="1" applyFill="1" applyBorder="1" applyAlignment="1" applyProtection="0">
      <alignment horizontal="center" vertical="bottom"/>
    </xf>
    <xf numFmtId="69" fontId="12" fillId="6" borderId="38" applyNumberFormat="1" applyFont="1" applyFill="1" applyBorder="1" applyAlignment="1" applyProtection="0">
      <alignment horizontal="center" vertical="bottom"/>
    </xf>
    <xf numFmtId="69" fontId="12" fillId="6" borderId="40" applyNumberFormat="1" applyFont="1" applyFill="1" applyBorder="1" applyAlignment="1" applyProtection="0">
      <alignment horizontal="center" vertical="bottom"/>
    </xf>
    <xf numFmtId="49" fontId="11" fillId="6" borderId="23" applyNumberFormat="1" applyFont="1" applyFill="1" applyBorder="1" applyAlignment="1" applyProtection="0">
      <alignment horizontal="center" vertical="bottom"/>
    </xf>
    <xf numFmtId="0" fontId="11" fillId="6" borderId="25" applyNumberFormat="0" applyFont="1" applyFill="1" applyBorder="1" applyAlignment="1" applyProtection="0">
      <alignment horizontal="center" vertical="bottom"/>
    </xf>
    <xf numFmtId="69" fontId="11" fillId="6" borderId="45" applyNumberFormat="1" applyFont="1" applyFill="1" applyBorder="1" applyAlignment="1" applyProtection="0">
      <alignment horizontal="center" vertical="bottom"/>
    </xf>
    <xf numFmtId="0" fontId="0" fillId="6" borderId="45" applyNumberFormat="0" applyFont="1" applyFill="1" applyBorder="1" applyAlignment="1" applyProtection="0">
      <alignment vertical="bottom"/>
    </xf>
    <xf numFmtId="0" fontId="9" fillId="2" borderId="6" applyNumberFormat="1" applyFont="1" applyFill="1" applyBorder="1" applyAlignment="1" applyProtection="0">
      <alignment horizontal="center" vertical="top" wrapText="1"/>
    </xf>
    <xf numFmtId="69" fontId="8" fillId="6" borderId="38" applyNumberFormat="1" applyFont="1" applyFill="1" applyBorder="1" applyAlignment="1" applyProtection="0">
      <alignment horizontal="center" vertical="bottom"/>
    </xf>
    <xf numFmtId="69" fontId="8" fillId="6" borderId="40" applyNumberFormat="1" applyFont="1" applyFill="1" applyBorder="1" applyAlignment="1" applyProtection="0">
      <alignment horizontal="center" vertical="bottom"/>
    </xf>
    <xf numFmtId="49" fontId="11" fillId="6" borderId="45" applyNumberFormat="1" applyFont="1" applyFill="1" applyBorder="1" applyAlignment="1" applyProtection="0">
      <alignment horizontal="center" vertical="bottom"/>
    </xf>
    <xf numFmtId="70" fontId="11" fillId="6" borderId="45" applyNumberFormat="1" applyFont="1" applyFill="1" applyBorder="1" applyAlignment="1" applyProtection="0">
      <alignment horizontal="center" vertical="bottom"/>
    </xf>
    <xf numFmtId="0" fontId="9" fillId="2" borderId="21" applyNumberFormat="0" applyFont="1" applyFill="1" applyBorder="1" applyAlignment="1" applyProtection="0">
      <alignment horizontal="center" vertical="top" wrapText="1"/>
    </xf>
    <xf numFmtId="49" fontId="8" fillId="6" borderId="23" applyNumberFormat="1" applyFont="1" applyFill="1" applyBorder="1" applyAlignment="1" applyProtection="0">
      <alignment horizontal="center" vertical="top" wrapText="1"/>
    </xf>
    <xf numFmtId="61" fontId="8" fillId="6" borderId="63" applyNumberFormat="1" applyFont="1" applyFill="1" applyBorder="1" applyAlignment="1" applyProtection="0">
      <alignment horizontal="center" vertical="top" wrapText="1"/>
    </xf>
    <xf numFmtId="65" fontId="8" fillId="6" borderId="64" applyNumberFormat="1" applyFont="1" applyFill="1" applyBorder="1" applyAlignment="1" applyProtection="0">
      <alignment vertical="top" wrapText="1"/>
    </xf>
    <xf numFmtId="65" fontId="8" fillId="6" borderId="25" applyNumberFormat="1" applyFont="1" applyFill="1" applyBorder="1" applyAlignment="1" applyProtection="0">
      <alignment vertical="top" wrapText="1"/>
    </xf>
    <xf numFmtId="65" fontId="8" fillId="6" borderId="64" applyNumberFormat="1" applyFont="1" applyFill="1" applyBorder="1" applyAlignment="1" applyProtection="0">
      <alignment horizontal="right" vertical="top" wrapText="1"/>
    </xf>
    <xf numFmtId="49" fontId="9" fillId="2" borderId="5" applyNumberFormat="1" applyFont="1" applyFill="1" applyBorder="1" applyAlignment="1" applyProtection="0">
      <alignment horizontal="center" vertical="top" wrapText="1"/>
    </xf>
    <xf numFmtId="49" fontId="8" fillId="2" borderId="7" applyNumberFormat="1" applyFont="1" applyFill="1" applyBorder="1" applyAlignment="1" applyProtection="0">
      <alignment vertical="bottom"/>
    </xf>
    <xf numFmtId="61" fontId="8" fillId="2" borderId="7" applyNumberFormat="1" applyFont="1" applyFill="1" applyBorder="1" applyAlignment="1" applyProtection="0">
      <alignment horizontal="center" vertical="top" wrapText="1"/>
    </xf>
    <xf numFmtId="61" fontId="8" fillId="2" borderId="7" applyNumberFormat="1" applyFont="1" applyFill="1" applyBorder="1" applyAlignment="1" applyProtection="0">
      <alignment horizontal="center" vertical="bottom"/>
    </xf>
    <xf numFmtId="61" fontId="8" fillId="2" borderId="56" applyNumberFormat="1" applyFont="1" applyFill="1" applyBorder="1" applyAlignment="1" applyProtection="0">
      <alignment horizontal="center" vertical="top" wrapText="1"/>
    </xf>
    <xf numFmtId="0" fontId="13" fillId="2" borderId="1" applyNumberFormat="0"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61" fontId="8" fillId="2" borderId="1" applyNumberFormat="1" applyFont="1" applyFill="1" applyBorder="1" applyAlignment="1" applyProtection="0">
      <alignment vertical="bottom"/>
    </xf>
    <xf numFmtId="61" fontId="8" fillId="2" borderId="3" applyNumberFormat="1" applyFont="1" applyFill="1" applyBorder="1" applyAlignment="1" applyProtection="0">
      <alignment vertical="bottom"/>
    </xf>
    <xf numFmtId="61" fontId="12" fillId="2" borderId="20" applyNumberFormat="1" applyFont="1" applyFill="1" applyBorder="1" applyAlignment="1" applyProtection="0">
      <alignment horizontal="center" vertical="bottom"/>
    </xf>
    <xf numFmtId="0" fontId="9" fillId="2" borderId="59" applyNumberFormat="0" applyFont="1" applyFill="1" applyBorder="1" applyAlignment="1" applyProtection="0">
      <alignment horizontal="center" vertical="top" wrapText="1"/>
    </xf>
    <xf numFmtId="49" fontId="8" fillId="2" borderId="2" applyNumberFormat="1" applyFont="1" applyFill="1" applyBorder="1" applyAlignment="1" applyProtection="0">
      <alignment vertical="bottom"/>
    </xf>
    <xf numFmtId="61" fontId="8" fillId="2" borderId="2" applyNumberFormat="1" applyFont="1" applyFill="1" applyBorder="1" applyAlignment="1" applyProtection="0">
      <alignment vertical="bottom"/>
    </xf>
    <xf numFmtId="61" fontId="8" fillId="2" borderId="60" applyNumberFormat="1" applyFont="1" applyFill="1" applyBorder="1" applyAlignment="1" applyProtection="0">
      <alignment vertical="bottom"/>
    </xf>
    <xf numFmtId="0" fontId="11" fillId="2" borderId="1" applyNumberFormat="0" applyFont="1" applyFill="1" applyBorder="1" applyAlignment="1" applyProtection="0">
      <alignment horizontal="left" vertical="bottom"/>
    </xf>
    <xf numFmtId="1" fontId="12" fillId="2" borderId="1" applyNumberFormat="1" applyFont="1" applyFill="1" applyBorder="1" applyAlignment="1" applyProtection="0">
      <alignment horizontal="center" vertical="bottom"/>
    </xf>
    <xf numFmtId="61" fontId="12" fillId="2" borderId="65" applyNumberFormat="1" applyFont="1" applyFill="1" applyBorder="1" applyAlignment="1" applyProtection="0">
      <alignment horizontal="center" vertical="bottom"/>
    </xf>
    <xf numFmtId="49" fontId="11" fillId="6" borderId="10" applyNumberFormat="1" applyFont="1" applyFill="1" applyBorder="1" applyAlignment="1" applyProtection="0">
      <alignment horizontal="center" vertical="bottom"/>
    </xf>
    <xf numFmtId="67" fontId="12" fillId="6" borderId="10" applyNumberFormat="1" applyFont="1" applyFill="1" applyBorder="1" applyAlignment="1" applyProtection="0">
      <alignment horizontal="center" vertical="bottom"/>
    </xf>
    <xf numFmtId="0" fontId="0" fillId="2" borderId="66" applyNumberFormat="0" applyFont="1" applyFill="1" applyBorder="1" applyAlignment="1" applyProtection="0">
      <alignment vertical="bottom"/>
    </xf>
    <xf numFmtId="1" fontId="12" fillId="2" borderId="7" applyNumberFormat="1" applyFont="1" applyFill="1" applyBorder="1" applyAlignment="1" applyProtection="0">
      <alignment horizontal="center" vertical="bottom"/>
    </xf>
    <xf numFmtId="61" fontId="12" fillId="2" borderId="1" applyNumberFormat="1" applyFont="1" applyFill="1" applyBorder="1" applyAlignment="1" applyProtection="0">
      <alignment horizontal="center" vertical="bottom"/>
    </xf>
    <xf numFmtId="61" fontId="12" fillId="2" borderId="7" applyNumberFormat="1" applyFont="1" applyFill="1" applyBorder="1" applyAlignment="1" applyProtection="0">
      <alignment horizontal="center" vertical="bottom"/>
    </xf>
    <xf numFmtId="61" fontId="11" fillId="2" borderId="7" applyNumberFormat="1" applyFont="1" applyFill="1" applyBorder="1" applyAlignment="1" applyProtection="0">
      <alignment horizontal="center" vertical="bottom"/>
    </xf>
    <xf numFmtId="71" fontId="0" fillId="2" borderId="7" applyNumberFormat="1" applyFont="1" applyFill="1" applyBorder="1" applyAlignment="1" applyProtection="0">
      <alignment vertical="bottom"/>
    </xf>
    <xf numFmtId="0" fontId="13" fillId="2" borderId="1" applyNumberFormat="0" applyFont="1" applyFill="1" applyBorder="1" applyAlignment="1" applyProtection="0">
      <alignment horizontal="left" vertical="bottom"/>
    </xf>
    <xf numFmtId="2" fontId="12" fillId="2" borderId="52" applyNumberFormat="1" applyFont="1" applyFill="1" applyBorder="1" applyAlignment="1" applyProtection="0">
      <alignment horizontal="center" vertical="bottom"/>
    </xf>
    <xf numFmtId="61" fontId="12" fillId="2" borderId="52" applyNumberFormat="1" applyFont="1" applyFill="1" applyBorder="1" applyAlignment="1" applyProtection="0">
      <alignment horizontal="center" vertical="bottom"/>
    </xf>
    <xf numFmtId="2" fontId="12" fillId="2" borderId="1" applyNumberFormat="1" applyFont="1" applyFill="1" applyBorder="1" applyAlignment="1" applyProtection="0">
      <alignment horizontal="center" vertical="bottom"/>
    </xf>
    <xf numFmtId="64" fontId="11" fillId="2" borderId="1" applyNumberFormat="1" applyFont="1" applyFill="1" applyBorder="1" applyAlignment="1" applyProtection="0">
      <alignment horizontal="center" vertical="bottom"/>
    </xf>
    <xf numFmtId="72" fontId="11" fillId="2" borderId="1" applyNumberFormat="1" applyFont="1" applyFill="1" applyBorder="1" applyAlignment="1" applyProtection="0">
      <alignment horizontal="center" vertical="bottom"/>
    </xf>
    <xf numFmtId="73" fontId="11" fillId="2" borderId="1" applyNumberFormat="1" applyFont="1" applyFill="1" applyBorder="1" applyAlignment="1" applyProtection="0">
      <alignment horizontal="center" vertical="bottom"/>
    </xf>
    <xf numFmtId="0" fontId="0" fillId="2" borderId="67" applyNumberFormat="0" applyFont="1" applyFill="1" applyBorder="1" applyAlignment="1" applyProtection="0">
      <alignment vertical="bottom"/>
    </xf>
    <xf numFmtId="0" fontId="12" fillId="2" borderId="67" applyNumberFormat="0" applyFont="1" applyFill="1" applyBorder="1" applyAlignment="1" applyProtection="0">
      <alignment horizontal="center" vertical="bottom"/>
    </xf>
    <xf numFmtId="69" fontId="12" fillId="2" borderId="1" applyNumberFormat="1" applyFont="1" applyFill="1" applyBorder="1" applyAlignment="1" applyProtection="0">
      <alignment horizontal="center" vertical="bottom"/>
    </xf>
    <xf numFmtId="74" fontId="11" fillId="2" borderId="1" applyNumberFormat="1" applyFont="1" applyFill="1" applyBorder="1" applyAlignment="1" applyProtection="0">
      <alignment horizontal="center" vertical="bottom"/>
    </xf>
    <xf numFmtId="0" fontId="11" fillId="2" borderId="1" applyNumberFormat="0" applyFont="1" applyFill="1" applyBorder="1" applyAlignment="1" applyProtection="0">
      <alignment vertical="center"/>
    </xf>
    <xf numFmtId="75" fontId="12" fillId="2" borderId="1" applyNumberFormat="1" applyFont="1" applyFill="1" applyBorder="1" applyAlignment="1" applyProtection="0">
      <alignment horizontal="center" vertical="bottom"/>
    </xf>
    <xf numFmtId="0" fontId="22" fillId="2" borderId="68" applyNumberFormat="0" applyFont="1" applyFill="1" applyBorder="1" applyAlignment="1" applyProtection="0">
      <alignment vertical="bottom"/>
    </xf>
    <xf numFmtId="49" fontId="22" fillId="5" borderId="69" applyNumberFormat="1" applyFont="1" applyFill="1" applyBorder="1" applyAlignment="1" applyProtection="0">
      <alignment horizontal="center" vertical="bottom"/>
    </xf>
    <xf numFmtId="0" fontId="22" fillId="5" borderId="70" applyNumberFormat="0" applyFont="1" applyFill="1" applyBorder="1" applyAlignment="1" applyProtection="0">
      <alignment horizontal="center" vertical="bottom"/>
    </xf>
    <xf numFmtId="0" fontId="22" fillId="5" borderId="71" applyNumberFormat="0" applyFont="1" applyFill="1" applyBorder="1" applyAlignment="1" applyProtection="0">
      <alignment horizontal="center" vertical="bottom"/>
    </xf>
    <xf numFmtId="67" fontId="12" fillId="2" borderId="72" applyNumberFormat="1" applyFont="1" applyFill="1" applyBorder="1" applyAlignment="1" applyProtection="0">
      <alignment horizontal="center" vertical="bottom"/>
    </xf>
    <xf numFmtId="71" fontId="0" fillId="2" borderId="2" applyNumberFormat="1" applyFont="1" applyFill="1" applyBorder="1" applyAlignment="1" applyProtection="0">
      <alignment vertical="bottom"/>
    </xf>
    <xf numFmtId="75" fontId="12" fillId="2" borderId="2" applyNumberFormat="1" applyFont="1" applyFill="1" applyBorder="1" applyAlignment="1" applyProtection="0">
      <alignment horizontal="center" vertical="bottom"/>
    </xf>
    <xf numFmtId="0" fontId="22" fillId="2" borderId="73" applyNumberFormat="0" applyFont="1" applyFill="1" applyBorder="1" applyAlignment="1" applyProtection="0">
      <alignment vertical="bottom"/>
    </xf>
    <xf numFmtId="0" fontId="22" fillId="5" borderId="74" applyNumberFormat="0" applyFont="1" applyFill="1" applyBorder="1" applyAlignment="1" applyProtection="0">
      <alignment horizontal="center" vertical="bottom"/>
    </xf>
    <xf numFmtId="0" fontId="22" fillId="5" borderId="16" applyNumberFormat="0" applyFont="1" applyFill="1" applyBorder="1" applyAlignment="1" applyProtection="0">
      <alignment horizontal="center" vertical="bottom"/>
    </xf>
    <xf numFmtId="0" fontId="22" fillId="5" borderId="75" applyNumberFormat="0" applyFont="1" applyFill="1" applyBorder="1" applyAlignment="1" applyProtection="0">
      <alignment horizontal="center" vertical="bottom"/>
    </xf>
    <xf numFmtId="0" fontId="0" fillId="2" borderId="72" applyNumberFormat="0" applyFont="1" applyFill="1" applyBorder="1" applyAlignment="1" applyProtection="0">
      <alignment vertical="bottom"/>
    </xf>
    <xf numFmtId="49" fontId="11" fillId="5" borderId="23" applyNumberFormat="1" applyFont="1" applyFill="1" applyBorder="1" applyAlignment="1" applyProtection="0">
      <alignment horizontal="center" vertical="bottom"/>
    </xf>
    <xf numFmtId="0" fontId="11" fillId="5" borderId="24" applyNumberFormat="0" applyFont="1" applyFill="1" applyBorder="1" applyAlignment="1" applyProtection="0">
      <alignment horizontal="center" vertical="bottom"/>
    </xf>
    <xf numFmtId="49" fontId="11" fillId="2" borderId="21" applyNumberFormat="1" applyFont="1" applyFill="1" applyBorder="1" applyAlignment="1" applyProtection="0">
      <alignment horizontal="center" vertical="bottom"/>
    </xf>
    <xf numFmtId="0" fontId="11" fillId="2" borderId="21" applyNumberFormat="0" applyFont="1" applyFill="1" applyBorder="1" applyAlignment="1" applyProtection="0">
      <alignment horizontal="center" vertical="bottom"/>
    </xf>
    <xf numFmtId="0" fontId="0" fillId="2" borderId="76" applyNumberFormat="0" applyFont="1" applyFill="1" applyBorder="1" applyAlignment="1" applyProtection="0">
      <alignment vertical="bottom"/>
    </xf>
    <xf numFmtId="49" fontId="11" fillId="2" borderId="77" applyNumberFormat="1" applyFont="1" applyFill="1" applyBorder="1" applyAlignment="1" applyProtection="0">
      <alignment horizontal="center" vertical="center" wrapText="1"/>
    </xf>
    <xf numFmtId="49" fontId="11" fillId="2" borderId="45" applyNumberFormat="1" applyFont="1" applyFill="1" applyBorder="1" applyAlignment="1" applyProtection="0">
      <alignment horizontal="center" vertical="bottom" wrapText="1"/>
    </xf>
    <xf numFmtId="49" fontId="9" fillId="2" borderId="45" applyNumberFormat="1" applyFont="1" applyFill="1" applyBorder="1" applyAlignment="1" applyProtection="0">
      <alignment horizontal="center" vertical="center" wrapText="1"/>
    </xf>
    <xf numFmtId="49" fontId="14" fillId="2" borderId="45" applyNumberFormat="1" applyFont="1" applyFill="1" applyBorder="1" applyAlignment="1" applyProtection="0">
      <alignment horizontal="center" vertical="center" wrapText="1"/>
    </xf>
    <xf numFmtId="49" fontId="9" fillId="2" borderId="45" applyNumberFormat="1" applyFont="1" applyFill="1" applyBorder="1" applyAlignment="1" applyProtection="0">
      <alignment horizontal="center" vertical="center"/>
    </xf>
    <xf numFmtId="49" fontId="11" fillId="2" borderId="45" applyNumberFormat="1" applyFont="1" applyFill="1" applyBorder="1" applyAlignment="1" applyProtection="0">
      <alignment horizontal="center" vertical="center"/>
    </xf>
    <xf numFmtId="49" fontId="11" fillId="2" borderId="20" applyNumberFormat="1" applyFont="1" applyFill="1" applyBorder="1" applyAlignment="1" applyProtection="0">
      <alignment horizontal="center" vertical="bottom"/>
    </xf>
    <xf numFmtId="49" fontId="11" fillId="2" borderId="78" applyNumberFormat="1" applyFont="1" applyFill="1" applyBorder="1" applyAlignment="1" applyProtection="0">
      <alignment horizontal="center" vertical="bottom"/>
    </xf>
    <xf numFmtId="0" fontId="0" fillId="2" borderId="79" applyNumberFormat="0" applyFont="1" applyFill="1" applyBorder="1" applyAlignment="1" applyProtection="0">
      <alignment vertical="bottom"/>
    </xf>
    <xf numFmtId="0" fontId="11" fillId="2" borderId="21" applyNumberFormat="0" applyFont="1" applyFill="1" applyBorder="1" applyAlignment="1" applyProtection="0">
      <alignment vertical="bottom"/>
    </xf>
    <xf numFmtId="0" fontId="0" fillId="2" borderId="21" applyNumberFormat="0" applyFont="1" applyFill="1" applyBorder="1" applyAlignment="1" applyProtection="0">
      <alignment vertical="bottom"/>
    </xf>
    <xf numFmtId="49" fontId="11" fillId="2" borderId="32" applyNumberFormat="1" applyFont="1" applyFill="1" applyBorder="1" applyAlignment="1" applyProtection="0">
      <alignment horizontal="center" vertical="bottom"/>
    </xf>
    <xf numFmtId="0" fontId="9" fillId="2" borderId="45" applyNumberFormat="0" applyFont="1" applyFill="1" applyBorder="1" applyAlignment="1" applyProtection="0">
      <alignment horizontal="center" vertical="center"/>
    </xf>
    <xf numFmtId="0" fontId="11" fillId="2" borderId="45" applyNumberFormat="0" applyFont="1" applyFill="1" applyBorder="1" applyAlignment="1" applyProtection="0">
      <alignment horizontal="center" vertical="center"/>
    </xf>
    <xf numFmtId="0" fontId="11" fillId="2" borderId="32" applyNumberFormat="0" applyFont="1" applyFill="1" applyBorder="1" applyAlignment="1" applyProtection="0">
      <alignment horizontal="center" vertical="bottom"/>
    </xf>
    <xf numFmtId="49" fontId="11" fillId="2" borderId="80" applyNumberFormat="1" applyFont="1" applyFill="1" applyBorder="1" applyAlignment="1" applyProtection="0">
      <alignment horizontal="center" vertical="center"/>
    </xf>
    <xf numFmtId="49" fontId="11" fillId="2" borderId="81" applyNumberFormat="1" applyFont="1" applyFill="1" applyBorder="1" applyAlignment="1" applyProtection="0">
      <alignment horizontal="center" vertical="bottom"/>
    </xf>
    <xf numFmtId="0" fontId="12" fillId="3" borderId="28" applyNumberFormat="1" applyFont="1" applyFill="1" applyBorder="1" applyAlignment="1" applyProtection="0">
      <alignment horizontal="center" vertical="bottom"/>
    </xf>
    <xf numFmtId="69" fontId="12" fillId="6" borderId="29" applyNumberFormat="1" applyFont="1" applyFill="1" applyBorder="1" applyAlignment="1" applyProtection="0">
      <alignment horizontal="center" vertical="bottom"/>
    </xf>
    <xf numFmtId="69" fontId="12" fillId="3" borderId="29" applyNumberFormat="1" applyFont="1" applyFill="1" applyBorder="1" applyAlignment="1" applyProtection="0">
      <alignment horizontal="center" vertical="bottom"/>
    </xf>
    <xf numFmtId="70" fontId="12" fillId="6" borderId="29" applyNumberFormat="1" applyFont="1" applyFill="1" applyBorder="1" applyAlignment="1" applyProtection="0">
      <alignment horizontal="center" vertical="bottom"/>
    </xf>
    <xf numFmtId="0" fontId="12" fillId="6" borderId="29" applyNumberFormat="1" applyFont="1" applyFill="1" applyBorder="1" applyAlignment="1" applyProtection="0">
      <alignment horizontal="center" vertical="bottom"/>
    </xf>
    <xf numFmtId="76" fontId="12" fillId="6" borderId="29" applyNumberFormat="1" applyFont="1" applyFill="1" applyBorder="1" applyAlignment="1" applyProtection="0">
      <alignment horizontal="center" vertical="bottom"/>
    </xf>
    <xf numFmtId="67" fontId="12" fillId="4" borderId="29" applyNumberFormat="1" applyFont="1" applyFill="1" applyBorder="1" applyAlignment="1" applyProtection="0">
      <alignment horizontal="center" vertical="bottom"/>
    </xf>
    <xf numFmtId="76" fontId="12" fillId="4" borderId="29" applyNumberFormat="1" applyFont="1" applyFill="1" applyBorder="1" applyAlignment="1" applyProtection="0">
      <alignment horizontal="center" vertical="bottom"/>
    </xf>
    <xf numFmtId="77" fontId="12" fillId="4" borderId="29" applyNumberFormat="1" applyFont="1" applyFill="1" applyBorder="1" applyAlignment="1" applyProtection="0">
      <alignment horizontal="center" vertical="bottom"/>
    </xf>
    <xf numFmtId="70" fontId="12" fillId="4" borderId="29" applyNumberFormat="1" applyFont="1" applyFill="1" applyBorder="1" applyAlignment="1" applyProtection="0">
      <alignment horizontal="center" vertical="bottom"/>
    </xf>
    <xf numFmtId="72" fontId="12" fillId="4" borderId="29" applyNumberFormat="1" applyFont="1" applyFill="1" applyBorder="1" applyAlignment="1" applyProtection="0">
      <alignment horizontal="center" vertical="bottom"/>
    </xf>
    <xf numFmtId="78" fontId="12" fillId="4" borderId="29" applyNumberFormat="1" applyFont="1" applyFill="1" applyBorder="1" applyAlignment="1" applyProtection="0">
      <alignment horizontal="center" vertical="bottom"/>
    </xf>
    <xf numFmtId="79" fontId="12" fillId="4" borderId="29" applyNumberFormat="1" applyFont="1" applyFill="1" applyBorder="1" applyAlignment="1" applyProtection="0">
      <alignment horizontal="center" vertical="bottom"/>
    </xf>
    <xf numFmtId="70" fontId="12" fillId="4" borderId="30" applyNumberFormat="1" applyFont="1" applyFill="1" applyBorder="1" applyAlignment="1" applyProtection="0">
      <alignment horizontal="center" vertical="bottom"/>
    </xf>
    <xf numFmtId="70" fontId="0" fillId="2" borderId="1" applyNumberFormat="1" applyFont="1" applyFill="1" applyBorder="1" applyAlignment="1" applyProtection="0">
      <alignment vertical="bottom"/>
    </xf>
    <xf numFmtId="80" fontId="12" fillId="2" borderId="1" applyNumberFormat="1" applyFont="1" applyFill="1" applyBorder="1" applyAlignment="1" applyProtection="0">
      <alignment horizontal="center" vertical="bottom"/>
    </xf>
    <xf numFmtId="81" fontId="12" fillId="2" borderId="1" applyNumberFormat="1" applyFont="1" applyFill="1" applyBorder="1" applyAlignment="1" applyProtection="0">
      <alignment horizontal="center" vertical="bottom"/>
    </xf>
    <xf numFmtId="0" fontId="19" fillId="2" borderId="1" applyNumberFormat="1" applyFont="1" applyFill="1" applyBorder="1" applyAlignment="1" applyProtection="0">
      <alignment vertical="bottom"/>
    </xf>
    <xf numFmtId="61" fontId="0" fillId="2" borderId="1" applyNumberFormat="1" applyFont="1" applyFill="1" applyBorder="1" applyAlignment="1" applyProtection="0">
      <alignment vertical="bottom"/>
    </xf>
    <xf numFmtId="0" fontId="12" fillId="3" borderId="34" applyNumberFormat="1" applyFont="1" applyFill="1" applyBorder="1" applyAlignment="1" applyProtection="0">
      <alignment horizontal="center" vertical="bottom"/>
    </xf>
    <xf numFmtId="69" fontId="12" fillId="6" borderId="13" applyNumberFormat="1" applyFont="1" applyFill="1" applyBorder="1" applyAlignment="1" applyProtection="0">
      <alignment horizontal="center" vertical="bottom"/>
    </xf>
    <xf numFmtId="69" fontId="12" fillId="3" borderId="13" applyNumberFormat="1" applyFont="1" applyFill="1" applyBorder="1" applyAlignment="1" applyProtection="0">
      <alignment horizontal="center" vertical="bottom"/>
    </xf>
    <xf numFmtId="70" fontId="12" fillId="6" borderId="13" applyNumberFormat="1" applyFont="1" applyFill="1" applyBorder="1" applyAlignment="1" applyProtection="0">
      <alignment horizontal="center" vertical="bottom"/>
    </xf>
    <xf numFmtId="76" fontId="12" fillId="6" borderId="13" applyNumberFormat="1" applyFont="1" applyFill="1" applyBorder="1" applyAlignment="1" applyProtection="0">
      <alignment horizontal="center" vertical="bottom"/>
    </xf>
    <xf numFmtId="67" fontId="12" fillId="4" borderId="13" applyNumberFormat="1" applyFont="1" applyFill="1" applyBorder="1" applyAlignment="1" applyProtection="0">
      <alignment horizontal="center" vertical="bottom"/>
    </xf>
    <xf numFmtId="76" fontId="12" fillId="4" borderId="13" applyNumberFormat="1" applyFont="1" applyFill="1" applyBorder="1" applyAlignment="1" applyProtection="0">
      <alignment horizontal="center" vertical="bottom"/>
    </xf>
    <xf numFmtId="77" fontId="12" fillId="4" borderId="13" applyNumberFormat="1" applyFont="1" applyFill="1" applyBorder="1" applyAlignment="1" applyProtection="0">
      <alignment horizontal="center" vertical="bottom"/>
    </xf>
    <xf numFmtId="70" fontId="12" fillId="4" borderId="13" applyNumberFormat="1" applyFont="1" applyFill="1" applyBorder="1" applyAlignment="1" applyProtection="0">
      <alignment horizontal="center" vertical="bottom"/>
    </xf>
    <xf numFmtId="72" fontId="12" fillId="4" borderId="13" applyNumberFormat="1" applyFont="1" applyFill="1" applyBorder="1" applyAlignment="1" applyProtection="0">
      <alignment horizontal="center" vertical="bottom"/>
    </xf>
    <xf numFmtId="78" fontId="12" fillId="4" borderId="13" applyNumberFormat="1" applyFont="1" applyFill="1" applyBorder="1" applyAlignment="1" applyProtection="0">
      <alignment horizontal="center" vertical="bottom"/>
    </xf>
    <xf numFmtId="79" fontId="12" fillId="4" borderId="13" applyNumberFormat="1" applyFont="1" applyFill="1" applyBorder="1" applyAlignment="1" applyProtection="0">
      <alignment horizontal="center" vertical="bottom"/>
    </xf>
    <xf numFmtId="70" fontId="12" fillId="4" borderId="35" applyNumberFormat="1" applyFont="1" applyFill="1" applyBorder="1" applyAlignment="1" applyProtection="0">
      <alignment horizontal="center" vertical="bottom"/>
    </xf>
    <xf numFmtId="66" fontId="12" fillId="6" borderId="13" applyNumberFormat="1" applyFont="1" applyFill="1" applyBorder="1" applyAlignment="1" applyProtection="0">
      <alignment horizontal="center" vertical="bottom"/>
    </xf>
    <xf numFmtId="70" fontId="12" fillId="2" borderId="1" applyNumberFormat="1" applyFont="1" applyFill="1" applyBorder="1" applyAlignment="1" applyProtection="0">
      <alignment vertical="bottom"/>
    </xf>
    <xf numFmtId="61" fontId="12" fillId="2" borderId="1" applyNumberFormat="1" applyFont="1" applyFill="1" applyBorder="1" applyAlignment="1" applyProtection="0">
      <alignment vertical="bottom"/>
    </xf>
    <xf numFmtId="0" fontId="12" fillId="3" borderId="34" applyNumberFormat="0" applyFont="1" applyFill="1" applyBorder="1" applyAlignment="1" applyProtection="0">
      <alignment horizontal="center" vertical="bottom"/>
    </xf>
    <xf numFmtId="0" fontId="12" fillId="3" borderId="38" applyNumberFormat="0" applyFont="1" applyFill="1" applyBorder="1" applyAlignment="1" applyProtection="0">
      <alignment horizontal="center" vertical="bottom"/>
    </xf>
    <xf numFmtId="69" fontId="12" fillId="6" borderId="39" applyNumberFormat="1" applyFont="1" applyFill="1" applyBorder="1" applyAlignment="1" applyProtection="0">
      <alignment horizontal="center" vertical="bottom"/>
    </xf>
    <xf numFmtId="69" fontId="12" fillId="3" borderId="39" applyNumberFormat="1" applyFont="1" applyFill="1" applyBorder="1" applyAlignment="1" applyProtection="0">
      <alignment horizontal="center" vertical="bottom"/>
    </xf>
    <xf numFmtId="70" fontId="12" fillId="6" borderId="39" applyNumberFormat="1" applyFont="1" applyFill="1" applyBorder="1" applyAlignment="1" applyProtection="0">
      <alignment horizontal="center" vertical="bottom"/>
    </xf>
    <xf numFmtId="66" fontId="12" fillId="6" borderId="39" applyNumberFormat="1" applyFont="1" applyFill="1" applyBorder="1" applyAlignment="1" applyProtection="0">
      <alignment horizontal="center" vertical="bottom"/>
    </xf>
    <xf numFmtId="67" fontId="12" fillId="4" borderId="39" applyNumberFormat="1" applyFont="1" applyFill="1" applyBorder="1" applyAlignment="1" applyProtection="0">
      <alignment horizontal="center" vertical="bottom"/>
    </xf>
    <xf numFmtId="76" fontId="12" fillId="4" borderId="39" applyNumberFormat="1" applyFont="1" applyFill="1" applyBorder="1" applyAlignment="1" applyProtection="0">
      <alignment horizontal="center" vertical="bottom"/>
    </xf>
    <xf numFmtId="77" fontId="12" fillId="4" borderId="39" applyNumberFormat="1" applyFont="1" applyFill="1" applyBorder="1" applyAlignment="1" applyProtection="0">
      <alignment horizontal="center" vertical="bottom"/>
    </xf>
    <xf numFmtId="70" fontId="12" fillId="4" borderId="39" applyNumberFormat="1" applyFont="1" applyFill="1" applyBorder="1" applyAlignment="1" applyProtection="0">
      <alignment horizontal="center" vertical="bottom"/>
    </xf>
    <xf numFmtId="72" fontId="12" fillId="4" borderId="39" applyNumberFormat="1" applyFont="1" applyFill="1" applyBorder="1" applyAlignment="1" applyProtection="0">
      <alignment horizontal="center" vertical="bottom"/>
    </xf>
    <xf numFmtId="78" fontId="12" fillId="4" borderId="39" applyNumberFormat="1" applyFont="1" applyFill="1" applyBorder="1" applyAlignment="1" applyProtection="0">
      <alignment horizontal="center" vertical="bottom"/>
    </xf>
    <xf numFmtId="79" fontId="12" fillId="4" borderId="39" applyNumberFormat="1" applyFont="1" applyFill="1" applyBorder="1" applyAlignment="1" applyProtection="0">
      <alignment horizontal="center" vertical="bottom"/>
    </xf>
    <xf numFmtId="70" fontId="12" fillId="4" borderId="40" applyNumberFormat="1" applyFont="1" applyFill="1" applyBorder="1" applyAlignment="1" applyProtection="0">
      <alignment horizontal="center" vertical="bottom"/>
    </xf>
    <xf numFmtId="0" fontId="0" fillId="2" borderId="82" applyNumberFormat="0" applyFont="1" applyFill="1" applyBorder="1" applyAlignment="1" applyProtection="0">
      <alignment vertical="bottom"/>
    </xf>
    <xf numFmtId="0" fontId="0" fillId="2" borderId="83" applyNumberFormat="0" applyFont="1" applyFill="1" applyBorder="1" applyAlignment="1" applyProtection="0">
      <alignment vertical="bottom"/>
    </xf>
    <xf numFmtId="0" fontId="24" fillId="2" borderId="1" applyNumberFormat="0" applyFont="1" applyFill="1" applyBorder="1" applyAlignment="1" applyProtection="0">
      <alignment horizontal="center" vertical="center"/>
    </xf>
    <xf numFmtId="15" fontId="11" fillId="2" borderId="1" applyNumberFormat="1" applyFont="1" applyFill="1" applyBorder="1" applyAlignment="1" applyProtection="0">
      <alignment horizontal="center" vertical="center"/>
    </xf>
    <xf numFmtId="49" fontId="11" fillId="5" borderId="45" applyNumberFormat="1" applyFont="1" applyFill="1" applyBorder="1" applyAlignment="1" applyProtection="0">
      <alignment horizontal="center" vertical="center" wrapText="1"/>
    </xf>
    <xf numFmtId="0" fontId="24" fillId="5" borderId="45" applyNumberFormat="0" applyFont="1" applyFill="1" applyBorder="1" applyAlignment="1" applyProtection="0">
      <alignment horizontal="center" vertical="center"/>
    </xf>
    <xf numFmtId="0" fontId="11" fillId="5" borderId="45" applyNumberFormat="0" applyFont="1" applyFill="1" applyBorder="1" applyAlignment="1" applyProtection="0">
      <alignment horizontal="center" vertical="center"/>
    </xf>
    <xf numFmtId="15" fontId="11" fillId="5" borderId="45" applyNumberFormat="1" applyFont="1" applyFill="1" applyBorder="1" applyAlignment="1" applyProtection="0">
      <alignment horizontal="center" vertical="center"/>
    </xf>
    <xf numFmtId="49" fontId="25" fillId="10" borderId="48" applyNumberFormat="1" applyFont="1" applyFill="1" applyBorder="1" applyAlignment="1" applyProtection="0">
      <alignment horizontal="center" vertical="center"/>
    </xf>
    <xf numFmtId="0" fontId="0" fillId="2" borderId="49" applyNumberFormat="0" applyFont="1" applyFill="1" applyBorder="1" applyAlignment="1" applyProtection="0">
      <alignment vertical="bottom"/>
    </xf>
    <xf numFmtId="49" fontId="9" fillId="5" borderId="45" applyNumberFormat="1" applyFont="1" applyFill="1" applyBorder="1" applyAlignment="1" applyProtection="0">
      <alignment horizontal="center" vertical="center"/>
    </xf>
    <xf numFmtId="0" fontId="9" fillId="5" borderId="45" applyNumberFormat="0" applyFont="1" applyFill="1" applyBorder="1" applyAlignment="1" applyProtection="0">
      <alignment horizontal="center" vertical="center"/>
    </xf>
    <xf numFmtId="0" fontId="9" fillId="5" borderId="84" applyNumberFormat="0" applyFont="1" applyFill="1" applyBorder="1" applyAlignment="1" applyProtection="0">
      <alignment horizontal="center" vertical="center"/>
    </xf>
    <xf numFmtId="49" fontId="9" fillId="5" borderId="85" applyNumberFormat="1" applyFont="1" applyFill="1" applyBorder="1" applyAlignment="1" applyProtection="0">
      <alignment horizontal="center" vertical="center" wrapText="1"/>
    </xf>
    <xf numFmtId="0" fontId="9" fillId="5" borderId="86" applyNumberFormat="0" applyFont="1" applyFill="1" applyBorder="1" applyAlignment="1" applyProtection="0">
      <alignment horizontal="center" vertical="center" wrapText="1"/>
    </xf>
    <xf numFmtId="0" fontId="9" fillId="5" borderId="87" applyNumberFormat="0" applyFont="1" applyFill="1" applyBorder="1" applyAlignment="1" applyProtection="0">
      <alignment horizontal="center" vertical="center" wrapText="1"/>
    </xf>
    <xf numFmtId="49" fontId="11" fillId="5" borderId="45" applyNumberFormat="1" applyFont="1" applyFill="1" applyBorder="1" applyAlignment="1" applyProtection="0">
      <alignment horizontal="center" vertical="bottom" wrapText="1"/>
    </xf>
    <xf numFmtId="49" fontId="11" fillId="5" borderId="45" applyNumberFormat="1" applyFont="1" applyFill="1" applyBorder="1" applyAlignment="1" applyProtection="0">
      <alignment horizontal="center" vertical="bottom"/>
    </xf>
    <xf numFmtId="0" fontId="26" fillId="2" borderId="88" applyNumberFormat="0" applyFont="1" applyFill="1" applyBorder="1" applyAlignment="1" applyProtection="0">
      <alignment horizontal="center" vertical="bottom" wrapText="1"/>
    </xf>
    <xf numFmtId="0" fontId="11" fillId="6" borderId="22" applyNumberFormat="0" applyFont="1" applyFill="1" applyBorder="1" applyAlignment="1" applyProtection="0">
      <alignment horizontal="center" vertical="center"/>
    </xf>
    <xf numFmtId="49" fontId="11" fillId="6" borderId="23" applyNumberFormat="1" applyFont="1" applyFill="1" applyBorder="1" applyAlignment="1" applyProtection="0">
      <alignment horizontal="center" vertical="center"/>
    </xf>
    <xf numFmtId="0" fontId="11" fillId="6" borderId="25" applyNumberFormat="0" applyFont="1" applyFill="1" applyBorder="1" applyAlignment="1" applyProtection="0">
      <alignment horizontal="center" vertical="center"/>
    </xf>
    <xf numFmtId="49" fontId="11" fillId="6" borderId="9" applyNumberFormat="1" applyFont="1" applyFill="1" applyBorder="1" applyAlignment="1" applyProtection="0">
      <alignment horizontal="center" vertical="center" wrapText="1"/>
    </xf>
    <xf numFmtId="0" fontId="11" fillId="6" borderId="89" applyNumberFormat="0" applyFont="1" applyFill="1" applyBorder="1" applyAlignment="1" applyProtection="0">
      <alignment horizontal="center" vertical="center" wrapText="1"/>
    </xf>
    <xf numFmtId="49" fontId="11" fillId="6" borderId="90" applyNumberFormat="1" applyFont="1" applyFill="1" applyBorder="1" applyAlignment="1" applyProtection="0">
      <alignment horizontal="center" vertical="center" wrapText="1"/>
    </xf>
    <xf numFmtId="0" fontId="11" fillId="6" borderId="24" applyNumberFormat="0" applyFont="1" applyFill="1" applyBorder="1" applyAlignment="1" applyProtection="0">
      <alignment horizontal="center" vertical="center"/>
    </xf>
    <xf numFmtId="0" fontId="11" fillId="6" borderId="91" applyNumberFormat="0" applyFont="1" applyFill="1" applyBorder="1" applyAlignment="1" applyProtection="0">
      <alignment horizontal="center" vertical="center"/>
    </xf>
    <xf numFmtId="0" fontId="26" fillId="2" borderId="5" applyNumberFormat="0" applyFont="1" applyFill="1" applyBorder="1" applyAlignment="1" applyProtection="0">
      <alignment horizontal="center" vertical="bottom"/>
    </xf>
    <xf numFmtId="49" fontId="11" fillId="6" borderId="27" applyNumberFormat="1" applyFont="1" applyFill="1" applyBorder="1" applyAlignment="1" applyProtection="0">
      <alignment horizontal="center" vertical="center" wrapText="1"/>
    </xf>
    <xf numFmtId="61" fontId="11" fillId="6" borderId="9" applyNumberFormat="1" applyFont="1" applyFill="1" applyBorder="1" applyAlignment="1" applyProtection="0">
      <alignment horizontal="center" vertical="center" wrapText="1"/>
    </xf>
    <xf numFmtId="61" fontId="11" fillId="6" borderId="11" applyNumberFormat="1" applyFont="1" applyFill="1" applyBorder="1" applyAlignment="1" applyProtection="0">
      <alignment horizontal="center" vertical="center" wrapText="1"/>
    </xf>
    <xf numFmtId="0" fontId="11" fillId="6" borderId="15" applyNumberFormat="0" applyFont="1" applyFill="1" applyBorder="1" applyAlignment="1" applyProtection="0">
      <alignment horizontal="center" vertical="center" wrapText="1"/>
    </xf>
    <xf numFmtId="0" fontId="11" fillId="6" borderId="75" applyNumberFormat="0" applyFont="1" applyFill="1" applyBorder="1" applyAlignment="1" applyProtection="0">
      <alignment horizontal="center" vertical="center" wrapText="1"/>
    </xf>
    <xf numFmtId="0" fontId="11" fillId="6" borderId="92" applyNumberFormat="0" applyFont="1" applyFill="1" applyBorder="1" applyAlignment="1" applyProtection="0">
      <alignment horizontal="center" vertical="center" wrapText="1"/>
    </xf>
    <xf numFmtId="0" fontId="11" fillId="6" borderId="45" applyNumberFormat="1" applyFont="1" applyFill="1" applyBorder="1" applyAlignment="1" applyProtection="0">
      <alignment horizontal="center" vertical="center" wrapText="1"/>
    </xf>
    <xf numFmtId="0" fontId="11" fillId="6" borderId="84" applyNumberFormat="1" applyFont="1" applyFill="1" applyBorder="1" applyAlignment="1" applyProtection="0">
      <alignment horizontal="center" vertical="center" wrapText="1"/>
    </xf>
    <xf numFmtId="2" fontId="9" fillId="2" borderId="1" applyNumberFormat="1" applyFont="1" applyFill="1" applyBorder="1" applyAlignment="1" applyProtection="0">
      <alignment horizontal="center" vertical="bottom"/>
    </xf>
    <xf numFmtId="70" fontId="9" fillId="2" borderId="1" applyNumberFormat="1" applyFont="1" applyFill="1" applyBorder="1" applyAlignment="1" applyProtection="0">
      <alignment horizontal="center" vertical="bottom"/>
    </xf>
    <xf numFmtId="2" fontId="9" fillId="6" borderId="28" applyNumberFormat="1" applyFont="1" applyFill="1" applyBorder="1" applyAlignment="1" applyProtection="0">
      <alignment horizontal="center" vertical="bottom"/>
    </xf>
    <xf numFmtId="2" fontId="9" fillId="6" borderId="29" applyNumberFormat="1" applyFont="1" applyFill="1" applyBorder="1" applyAlignment="1" applyProtection="0">
      <alignment horizontal="center" vertical="bottom"/>
    </xf>
    <xf numFmtId="67" fontId="11" fillId="6" borderId="29" applyNumberFormat="1" applyFont="1" applyFill="1" applyBorder="1" applyAlignment="1" applyProtection="0">
      <alignment horizontal="center" vertical="bottom"/>
    </xf>
    <xf numFmtId="82" fontId="9" fillId="6" borderId="29" applyNumberFormat="1" applyFont="1" applyFill="1" applyBorder="1" applyAlignment="1" applyProtection="0">
      <alignment horizontal="center" vertical="bottom"/>
    </xf>
    <xf numFmtId="77" fontId="9" fillId="6" borderId="30" applyNumberFormat="1" applyFont="1" applyFill="1" applyBorder="1" applyAlignment="1" applyProtection="0">
      <alignment horizontal="center" vertical="bottom"/>
    </xf>
    <xf numFmtId="77" fontId="27" fillId="2" borderId="5" applyNumberFormat="1" applyFont="1" applyFill="1" applyBorder="1" applyAlignment="1" applyProtection="0">
      <alignment horizontal="center" vertical="bottom"/>
    </xf>
    <xf numFmtId="0" fontId="13" fillId="6" borderId="33" applyNumberFormat="0" applyFont="1" applyFill="1" applyBorder="1" applyAlignment="1" applyProtection="0">
      <alignment horizontal="center" vertical="center" wrapText="1"/>
    </xf>
    <xf numFmtId="49" fontId="11" fillId="6" borderId="15" applyNumberFormat="1" applyFont="1" applyFill="1" applyBorder="1" applyAlignment="1" applyProtection="0">
      <alignment horizontal="center" vertical="center" wrapText="1"/>
    </xf>
    <xf numFmtId="0" fontId="11" fillId="6" borderId="17" applyNumberFormat="0" applyFont="1" applyFill="1" applyBorder="1" applyAlignment="1" applyProtection="0">
      <alignment horizontal="center" vertical="center" wrapText="1"/>
    </xf>
    <xf numFmtId="0" fontId="11" fillId="6" borderId="23" applyNumberFormat="0" applyFont="1" applyFill="1" applyBorder="1" applyAlignment="1" applyProtection="0">
      <alignment horizontal="center" vertical="center" wrapText="1"/>
    </xf>
    <xf numFmtId="0" fontId="11" fillId="6" borderId="91" applyNumberFormat="0" applyFont="1" applyFill="1" applyBorder="1" applyAlignment="1" applyProtection="0">
      <alignment horizontal="center" vertical="center" wrapText="1"/>
    </xf>
    <xf numFmtId="0" fontId="12" fillId="6" borderId="93" applyNumberFormat="1" applyFont="1" applyFill="1" applyBorder="1" applyAlignment="1" applyProtection="0">
      <alignment horizontal="center" vertical="top" wrapText="1"/>
    </xf>
    <xf numFmtId="83" fontId="12" fillId="6" borderId="94" applyNumberFormat="1" applyFont="1" applyFill="1" applyBorder="1" applyAlignment="1" applyProtection="0">
      <alignment horizontal="center" vertical="top" wrapText="1"/>
    </xf>
    <xf numFmtId="83" fontId="12" fillId="6" borderId="95" applyNumberFormat="1" applyFont="1" applyFill="1" applyBorder="1" applyAlignment="1" applyProtection="0">
      <alignment horizontal="center" vertical="top" wrapText="1"/>
    </xf>
    <xf numFmtId="72" fontId="9" fillId="2" borderId="1" applyNumberFormat="1" applyFont="1" applyFill="1" applyBorder="1" applyAlignment="1" applyProtection="0">
      <alignment vertical="bottom"/>
    </xf>
    <xf numFmtId="2" fontId="9" fillId="6" borderId="96" applyNumberFormat="1" applyFont="1" applyFill="1" applyBorder="1" applyAlignment="1" applyProtection="0">
      <alignment horizontal="center" vertical="bottom"/>
    </xf>
    <xf numFmtId="2" fontId="9" fillId="6" borderId="13" applyNumberFormat="1" applyFont="1" applyFill="1" applyBorder="1" applyAlignment="1" applyProtection="0">
      <alignment horizontal="center" vertical="bottom"/>
    </xf>
    <xf numFmtId="67" fontId="11" fillId="6" borderId="13" applyNumberFormat="1" applyFont="1" applyFill="1" applyBorder="1" applyAlignment="1" applyProtection="0">
      <alignment horizontal="center" vertical="bottom"/>
    </xf>
    <xf numFmtId="82" fontId="9" fillId="6" borderId="13" applyNumberFormat="1" applyFont="1" applyFill="1" applyBorder="1" applyAlignment="1" applyProtection="0">
      <alignment horizontal="center" vertical="bottom"/>
    </xf>
    <xf numFmtId="77" fontId="9" fillId="6" borderId="35" applyNumberFormat="1" applyFont="1" applyFill="1" applyBorder="1" applyAlignment="1" applyProtection="0">
      <alignment horizontal="center" vertical="bottom"/>
    </xf>
    <xf numFmtId="0" fontId="12" fillId="6" borderId="4" applyNumberFormat="1" applyFont="1" applyFill="1" applyBorder="1" applyAlignment="1" applyProtection="0">
      <alignment horizontal="center" vertical="center" wrapText="1"/>
    </xf>
    <xf numFmtId="78" fontId="12" fillId="3" borderId="57" applyNumberFormat="1" applyFont="1" applyFill="1" applyBorder="1" applyAlignment="1" applyProtection="0">
      <alignment horizontal="center" vertical="bottom"/>
    </xf>
    <xf numFmtId="78" fontId="12" fillId="3" borderId="58" applyNumberFormat="1" applyFont="1" applyFill="1" applyBorder="1" applyAlignment="1" applyProtection="0">
      <alignment horizontal="center" vertical="bottom"/>
    </xf>
    <xf numFmtId="77" fontId="12" fillId="6" borderId="28" applyNumberFormat="1" applyFont="1" applyFill="1" applyBorder="1" applyAlignment="1" applyProtection="0">
      <alignment horizontal="center" vertical="bottom"/>
    </xf>
    <xf numFmtId="77" fontId="12" fillId="6" borderId="97" applyNumberFormat="1" applyFont="1" applyFill="1" applyBorder="1" applyAlignment="1" applyProtection="0">
      <alignment horizontal="center" vertical="bottom"/>
    </xf>
    <xf numFmtId="0" fontId="12" fillId="6" borderId="98" applyNumberFormat="1" applyFont="1" applyFill="1" applyBorder="1" applyAlignment="1" applyProtection="0">
      <alignment horizontal="center" vertical="top" wrapText="1"/>
    </xf>
    <xf numFmtId="83" fontId="12" fillId="6" borderId="99" applyNumberFormat="1" applyFont="1" applyFill="1" applyBorder="1" applyAlignment="1" applyProtection="0">
      <alignment horizontal="center" vertical="top" wrapText="1"/>
    </xf>
    <xf numFmtId="83" fontId="12" fillId="6" borderId="100" applyNumberFormat="1" applyFont="1" applyFill="1" applyBorder="1" applyAlignment="1" applyProtection="0">
      <alignment horizontal="center" vertical="top" wrapText="1"/>
    </xf>
    <xf numFmtId="2" fontId="9" fillId="6" borderId="101" applyNumberFormat="1" applyFont="1" applyFill="1" applyBorder="1" applyAlignment="1" applyProtection="0">
      <alignment horizontal="center" vertical="bottom"/>
    </xf>
    <xf numFmtId="0" fontId="12" fillId="6" borderId="36" applyNumberFormat="1" applyFont="1" applyFill="1" applyBorder="1" applyAlignment="1" applyProtection="0">
      <alignment horizontal="center" vertical="center" wrapText="1"/>
    </xf>
    <xf numFmtId="78" fontId="12" fillId="3" borderId="102" applyNumberFormat="1" applyFont="1" applyFill="1" applyBorder="1" applyAlignment="1" applyProtection="0">
      <alignment horizontal="center" vertical="bottom"/>
    </xf>
    <xf numFmtId="78" fontId="12" fillId="3" borderId="103" applyNumberFormat="1" applyFont="1" applyFill="1" applyBorder="1" applyAlignment="1" applyProtection="0">
      <alignment horizontal="center" vertical="bottom"/>
    </xf>
    <xf numFmtId="77" fontId="12" fillId="6" borderId="34" applyNumberFormat="1" applyFont="1" applyFill="1" applyBorder="1" applyAlignment="1" applyProtection="0">
      <alignment horizontal="center" vertical="bottom"/>
    </xf>
    <xf numFmtId="77" fontId="12" fillId="6" borderId="104" applyNumberFormat="1" applyFont="1" applyFill="1" applyBorder="1" applyAlignment="1" applyProtection="0">
      <alignment horizontal="center" vertical="bottom"/>
    </xf>
    <xf numFmtId="2" fontId="9" fillId="6" borderId="105" applyNumberFormat="1" applyFont="1" applyFill="1" applyBorder="1" applyAlignment="1" applyProtection="0">
      <alignment horizontal="center" vertical="bottom"/>
    </xf>
    <xf numFmtId="2" fontId="9" fillId="6" borderId="39" applyNumberFormat="1" applyFont="1" applyFill="1" applyBorder="1" applyAlignment="1" applyProtection="0">
      <alignment horizontal="center" vertical="bottom"/>
    </xf>
    <xf numFmtId="67" fontId="11" fillId="6" borderId="39" applyNumberFormat="1" applyFont="1" applyFill="1" applyBorder="1" applyAlignment="1" applyProtection="0">
      <alignment horizontal="center" vertical="bottom"/>
    </xf>
    <xf numFmtId="82" fontId="9" fillId="6" borderId="39" applyNumberFormat="1" applyFont="1" applyFill="1" applyBorder="1" applyAlignment="1" applyProtection="0">
      <alignment horizontal="center" vertical="bottom"/>
    </xf>
    <xf numFmtId="77" fontId="9" fillId="6" borderId="40" applyNumberFormat="1" applyFont="1" applyFill="1" applyBorder="1" applyAlignment="1" applyProtection="0">
      <alignment horizontal="center" vertical="bottom"/>
    </xf>
    <xf numFmtId="72" fontId="0" fillId="2" borderId="1" applyNumberFormat="1" applyFont="1" applyFill="1" applyBorder="1" applyAlignment="1" applyProtection="0">
      <alignment vertical="bottom"/>
    </xf>
    <xf numFmtId="0" fontId="0" fillId="2" borderId="54" applyNumberFormat="0" applyFont="1" applyFill="1" applyBorder="1" applyAlignment="1" applyProtection="0">
      <alignment vertical="bottom"/>
    </xf>
    <xf numFmtId="0" fontId="0" fillId="2" borderId="106" applyNumberFormat="0" applyFont="1" applyFill="1" applyBorder="1" applyAlignment="1" applyProtection="0">
      <alignment vertical="bottom"/>
    </xf>
    <xf numFmtId="72" fontId="11" fillId="2" borderId="1" applyNumberFormat="1" applyFont="1" applyFill="1" applyBorder="1" applyAlignment="1" applyProtection="0">
      <alignment vertical="center"/>
    </xf>
    <xf numFmtId="15" fontId="12" fillId="2" borderId="3" applyNumberFormat="1" applyFont="1" applyFill="1" applyBorder="1" applyAlignment="1" applyProtection="0">
      <alignment horizontal="center" vertical="bottom"/>
    </xf>
    <xf numFmtId="72" fontId="11" fillId="2" borderId="1" applyNumberFormat="1" applyFont="1" applyFill="1" applyBorder="1" applyAlignment="1" applyProtection="0">
      <alignment vertical="bottom"/>
    </xf>
    <xf numFmtId="67" fontId="9" fillId="2" borderId="1" applyNumberFormat="1" applyFont="1" applyFill="1" applyBorder="1" applyAlignment="1" applyProtection="0">
      <alignment horizontal="center" vertical="bottom"/>
    </xf>
    <xf numFmtId="84" fontId="9" fillId="6" borderId="28" applyNumberFormat="1" applyFont="1" applyFill="1" applyBorder="1" applyAlignment="1" applyProtection="0">
      <alignment horizontal="center" vertical="bottom"/>
    </xf>
    <xf numFmtId="70" fontId="12" fillId="3" borderId="29" applyNumberFormat="1" applyFont="1" applyFill="1" applyBorder="1" applyAlignment="1" applyProtection="0">
      <alignment horizontal="center" vertical="bottom"/>
    </xf>
    <xf numFmtId="77" fontId="9" fillId="6" borderId="29" applyNumberFormat="1" applyFont="1" applyFill="1" applyBorder="1" applyAlignment="1" applyProtection="0">
      <alignment horizontal="center" vertical="bottom"/>
    </xf>
    <xf numFmtId="84" fontId="9" fillId="6" borderId="34" applyNumberFormat="1" applyFont="1" applyFill="1" applyBorder="1" applyAlignment="1" applyProtection="0">
      <alignment horizontal="center" vertical="bottom"/>
    </xf>
    <xf numFmtId="70" fontId="12" fillId="3" borderId="13" applyNumberFormat="1" applyFont="1" applyFill="1" applyBorder="1" applyAlignment="1" applyProtection="0">
      <alignment horizontal="center" vertical="bottom"/>
    </xf>
    <xf numFmtId="78" fontId="12" fillId="3" borderId="13" applyNumberFormat="1" applyFont="1" applyFill="1" applyBorder="1" applyAlignment="1" applyProtection="0">
      <alignment horizontal="center" vertical="bottom"/>
    </xf>
    <xf numFmtId="77" fontId="9" fillId="6" borderId="13" applyNumberFormat="1" applyFont="1" applyFill="1" applyBorder="1" applyAlignment="1" applyProtection="0">
      <alignment horizontal="center" vertical="bottom"/>
    </xf>
    <xf numFmtId="0" fontId="9" fillId="2" borderId="3" applyNumberFormat="0" applyFont="1" applyFill="1" applyBorder="1" applyAlignment="1" applyProtection="0">
      <alignment horizontal="center" vertical="bottom"/>
    </xf>
    <xf numFmtId="85" fontId="9" fillId="6" borderId="34" applyNumberFormat="1" applyFont="1" applyFill="1" applyBorder="1" applyAlignment="1" applyProtection="0">
      <alignment horizontal="center" vertical="bottom"/>
    </xf>
    <xf numFmtId="0" fontId="12" fillId="6" borderId="107" applyNumberFormat="1" applyFont="1" applyFill="1" applyBorder="1" applyAlignment="1" applyProtection="0">
      <alignment horizontal="center" vertical="top" wrapText="1"/>
    </xf>
    <xf numFmtId="83" fontId="12" fillId="6" borderId="108" applyNumberFormat="1" applyFont="1" applyFill="1" applyBorder="1" applyAlignment="1" applyProtection="0">
      <alignment horizontal="center" vertical="top" wrapText="1"/>
    </xf>
    <xf numFmtId="83" fontId="12" fillId="6" borderId="109" applyNumberFormat="1" applyFont="1" applyFill="1" applyBorder="1" applyAlignment="1" applyProtection="0">
      <alignment horizontal="center" vertical="top" wrapText="1"/>
    </xf>
    <xf numFmtId="0" fontId="0" fillId="2" borderId="110" applyNumberFormat="0" applyFont="1" applyFill="1" applyBorder="1" applyAlignment="1" applyProtection="0">
      <alignment vertical="bottom"/>
    </xf>
    <xf numFmtId="0" fontId="0" fillId="2" borderId="111" applyNumberFormat="0" applyFont="1" applyFill="1" applyBorder="1" applyAlignment="1" applyProtection="0">
      <alignment vertical="bottom"/>
    </xf>
    <xf numFmtId="77" fontId="12" fillId="3" borderId="13" applyNumberFormat="1" applyFont="1" applyFill="1" applyBorder="1" applyAlignment="1" applyProtection="0">
      <alignment horizontal="center" vertical="bottom"/>
    </xf>
    <xf numFmtId="65" fontId="9" fillId="2" borderId="1" applyNumberFormat="1" applyFont="1" applyFill="1" applyBorder="1" applyAlignment="1" applyProtection="0">
      <alignment horizontal="center" vertical="bottom"/>
    </xf>
    <xf numFmtId="49" fontId="0" fillId="2" borderId="1" applyNumberFormat="1" applyFont="1" applyFill="1" applyBorder="1" applyAlignment="1" applyProtection="0">
      <alignment vertical="bottom"/>
    </xf>
    <xf numFmtId="0" fontId="12" fillId="6" borderId="6" applyNumberFormat="1" applyFont="1" applyFill="1" applyBorder="1" applyAlignment="1" applyProtection="0">
      <alignment horizontal="center" vertical="center" wrapText="1"/>
    </xf>
    <xf numFmtId="78" fontId="12" fillId="3" borderId="112" applyNumberFormat="1" applyFont="1" applyFill="1" applyBorder="1" applyAlignment="1" applyProtection="0">
      <alignment horizontal="center" vertical="bottom"/>
    </xf>
    <xf numFmtId="78" fontId="12" fillId="3" borderId="113" applyNumberFormat="1" applyFont="1" applyFill="1" applyBorder="1" applyAlignment="1" applyProtection="0">
      <alignment horizontal="center" vertical="bottom"/>
    </xf>
    <xf numFmtId="77" fontId="12" fillId="6" borderId="38" applyNumberFormat="1" applyFont="1" applyFill="1" applyBorder="1" applyAlignment="1" applyProtection="0">
      <alignment horizontal="center" vertical="bottom"/>
    </xf>
    <xf numFmtId="77" fontId="12" fillId="6" borderId="114" applyNumberFormat="1" applyFont="1" applyFill="1" applyBorder="1" applyAlignment="1" applyProtection="0">
      <alignment horizontal="center" vertical="bottom"/>
    </xf>
    <xf numFmtId="86" fontId="9" fillId="2" borderId="1" applyNumberFormat="1" applyFont="1" applyFill="1" applyBorder="1" applyAlignment="1" applyProtection="0">
      <alignment horizontal="center" vertical="bottom"/>
    </xf>
    <xf numFmtId="67" fontId="12" fillId="3" borderId="13" applyNumberFormat="1" applyFont="1" applyFill="1" applyBorder="1" applyAlignment="1" applyProtection="0">
      <alignment horizontal="center" vertical="bottom"/>
    </xf>
    <xf numFmtId="87" fontId="9" fillId="2" borderId="1" applyNumberFormat="1" applyFont="1" applyFill="1" applyBorder="1" applyAlignment="1" applyProtection="0">
      <alignment horizontal="center" vertical="bottom"/>
    </xf>
    <xf numFmtId="88" fontId="9" fillId="2" borderId="1" applyNumberFormat="1" applyFont="1" applyFill="1" applyBorder="1" applyAlignment="1" applyProtection="0">
      <alignment horizontal="center" vertical="bottom"/>
    </xf>
    <xf numFmtId="80" fontId="9" fillId="2" borderId="1" applyNumberFormat="1" applyFont="1" applyFill="1" applyBorder="1" applyAlignment="1" applyProtection="0">
      <alignment horizontal="center" vertical="bottom"/>
    </xf>
    <xf numFmtId="78" fontId="27" fillId="2" borderId="5" applyNumberFormat="1" applyFont="1" applyFill="1" applyBorder="1" applyAlignment="1" applyProtection="0">
      <alignment horizontal="center" vertical="bottom"/>
    </xf>
    <xf numFmtId="49" fontId="11" fillId="2" borderId="28" applyNumberFormat="1" applyFont="1" applyFill="1" applyBorder="1" applyAlignment="1" applyProtection="0">
      <alignment horizontal="center" vertical="center"/>
    </xf>
    <xf numFmtId="49" fontId="11" fillId="2" borderId="29" applyNumberFormat="1" applyFont="1" applyFill="1" applyBorder="1" applyAlignment="1" applyProtection="0">
      <alignment horizontal="center" vertical="center" wrapText="1"/>
    </xf>
    <xf numFmtId="0" fontId="12" fillId="2" borderId="115" applyNumberFormat="0" applyFont="1" applyFill="1" applyBorder="1" applyAlignment="1" applyProtection="0">
      <alignment horizontal="center" vertical="bottom"/>
    </xf>
    <xf numFmtId="89" fontId="9" fillId="2" borderId="1" applyNumberFormat="1" applyFont="1" applyFill="1" applyBorder="1" applyAlignment="1" applyProtection="0">
      <alignment horizontal="center" vertical="bottom"/>
    </xf>
    <xf numFmtId="65" fontId="12" fillId="3" borderId="13" applyNumberFormat="1" applyFont="1" applyFill="1" applyBorder="1" applyAlignment="1" applyProtection="0">
      <alignment horizontal="center" vertical="bottom"/>
    </xf>
    <xf numFmtId="0" fontId="11" fillId="2" borderId="34" applyNumberFormat="0" applyFont="1" applyFill="1" applyBorder="1" applyAlignment="1" applyProtection="0">
      <alignment horizontal="center" vertical="center"/>
    </xf>
    <xf numFmtId="0" fontId="11" fillId="2" borderId="13" applyNumberFormat="0" applyFont="1" applyFill="1" applyBorder="1" applyAlignment="1" applyProtection="0">
      <alignment horizontal="center" vertical="center" wrapText="1"/>
    </xf>
    <xf numFmtId="0" fontId="12" fillId="2" borderId="116" applyNumberFormat="0" applyFont="1" applyFill="1" applyBorder="1" applyAlignment="1" applyProtection="0">
      <alignment horizontal="center" vertical="bottom"/>
    </xf>
    <xf numFmtId="90" fontId="9" fillId="2" borderId="1" applyNumberFormat="1" applyFont="1" applyFill="1" applyBorder="1" applyAlignment="1" applyProtection="0">
      <alignment horizontal="center" vertical="bottom"/>
    </xf>
    <xf numFmtId="0" fontId="11" fillId="2" borderId="38" applyNumberFormat="0" applyFont="1" applyFill="1" applyBorder="1" applyAlignment="1" applyProtection="0">
      <alignment horizontal="center" vertical="center"/>
    </xf>
    <xf numFmtId="0" fontId="11" fillId="2" borderId="39" applyNumberFormat="0" applyFont="1" applyFill="1" applyBorder="1" applyAlignment="1" applyProtection="0">
      <alignment horizontal="center" vertical="center" wrapText="1"/>
    </xf>
    <xf numFmtId="49" fontId="11" fillId="2" borderId="40" applyNumberFormat="1" applyFont="1" applyFill="1" applyBorder="1" applyAlignment="1" applyProtection="0">
      <alignment horizontal="center" vertical="bottom" wrapText="1"/>
    </xf>
    <xf numFmtId="85" fontId="9" fillId="6" borderId="38" applyNumberFormat="1" applyFont="1" applyFill="1" applyBorder="1" applyAlignment="1" applyProtection="0">
      <alignment horizontal="center" vertical="bottom"/>
    </xf>
    <xf numFmtId="70" fontId="12" fillId="3" borderId="39" applyNumberFormat="1" applyFont="1" applyFill="1" applyBorder="1" applyAlignment="1" applyProtection="0">
      <alignment horizontal="center" vertical="bottom"/>
    </xf>
    <xf numFmtId="67" fontId="12" fillId="3" borderId="39" applyNumberFormat="1" applyFont="1" applyFill="1" applyBorder="1" applyAlignment="1" applyProtection="0">
      <alignment horizontal="center" vertical="bottom"/>
    </xf>
    <xf numFmtId="77" fontId="9" fillId="6" borderId="39" applyNumberFormat="1" applyFont="1" applyFill="1" applyBorder="1" applyAlignment="1" applyProtection="0">
      <alignment horizontal="center" vertical="bottom"/>
    </xf>
    <xf numFmtId="0" fontId="12" fillId="4" borderId="28" applyNumberFormat="1" applyFont="1" applyFill="1" applyBorder="1" applyAlignment="1" applyProtection="0">
      <alignment horizontal="center" vertical="bottom"/>
    </xf>
    <xf numFmtId="65" fontId="12" fillId="6" borderId="29" applyNumberFormat="1" applyFont="1" applyFill="1" applyBorder="1" applyAlignment="1" applyProtection="0">
      <alignment horizontal="center" vertical="bottom"/>
    </xf>
    <xf numFmtId="67" fontId="12" fillId="4" borderId="30" applyNumberFormat="1" applyFont="1" applyFill="1" applyBorder="1" applyAlignment="1" applyProtection="0">
      <alignment horizontal="center" vertical="bottom"/>
    </xf>
    <xf numFmtId="0" fontId="12" fillId="4" borderId="34" applyNumberFormat="1" applyFont="1" applyFill="1" applyBorder="1" applyAlignment="1" applyProtection="0">
      <alignment horizontal="center" vertical="bottom"/>
    </xf>
    <xf numFmtId="65" fontId="12" fillId="6" borderId="13" applyNumberFormat="1" applyFont="1" applyFill="1" applyBorder="1" applyAlignment="1" applyProtection="0">
      <alignment horizontal="center" vertical="bottom"/>
    </xf>
    <xf numFmtId="67" fontId="12" fillId="4" borderId="35" applyNumberFormat="1" applyFont="1" applyFill="1" applyBorder="1" applyAlignment="1" applyProtection="0">
      <alignment horizontal="center" vertical="bottom"/>
    </xf>
    <xf numFmtId="67" fontId="0" fillId="2" borderId="1" applyNumberFormat="1" applyFont="1" applyFill="1" applyBorder="1" applyAlignment="1" applyProtection="0">
      <alignment vertical="bottom"/>
    </xf>
    <xf numFmtId="67" fontId="12" fillId="4" borderId="40"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31" fillId="2" borderId="117" applyNumberFormat="1" applyFont="1" applyFill="1" applyBorder="1" applyAlignment="1" applyProtection="0">
      <alignment vertical="bottom"/>
    </xf>
    <xf numFmtId="49" fontId="32" fillId="2" borderId="118" applyNumberFormat="1" applyFont="1" applyFill="1" applyBorder="1" applyAlignment="1" applyProtection="0">
      <alignment vertical="bottom"/>
    </xf>
    <xf numFmtId="49" fontId="31" fillId="2" borderId="118" applyNumberFormat="1" applyFont="1" applyFill="1" applyBorder="1" applyAlignment="1" applyProtection="0">
      <alignment vertical="bottom"/>
    </xf>
    <xf numFmtId="91" fontId="31" fillId="2" borderId="118" applyNumberFormat="1" applyFont="1" applyFill="1" applyBorder="1" applyAlignment="1" applyProtection="0">
      <alignment vertical="bottom"/>
    </xf>
    <xf numFmtId="0" fontId="0" fillId="2" borderId="118" applyNumberFormat="0" applyFont="1" applyFill="1" applyBorder="1" applyAlignment="1" applyProtection="0">
      <alignment vertical="bottom"/>
    </xf>
    <xf numFmtId="0" fontId="0" fillId="2" borderId="119" applyNumberFormat="0" applyFont="1" applyFill="1" applyBorder="1" applyAlignment="1" applyProtection="0">
      <alignment vertical="bottom"/>
    </xf>
    <xf numFmtId="0" fontId="33" fillId="2" borderId="120" applyNumberFormat="0" applyFont="1" applyFill="1" applyBorder="1" applyAlignment="1" applyProtection="0">
      <alignment vertical="bottom"/>
    </xf>
    <xf numFmtId="0" fontId="34" fillId="2" borderId="121" applyNumberFormat="0" applyFont="1" applyFill="1" applyBorder="1" applyAlignment="1" applyProtection="0">
      <alignment vertical="bottom"/>
    </xf>
    <xf numFmtId="0" fontId="35" fillId="2" borderId="121" applyNumberFormat="0" applyFont="1" applyFill="1" applyBorder="1" applyAlignment="1" applyProtection="0">
      <alignment vertical="center" wrapText="1"/>
    </xf>
    <xf numFmtId="0" fontId="36" fillId="2" borderId="121" applyNumberFormat="0" applyFont="1" applyFill="1" applyBorder="1" applyAlignment="1" applyProtection="0">
      <alignment vertical="top"/>
    </xf>
    <xf numFmtId="0" fontId="37" fillId="2" borderId="121" applyNumberFormat="0" applyFont="1" applyFill="1" applyBorder="1" applyAlignment="1" applyProtection="0">
      <alignment vertical="center" wrapText="1"/>
    </xf>
    <xf numFmtId="0" fontId="38" fillId="2" borderId="121" applyNumberFormat="0" applyFont="1" applyFill="1" applyBorder="1" applyAlignment="1" applyProtection="0">
      <alignment vertical="bottom"/>
    </xf>
    <xf numFmtId="0" fontId="0" fillId="2" borderId="121" applyNumberFormat="0" applyFont="1" applyFill="1" applyBorder="1" applyAlignment="1" applyProtection="0">
      <alignment vertical="bottom"/>
    </xf>
    <xf numFmtId="0" fontId="0" fillId="2" borderId="122" applyNumberFormat="0" applyFont="1" applyFill="1" applyBorder="1" applyAlignment="1" applyProtection="0">
      <alignment vertical="bottom"/>
    </xf>
    <xf numFmtId="49" fontId="39" fillId="2" borderId="121" applyNumberFormat="1" applyFont="1" applyFill="1" applyBorder="1" applyAlignment="1" applyProtection="0">
      <alignment horizontal="center" vertical="top" wrapText="1"/>
    </xf>
    <xf numFmtId="0" fontId="39" fillId="2" borderId="121" applyNumberFormat="0" applyFont="1" applyFill="1" applyBorder="1" applyAlignment="1" applyProtection="0">
      <alignment horizontal="center" vertical="top" wrapText="1"/>
    </xf>
    <xf numFmtId="49" fontId="38" fillId="2" borderId="121" applyNumberFormat="1" applyFont="1" applyFill="1" applyBorder="1" applyAlignment="1" applyProtection="0">
      <alignment horizontal="center" vertical="center" wrapText="1"/>
    </xf>
    <xf numFmtId="0" fontId="38" fillId="2" borderId="121" applyNumberFormat="0" applyFont="1" applyFill="1" applyBorder="1" applyAlignment="1" applyProtection="0">
      <alignment horizontal="center" vertical="center" wrapText="1"/>
    </xf>
    <xf numFmtId="0" fontId="42" fillId="2" borderId="121" applyNumberFormat="0" applyFont="1" applyFill="1" applyBorder="1" applyAlignment="1" applyProtection="0">
      <alignment horizontal="center" vertical="center" wrapText="1"/>
    </xf>
    <xf numFmtId="0" fontId="43" fillId="2" borderId="121" applyNumberFormat="0" applyFont="1" applyFill="1" applyBorder="1" applyAlignment="1" applyProtection="0">
      <alignment vertical="center" wrapText="1"/>
    </xf>
    <xf numFmtId="0" fontId="34" fillId="2" borderId="121" applyNumberFormat="0" applyFont="1" applyFill="1" applyBorder="1" applyAlignment="1" applyProtection="0">
      <alignment horizontal="center" vertical="bottom"/>
    </xf>
    <xf numFmtId="0" fontId="35" fillId="2" borderId="121" applyNumberFormat="0" applyFont="1" applyFill="1" applyBorder="1" applyAlignment="1" applyProtection="0">
      <alignment horizontal="center" vertical="center" wrapText="1"/>
    </xf>
    <xf numFmtId="0" fontId="32" fillId="2" borderId="121" applyNumberFormat="0" applyFont="1" applyFill="1" applyBorder="1" applyAlignment="1" applyProtection="0">
      <alignment vertical="bottom"/>
    </xf>
    <xf numFmtId="0" fontId="32" fillId="2" borderId="122" applyNumberFormat="0" applyFont="1" applyFill="1" applyBorder="1" applyAlignment="1" applyProtection="0">
      <alignment vertical="bottom"/>
    </xf>
    <xf numFmtId="0" fontId="44" fillId="2" borderId="121" applyNumberFormat="0" applyFont="1" applyFill="1" applyBorder="1" applyAlignment="1" applyProtection="0">
      <alignment horizontal="left" vertical="center"/>
    </xf>
    <xf numFmtId="49" fontId="38" fillId="2" borderId="121" applyNumberFormat="1" applyFont="1" applyFill="1" applyBorder="1" applyAlignment="1" applyProtection="0">
      <alignment vertical="center"/>
    </xf>
    <xf numFmtId="49" fontId="38" fillId="2" borderId="121" applyNumberFormat="1" applyFont="1" applyFill="1" applyBorder="1" applyAlignment="1" applyProtection="0">
      <alignment vertical="center" wrapText="1"/>
    </xf>
    <xf numFmtId="91" fontId="38" fillId="2" borderId="121" applyNumberFormat="1" applyFont="1" applyFill="1" applyBorder="1" applyAlignment="1" applyProtection="0">
      <alignment horizontal="center" vertical="center"/>
    </xf>
    <xf numFmtId="0" fontId="47" fillId="2" borderId="121" applyNumberFormat="0" applyFont="1" applyFill="1" applyBorder="1" applyAlignment="1" applyProtection="0">
      <alignment horizontal="right" vertical="center"/>
    </xf>
    <xf numFmtId="0" fontId="32" fillId="2" borderId="121" applyNumberFormat="0" applyFont="1" applyFill="1" applyBorder="1" applyAlignment="1" applyProtection="0">
      <alignment horizontal="center" vertical="center"/>
    </xf>
    <xf numFmtId="0" fontId="48" fillId="2" borderId="121" applyNumberFormat="0" applyFont="1" applyFill="1" applyBorder="1" applyAlignment="1" applyProtection="0">
      <alignment horizontal="center" vertical="center"/>
    </xf>
    <xf numFmtId="0" fontId="49" fillId="2" borderId="120" applyNumberFormat="0" applyFont="1" applyFill="1" applyBorder="1" applyAlignment="1" applyProtection="0">
      <alignment vertical="bottom"/>
    </xf>
    <xf numFmtId="49" fontId="38" fillId="2" borderId="121" applyNumberFormat="1" applyFont="1" applyFill="1" applyBorder="1" applyAlignment="1" applyProtection="0">
      <alignment horizontal="left" vertical="center" wrapText="1"/>
    </xf>
    <xf numFmtId="0" fontId="38" fillId="2" borderId="121" applyNumberFormat="0" applyFont="1" applyFill="1" applyBorder="1" applyAlignment="1" applyProtection="0">
      <alignment horizontal="left" vertical="center"/>
    </xf>
    <xf numFmtId="0" fontId="38" fillId="2" borderId="121" applyNumberFormat="0" applyFont="1" applyFill="1" applyBorder="1" applyAlignment="1" applyProtection="0">
      <alignment horizontal="left" vertical="top"/>
    </xf>
    <xf numFmtId="92" fontId="38" fillId="2" borderId="121" applyNumberFormat="1" applyFont="1" applyFill="1" applyBorder="1" applyAlignment="1" applyProtection="0">
      <alignment horizontal="center" vertical="center"/>
    </xf>
    <xf numFmtId="0" fontId="38" fillId="2" borderId="121" applyNumberFormat="0" applyFont="1" applyFill="1" applyBorder="1" applyAlignment="1" applyProtection="0">
      <alignment horizontal="left" vertical="center" wrapText="1"/>
    </xf>
    <xf numFmtId="49" fontId="38" fillId="2" borderId="121" applyNumberFormat="1" applyFont="1" applyFill="1" applyBorder="1" applyAlignment="1" applyProtection="0">
      <alignment horizontal="center" vertical="center"/>
    </xf>
    <xf numFmtId="0" fontId="38" fillId="2" borderId="121" applyNumberFormat="0" applyFont="1" applyFill="1" applyBorder="1" applyAlignment="1" applyProtection="0">
      <alignment vertical="center" wrapText="1"/>
    </xf>
    <xf numFmtId="49" fontId="41" fillId="2" borderId="121" applyNumberFormat="1" applyFont="1" applyFill="1" applyBorder="1" applyAlignment="1" applyProtection="0">
      <alignment horizontal="left" vertical="bottom"/>
    </xf>
    <xf numFmtId="91" fontId="38" fillId="2" borderId="121" applyNumberFormat="1" applyFont="1" applyFill="1" applyBorder="1" applyAlignment="1" applyProtection="0">
      <alignment horizontal="center" vertical="bottom"/>
    </xf>
    <xf numFmtId="49" fontId="41" fillId="2" borderId="121" applyNumberFormat="1" applyFont="1" applyFill="1" applyBorder="1" applyAlignment="1" applyProtection="0">
      <alignment horizontal="right" vertical="center"/>
    </xf>
    <xf numFmtId="49" fontId="53" fillId="2" borderId="121" applyNumberFormat="1" applyFont="1" applyFill="1" applyBorder="1" applyAlignment="1" applyProtection="0">
      <alignment horizontal="left" vertical="center"/>
    </xf>
    <xf numFmtId="49" fontId="36" fillId="2" borderId="121" applyNumberFormat="1" applyFont="1" applyFill="1" applyBorder="1" applyAlignment="1" applyProtection="0">
      <alignment horizontal="left" vertical="center"/>
    </xf>
    <xf numFmtId="49" fontId="41" fillId="2" borderId="121" applyNumberFormat="1" applyFont="1" applyFill="1" applyBorder="1" applyAlignment="1" applyProtection="0">
      <alignment vertical="bottom" wrapText="1"/>
    </xf>
    <xf numFmtId="0" fontId="45" fillId="2" borderId="121" applyNumberFormat="0" applyFont="1" applyFill="1" applyBorder="1" applyAlignment="1" applyProtection="0">
      <alignment horizontal="left" vertical="center"/>
    </xf>
    <xf numFmtId="60" fontId="38" fillId="2" borderId="121" applyNumberFormat="1" applyFont="1" applyFill="1" applyBorder="1" applyAlignment="1" applyProtection="0">
      <alignment horizontal="left" vertical="center" wrapText="1"/>
    </xf>
    <xf numFmtId="93" fontId="38" fillId="2" borderId="121" applyNumberFormat="1" applyFont="1" applyFill="1" applyBorder="1" applyAlignment="1" applyProtection="0">
      <alignment horizontal="left" vertical="center" wrapText="1"/>
    </xf>
    <xf numFmtId="94" fontId="38" fillId="2" borderId="121" applyNumberFormat="1" applyFont="1" applyFill="1" applyBorder="1" applyAlignment="1" applyProtection="0">
      <alignment horizontal="left" vertical="center" wrapText="1"/>
    </xf>
    <xf numFmtId="0" fontId="49" fillId="2" borderId="122" applyNumberFormat="0" applyFont="1" applyFill="1" applyBorder="1" applyAlignment="1" applyProtection="0">
      <alignment horizontal="left" vertical="bottom"/>
    </xf>
    <xf numFmtId="66" fontId="38" fillId="2" borderId="121" applyNumberFormat="1" applyFont="1" applyFill="1" applyBorder="1" applyAlignment="1" applyProtection="0">
      <alignment horizontal="center" vertical="center"/>
    </xf>
    <xf numFmtId="0" fontId="38" fillId="2" borderId="121" applyNumberFormat="0" applyFont="1" applyFill="1" applyBorder="1" applyAlignment="1" applyProtection="0">
      <alignment vertical="center"/>
    </xf>
    <xf numFmtId="0" fontId="36" fillId="2" borderId="121" applyNumberFormat="0" applyFont="1" applyFill="1" applyBorder="1" applyAlignment="1" applyProtection="0">
      <alignment horizontal="left" vertical="center"/>
    </xf>
    <xf numFmtId="0" fontId="38" fillId="2" borderId="121" applyNumberFormat="1" applyFont="1" applyFill="1" applyBorder="1" applyAlignment="1" applyProtection="0">
      <alignment horizontal="center" vertical="center"/>
    </xf>
    <xf numFmtId="0" fontId="41" fillId="2" borderId="121" applyNumberFormat="0" applyFont="1" applyFill="1" applyBorder="1" applyAlignment="1" applyProtection="0">
      <alignment horizontal="left" vertical="bottom"/>
    </xf>
    <xf numFmtId="0" fontId="38" fillId="2" borderId="121" applyNumberFormat="0" applyFont="1" applyFill="1" applyBorder="1" applyAlignment="1" applyProtection="0">
      <alignment horizontal="center" vertical="bottom"/>
    </xf>
    <xf numFmtId="0" fontId="38" fillId="2" borderId="121" applyNumberFormat="0" applyFont="1" applyFill="1" applyBorder="1" applyAlignment="1" applyProtection="0">
      <alignment horizontal="center" vertical="top" wrapText="1"/>
    </xf>
    <xf numFmtId="49" fontId="41" fillId="2" borderId="121" applyNumberFormat="1" applyFont="1" applyFill="1" applyBorder="1" applyAlignment="1" applyProtection="0">
      <alignment horizontal="left" vertical="center" wrapText="1"/>
    </xf>
    <xf numFmtId="0" fontId="41" fillId="2" borderId="121" applyNumberFormat="0" applyFont="1" applyFill="1" applyBorder="1" applyAlignment="1" applyProtection="0">
      <alignment horizontal="left" vertical="center" wrapText="1"/>
    </xf>
    <xf numFmtId="49" fontId="53" fillId="2" borderId="121" applyNumberFormat="1" applyFont="1" applyFill="1" applyBorder="1" applyAlignment="1" applyProtection="0">
      <alignment vertical="bottom"/>
    </xf>
    <xf numFmtId="49" fontId="45" fillId="2" borderId="121" applyNumberFormat="1" applyFont="1" applyFill="1" applyBorder="1" applyAlignment="1" applyProtection="0">
      <alignment horizontal="left" vertical="center" wrapText="1"/>
    </xf>
    <xf numFmtId="0" fontId="45" fillId="2" borderId="121" applyNumberFormat="0" applyFont="1" applyFill="1" applyBorder="1" applyAlignment="1" applyProtection="0">
      <alignment horizontal="left" vertical="center" wrapText="1"/>
    </xf>
    <xf numFmtId="0" fontId="41" fillId="2" borderId="121" applyNumberFormat="0" applyFont="1" applyFill="1" applyBorder="1" applyAlignment="1" applyProtection="0">
      <alignment vertical="center" wrapText="1"/>
    </xf>
    <xf numFmtId="0" fontId="45" fillId="2" borderId="121" applyNumberFormat="0" applyFont="1" applyFill="1" applyBorder="1" applyAlignment="1" applyProtection="0">
      <alignment vertical="top" wrapText="1"/>
    </xf>
    <xf numFmtId="49" fontId="53" fillId="2" borderId="121" applyNumberFormat="1" applyFont="1" applyFill="1" applyBorder="1" applyAlignment="1" applyProtection="0">
      <alignment horizontal="left" vertical="top" wrapText="1"/>
    </xf>
    <xf numFmtId="49" fontId="41" fillId="2" borderId="121" applyNumberFormat="1" applyFont="1" applyFill="1" applyBorder="1" applyAlignment="1" applyProtection="0">
      <alignment vertical="top" wrapText="1"/>
    </xf>
    <xf numFmtId="49" fontId="41" fillId="2" borderId="121" applyNumberFormat="1" applyFont="1" applyFill="1" applyBorder="1" applyAlignment="1" applyProtection="0">
      <alignment vertical="bottom"/>
    </xf>
    <xf numFmtId="49" fontId="45" fillId="2" borderId="121" applyNumberFormat="1" applyFont="1" applyFill="1" applyBorder="1" applyAlignment="1" applyProtection="0">
      <alignment vertical="bottom"/>
    </xf>
    <xf numFmtId="49" fontId="53" fillId="2" borderId="121" applyNumberFormat="1" applyFont="1" applyFill="1" applyBorder="1" applyAlignment="1" applyProtection="0">
      <alignment vertical="top" wrapText="1"/>
    </xf>
    <xf numFmtId="0" fontId="41" fillId="2" borderId="121" applyNumberFormat="0" applyFont="1" applyFill="1" applyBorder="1" applyAlignment="1" applyProtection="0">
      <alignment vertical="bottom"/>
    </xf>
    <xf numFmtId="49" fontId="50" fillId="2" borderId="121" applyNumberFormat="1" applyFont="1" applyFill="1" applyBorder="1" applyAlignment="1" applyProtection="0">
      <alignment horizontal="center" vertical="bottom"/>
    </xf>
    <xf numFmtId="0" fontId="50" fillId="2" borderId="121" applyNumberFormat="0" applyFont="1" applyFill="1" applyBorder="1" applyAlignment="1" applyProtection="0">
      <alignment horizontal="center" vertical="bottom"/>
    </xf>
    <xf numFmtId="49" fontId="50" fillId="2" borderId="121" applyNumberFormat="1" applyFont="1" applyFill="1" applyBorder="1" applyAlignment="1" applyProtection="0">
      <alignment horizontal="center" vertical="center" wrapText="1"/>
    </xf>
    <xf numFmtId="0" fontId="50" fillId="2" borderId="121" applyNumberFormat="0" applyFont="1" applyFill="1" applyBorder="1" applyAlignment="1" applyProtection="0">
      <alignment horizontal="center" vertical="center" wrapText="1"/>
    </xf>
    <xf numFmtId="0" fontId="50" fillId="2" borderId="121" applyNumberFormat="0" applyFont="1" applyFill="1" applyBorder="1" applyAlignment="1" applyProtection="0">
      <alignment vertical="center" wrapText="1"/>
    </xf>
    <xf numFmtId="49" fontId="36" fillId="2" borderId="121" applyNumberFormat="1" applyFont="1" applyFill="1" applyBorder="1" applyAlignment="1" applyProtection="0">
      <alignment horizontal="center" vertical="center" wrapText="1"/>
    </xf>
    <xf numFmtId="0" fontId="36" fillId="2" borderId="121" applyNumberFormat="0" applyFont="1" applyFill="1" applyBorder="1" applyAlignment="1" applyProtection="0">
      <alignment horizontal="center" vertical="center" wrapText="1"/>
    </xf>
    <xf numFmtId="49" fontId="36" fillId="2" borderId="121" applyNumberFormat="1" applyFont="1" applyFill="1" applyBorder="1" applyAlignment="1" applyProtection="0">
      <alignment horizontal="center" vertical="center"/>
    </xf>
    <xf numFmtId="0" fontId="36" fillId="2" borderId="121" applyNumberFormat="0" applyFont="1" applyFill="1" applyBorder="1" applyAlignment="1" applyProtection="0">
      <alignment horizontal="center" vertical="center"/>
    </xf>
    <xf numFmtId="0" fontId="36" fillId="2" borderId="121" applyNumberFormat="0" applyFont="1" applyFill="1" applyBorder="1" applyAlignment="1" applyProtection="0">
      <alignment vertical="center"/>
    </xf>
    <xf numFmtId="0" fontId="38" fillId="2" borderId="121" applyNumberFormat="0" applyFont="1" applyFill="1" applyBorder="1" applyAlignment="1" applyProtection="0">
      <alignment horizontal="center" vertical="center"/>
    </xf>
    <xf numFmtId="91" fontId="38" fillId="2" borderId="121" applyNumberFormat="1" applyFont="1" applyFill="1" applyBorder="1" applyAlignment="1" applyProtection="0">
      <alignment horizontal="center" vertical="center" wrapText="1"/>
    </xf>
    <xf numFmtId="0" fontId="51" fillId="2" borderId="121" applyNumberFormat="0" applyFont="1" applyFill="1" applyBorder="1" applyAlignment="1" applyProtection="0">
      <alignment horizontal="center" vertical="center" wrapText="1"/>
    </xf>
    <xf numFmtId="0" fontId="45" fillId="2" borderId="121" applyNumberFormat="0" applyFont="1" applyFill="1" applyBorder="1" applyAlignment="1" applyProtection="0">
      <alignment horizontal="center" vertical="center" wrapText="1"/>
    </xf>
    <xf numFmtId="0" fontId="54" fillId="2" borderId="121" applyNumberFormat="0" applyFont="1" applyFill="1" applyBorder="1" applyAlignment="1" applyProtection="0">
      <alignment horizontal="center" vertical="center"/>
    </xf>
    <xf numFmtId="0" fontId="55" fillId="2" borderId="121" applyNumberFormat="0" applyFont="1" applyFill="1" applyBorder="1" applyAlignment="1" applyProtection="0">
      <alignment horizontal="center" vertical="center" wrapText="1"/>
    </xf>
    <xf numFmtId="91" fontId="54" fillId="2" borderId="121" applyNumberFormat="1" applyFont="1" applyFill="1" applyBorder="1" applyAlignment="1" applyProtection="0">
      <alignment horizontal="center" vertical="center"/>
    </xf>
    <xf numFmtId="14" fontId="45" fillId="2" borderId="121" applyNumberFormat="1" applyFont="1" applyFill="1" applyBorder="1" applyAlignment="1" applyProtection="0">
      <alignment horizontal="center" vertical="center" wrapText="1"/>
    </xf>
    <xf numFmtId="49" fontId="38" fillId="2" borderId="121" applyNumberFormat="1" applyFont="1" applyFill="1" applyBorder="1" applyAlignment="1" applyProtection="0">
      <alignment horizontal="left" vertical="center"/>
    </xf>
    <xf numFmtId="0" fontId="41" fillId="2" borderId="121" applyNumberFormat="0" applyFont="1" applyFill="1" applyBorder="1" applyAlignment="1" applyProtection="0">
      <alignment horizontal="left" vertical="center"/>
    </xf>
    <xf numFmtId="49" fontId="41" fillId="2" borderId="121" applyNumberFormat="1" applyFont="1" applyFill="1" applyBorder="1" applyAlignment="1" applyProtection="0">
      <alignment horizontal="center" vertical="bottom"/>
    </xf>
    <xf numFmtId="49" fontId="38" fillId="2" borderId="121" applyNumberFormat="1" applyFont="1" applyFill="1" applyBorder="1" applyAlignment="1" applyProtection="0">
      <alignment horizontal="center" vertical="bottom"/>
    </xf>
    <xf numFmtId="0" fontId="41" fillId="2" borderId="121" applyNumberFormat="0" applyFont="1" applyFill="1" applyBorder="1" applyAlignment="1" applyProtection="0">
      <alignment horizontal="center" vertical="bottom"/>
    </xf>
    <xf numFmtId="0" fontId="0" fillId="2" borderId="121" applyNumberFormat="0" applyFont="1" applyFill="1" applyBorder="1" applyAlignment="1" applyProtection="0">
      <alignment horizontal="center" vertical="center"/>
    </xf>
    <xf numFmtId="0" fontId="36" fillId="2" borderId="121" applyNumberFormat="0" applyFont="1" applyFill="1" applyBorder="1" applyAlignment="1" applyProtection="0">
      <alignment horizontal="left" vertical="top"/>
    </xf>
    <xf numFmtId="49" fontId="36" fillId="2" borderId="121" applyNumberFormat="1" applyFont="1" applyFill="1" applyBorder="1" applyAlignment="1" applyProtection="0">
      <alignment horizontal="center" vertical="top"/>
    </xf>
    <xf numFmtId="49" fontId="46" fillId="2" borderId="121" applyNumberFormat="1" applyFont="1" applyFill="1" applyBorder="1" applyAlignment="1" applyProtection="0">
      <alignment horizontal="center" vertical="bottom"/>
    </xf>
    <xf numFmtId="0" fontId="46" fillId="2" borderId="121" applyNumberFormat="0" applyFont="1" applyFill="1" applyBorder="1" applyAlignment="1" applyProtection="0">
      <alignment horizontal="center" vertical="bottom"/>
    </xf>
    <xf numFmtId="0" fontId="36" fillId="2" borderId="121" applyNumberFormat="0" applyFont="1" applyFill="1" applyBorder="1" applyAlignment="1" applyProtection="0">
      <alignment horizontal="center" vertical="top"/>
    </xf>
    <xf numFmtId="0" fontId="0" fillId="2" borderId="121" applyNumberFormat="0" applyFont="1" applyFill="1" applyBorder="1" applyAlignment="1" applyProtection="0">
      <alignment horizontal="center" vertical="bottom"/>
    </xf>
    <xf numFmtId="0" fontId="45" fillId="2" borderId="121" applyNumberFormat="0" applyFont="1" applyFill="1" applyBorder="1" applyAlignment="1" applyProtection="0">
      <alignment horizontal="center" vertical="bottom"/>
    </xf>
    <xf numFmtId="0" fontId="0" fillId="2" borderId="121" applyNumberFormat="0" applyFont="1" applyFill="1" applyBorder="1" applyAlignment="1" applyProtection="0">
      <alignment horizontal="left" vertical="top"/>
    </xf>
    <xf numFmtId="0" fontId="51" fillId="2" borderId="121" applyNumberFormat="0" applyFont="1" applyFill="1" applyBorder="1" applyAlignment="1" applyProtection="0">
      <alignment horizontal="center" vertical="center"/>
    </xf>
    <xf numFmtId="0" fontId="0" fillId="2" borderId="120" applyNumberFormat="0" applyFont="1" applyFill="1" applyBorder="1" applyAlignment="1" applyProtection="0">
      <alignment vertical="bottom"/>
    </xf>
    <xf numFmtId="0" fontId="45" fillId="2" borderId="121" applyNumberFormat="0" applyFont="1" applyFill="1" applyBorder="1" applyAlignment="1" applyProtection="0">
      <alignment horizontal="left" vertical="bottom"/>
    </xf>
    <xf numFmtId="91" fontId="45" fillId="2" borderId="121" applyNumberFormat="1" applyFont="1" applyFill="1" applyBorder="1" applyAlignment="1" applyProtection="0">
      <alignment horizontal="center" vertical="bottom"/>
    </xf>
    <xf numFmtId="0" fontId="51" fillId="2" borderId="121" applyNumberFormat="0" applyFont="1" applyFill="1" applyBorder="1" applyAlignment="1" applyProtection="0">
      <alignment horizontal="center" vertical="bottom"/>
    </xf>
    <xf numFmtId="0" fontId="56" fillId="2" borderId="121" applyNumberFormat="0" applyFont="1" applyFill="1" applyBorder="1" applyAlignment="1" applyProtection="0">
      <alignment horizontal="left" vertical="bottom"/>
    </xf>
    <xf numFmtId="0" fontId="56" fillId="2" borderId="121" applyNumberFormat="0" applyFont="1" applyFill="1" applyBorder="1" applyAlignment="1" applyProtection="0">
      <alignment horizontal="center" vertical="bottom"/>
    </xf>
    <xf numFmtId="91" fontId="56" fillId="2" borderId="121" applyNumberFormat="1" applyFont="1" applyFill="1" applyBorder="1" applyAlignment="1" applyProtection="0">
      <alignment horizontal="center" vertical="bottom"/>
    </xf>
    <xf numFmtId="0" fontId="57" fillId="2" borderId="121" applyNumberFormat="0" applyFont="1" applyFill="1" applyBorder="1" applyAlignment="1" applyProtection="0">
      <alignment horizontal="center" vertical="bottom"/>
    </xf>
    <xf numFmtId="14" fontId="58" fillId="2" borderId="121" applyNumberFormat="1" applyFont="1" applyFill="1" applyBorder="1" applyAlignment="1" applyProtection="0">
      <alignment vertical="bottom"/>
    </xf>
    <xf numFmtId="0" fontId="0" fillId="2" borderId="123" applyNumberFormat="0" applyFont="1" applyFill="1" applyBorder="1" applyAlignment="1" applyProtection="0">
      <alignment vertical="bottom"/>
    </xf>
    <xf numFmtId="0" fontId="0" fillId="2" borderId="124" applyNumberFormat="0" applyFont="1" applyFill="1" applyBorder="1" applyAlignment="1" applyProtection="0">
      <alignment vertical="bottom"/>
    </xf>
    <xf numFmtId="0" fontId="59" fillId="2" borderId="124" applyNumberFormat="0" applyFont="1" applyFill="1" applyBorder="1" applyAlignment="1" applyProtection="0">
      <alignment vertical="bottom"/>
    </xf>
    <xf numFmtId="0" fontId="0" fillId="2" borderId="125" applyNumberFormat="0" applyFont="1" applyFill="1" applyBorder="1" applyAlignment="1" applyProtection="0">
      <alignment vertical="bottom"/>
    </xf>
    <xf numFmtId="0" fontId="0" applyNumberFormat="1" applyFont="1" applyFill="0" applyBorder="0" applyAlignment="1" applyProtection="0">
      <alignment vertical="bottom"/>
    </xf>
    <xf numFmtId="0" fontId="0" borderId="117" applyNumberFormat="0" applyFont="1" applyFill="0" applyBorder="1" applyAlignment="1" applyProtection="0">
      <alignment vertical="bottom"/>
    </xf>
    <xf numFmtId="0" fontId="0" borderId="118" applyNumberFormat="0" applyFont="1" applyFill="0" applyBorder="1" applyAlignment="1" applyProtection="0">
      <alignment vertical="bottom"/>
    </xf>
    <xf numFmtId="0" fontId="0" borderId="119" applyNumberFormat="0" applyFont="1" applyFill="0" applyBorder="1" applyAlignment="1" applyProtection="0">
      <alignment vertical="bottom"/>
    </xf>
    <xf numFmtId="0" fontId="0" borderId="120" applyNumberFormat="0" applyFont="1" applyFill="0" applyBorder="1" applyAlignment="1" applyProtection="0">
      <alignment vertical="bottom"/>
    </xf>
    <xf numFmtId="0" fontId="0" borderId="121" applyNumberFormat="0" applyFont="1" applyFill="0" applyBorder="1" applyAlignment="1" applyProtection="0">
      <alignment vertical="bottom"/>
    </xf>
    <xf numFmtId="0" fontId="0" borderId="122" applyNumberFormat="0" applyFont="1" applyFill="0" applyBorder="1" applyAlignment="1" applyProtection="0">
      <alignment vertical="bottom"/>
    </xf>
    <xf numFmtId="0" fontId="61" borderId="121" applyNumberFormat="0" applyFont="1" applyFill="0" applyBorder="1" applyAlignment="1" applyProtection="0">
      <alignment vertical="bottom"/>
    </xf>
    <xf numFmtId="0" fontId="49" borderId="121" applyNumberFormat="0" applyFont="1" applyFill="0" applyBorder="1" applyAlignment="1" applyProtection="0">
      <alignment vertical="bottom"/>
    </xf>
    <xf numFmtId="0" fontId="42" fillId="2" borderId="121" applyNumberFormat="0" applyFont="1" applyFill="1" applyBorder="1" applyAlignment="1" applyProtection="0">
      <alignment horizontal="left" vertical="top"/>
    </xf>
    <xf numFmtId="49" fontId="62" fillId="2" borderId="121" applyNumberFormat="1" applyFont="1" applyFill="1" applyBorder="1" applyAlignment="1" applyProtection="0">
      <alignment horizontal="center" vertical="top" wrapText="1"/>
    </xf>
    <xf numFmtId="0" fontId="62" fillId="2" borderId="121" applyNumberFormat="0" applyFont="1" applyFill="1" applyBorder="1" applyAlignment="1" applyProtection="0">
      <alignment horizontal="center" vertical="top" wrapText="1"/>
    </xf>
    <xf numFmtId="91" fontId="38" fillId="2" borderId="121" applyNumberFormat="1" applyFont="1" applyFill="1" applyBorder="1" applyAlignment="1" applyProtection="0">
      <alignment horizontal="left" vertical="top"/>
    </xf>
    <xf numFmtId="49" fontId="38" fillId="2" borderId="121" applyNumberFormat="1" applyFont="1" applyFill="1" applyBorder="1" applyAlignment="1" applyProtection="0">
      <alignment horizontal="left" vertical="top"/>
    </xf>
    <xf numFmtId="0" fontId="49" borderId="16" applyNumberFormat="0" applyFont="1" applyFill="0" applyBorder="1" applyAlignment="1" applyProtection="0">
      <alignment vertical="bottom"/>
    </xf>
    <xf numFmtId="0" fontId="49" fillId="2" borderId="16" applyNumberFormat="0" applyFont="1" applyFill="1" applyBorder="1" applyAlignment="1" applyProtection="0">
      <alignment horizontal="left" vertical="center" wrapText="1"/>
    </xf>
    <xf numFmtId="0" fontId="49" fillId="2" borderId="16" applyNumberFormat="0" applyFont="1" applyFill="1" applyBorder="1" applyAlignment="1" applyProtection="0">
      <alignment horizontal="left" vertical="center"/>
    </xf>
    <xf numFmtId="0" fontId="49" fillId="2" borderId="16" applyNumberFormat="0" applyFont="1" applyFill="1" applyBorder="1" applyAlignment="1" applyProtection="0">
      <alignment vertical="top"/>
    </xf>
    <xf numFmtId="0" fontId="49" fillId="2" borderId="121" applyNumberFormat="0" applyFont="1" applyFill="1" applyBorder="1" applyAlignment="1" applyProtection="0">
      <alignment horizontal="left" vertical="center"/>
    </xf>
    <xf numFmtId="0" fontId="12" borderId="126" applyNumberFormat="0" applyFont="1" applyFill="0" applyBorder="1" applyAlignment="1" applyProtection="0">
      <alignment vertical="bottom"/>
    </xf>
    <xf numFmtId="49" fontId="7" borderId="23" applyNumberFormat="1" applyFont="1" applyFill="0" applyBorder="1" applyAlignment="1" applyProtection="0">
      <alignment horizontal="center" vertical="bottom"/>
    </xf>
    <xf numFmtId="0" fontId="7" borderId="24" applyNumberFormat="0" applyFont="1" applyFill="0" applyBorder="1" applyAlignment="1" applyProtection="0">
      <alignment horizontal="center" vertical="bottom"/>
    </xf>
    <xf numFmtId="0" fontId="7" borderId="25" applyNumberFormat="0" applyFont="1" applyFill="0" applyBorder="1" applyAlignment="1" applyProtection="0">
      <alignment horizontal="center" vertical="bottom"/>
    </xf>
    <xf numFmtId="0" fontId="13" borderId="48" applyNumberFormat="0" applyFont="1" applyFill="0" applyBorder="1" applyAlignment="1" applyProtection="0">
      <alignment vertical="bottom"/>
    </xf>
    <xf numFmtId="0" fontId="63" borderId="126" applyNumberFormat="0" applyFont="1" applyFill="0" applyBorder="1" applyAlignment="1" applyProtection="0">
      <alignment vertical="bottom"/>
    </xf>
    <xf numFmtId="0" fontId="49" fillId="2" borderId="48" applyNumberFormat="0" applyFont="1" applyFill="1" applyBorder="1" applyAlignment="1" applyProtection="0">
      <alignment horizontal="left" vertical="center"/>
    </xf>
    <xf numFmtId="0" fontId="12" borderId="17" applyNumberFormat="0" applyFont="1" applyFill="0" applyBorder="1" applyAlignment="1" applyProtection="0">
      <alignment vertical="bottom"/>
    </xf>
    <xf numFmtId="49" fontId="11" borderId="45" applyNumberFormat="1" applyFont="1" applyFill="0" applyBorder="1" applyAlignment="1" applyProtection="0">
      <alignment vertical="bottom"/>
    </xf>
    <xf numFmtId="49" fontId="11" borderId="23" applyNumberFormat="1" applyFont="1" applyFill="0" applyBorder="1" applyAlignment="1" applyProtection="0">
      <alignment horizontal="center" vertical="bottom"/>
    </xf>
    <xf numFmtId="0" fontId="11" borderId="25" applyNumberFormat="0" applyFont="1" applyFill="0" applyBorder="1" applyAlignment="1" applyProtection="0">
      <alignment horizontal="center" vertical="bottom"/>
    </xf>
    <xf numFmtId="49" fontId="64" borderId="48" applyNumberFormat="1" applyFont="1" applyFill="0" applyBorder="1" applyAlignment="1" applyProtection="0">
      <alignment horizontal="center" vertical="bottom"/>
    </xf>
    <xf numFmtId="0" fontId="64" borderId="126" applyNumberFormat="0" applyFont="1" applyFill="0" applyBorder="1" applyAlignment="1" applyProtection="0">
      <alignment horizontal="center" vertical="bottom"/>
    </xf>
    <xf numFmtId="49" fontId="11" fillId="2" borderId="22" applyNumberFormat="1" applyFont="1" applyFill="1" applyBorder="1" applyAlignment="1" applyProtection="0">
      <alignment horizontal="center" vertical="center"/>
    </xf>
    <xf numFmtId="49" fontId="11" fillId="2" borderId="9" applyNumberFormat="1" applyFont="1" applyFill="1" applyBorder="1" applyAlignment="1" applyProtection="0">
      <alignment horizontal="center" vertical="center"/>
    </xf>
    <xf numFmtId="0" fontId="11" fillId="2" borderId="11" applyNumberFormat="0" applyFont="1" applyFill="1" applyBorder="1" applyAlignment="1" applyProtection="0">
      <alignment horizontal="center" vertical="center"/>
    </xf>
    <xf numFmtId="0" fontId="0" borderId="48" applyNumberFormat="0" applyFont="1" applyFill="0" applyBorder="1" applyAlignment="1" applyProtection="0">
      <alignment vertical="bottom"/>
    </xf>
    <xf numFmtId="0" fontId="65" fillId="2" borderId="127" applyNumberFormat="0" applyFont="1" applyFill="1" applyBorder="1" applyAlignment="1" applyProtection="0">
      <alignment vertical="center" wrapText="1"/>
    </xf>
    <xf numFmtId="49" fontId="11" borderId="128" applyNumberFormat="1" applyFont="1" applyFill="0" applyBorder="1" applyAlignment="1" applyProtection="0">
      <alignment vertical="bottom"/>
    </xf>
    <xf numFmtId="49" fontId="11" borderId="45" applyNumberFormat="1" applyFont="1" applyFill="0" applyBorder="1" applyAlignment="1" applyProtection="0">
      <alignment horizontal="center" vertical="bottom"/>
    </xf>
    <xf numFmtId="0" fontId="66" borderId="48" applyNumberFormat="0" applyFont="1" applyFill="0" applyBorder="1" applyAlignment="1" applyProtection="0">
      <alignment vertical="bottom"/>
    </xf>
    <xf numFmtId="49" fontId="11" fillId="2" borderId="33" applyNumberFormat="1" applyFont="1" applyFill="1" applyBorder="1" applyAlignment="1" applyProtection="0">
      <alignment horizontal="center" vertical="center"/>
    </xf>
    <xf numFmtId="49" fontId="11" fillId="2" borderId="15" applyNumberFormat="1" applyFont="1" applyFill="1" applyBorder="1" applyAlignment="1" applyProtection="0">
      <alignment horizontal="center" vertical="center"/>
    </xf>
    <xf numFmtId="0" fontId="11" fillId="2" borderId="17" applyNumberFormat="0" applyFont="1" applyFill="1" applyBorder="1" applyAlignment="1" applyProtection="0">
      <alignment vertical="center"/>
    </xf>
    <xf numFmtId="0" fontId="12" borderId="48" applyNumberFormat="0" applyFont="1" applyFill="0" applyBorder="1" applyAlignment="1" applyProtection="0">
      <alignment vertical="bottom"/>
    </xf>
    <xf numFmtId="0" fontId="12" borderId="121" applyNumberFormat="0" applyFont="1" applyFill="0" applyBorder="1" applyAlignment="1" applyProtection="0">
      <alignment vertical="bottom"/>
    </xf>
    <xf numFmtId="0" fontId="12" borderId="121" applyNumberFormat="0" applyFont="1" applyFill="0" applyBorder="1" applyAlignment="1" applyProtection="0">
      <alignment horizontal="left" vertical="bottom"/>
    </xf>
    <xf numFmtId="0" fontId="64" borderId="121" applyNumberFormat="0" applyFont="1" applyFill="0" applyBorder="1" applyAlignment="1" applyProtection="0">
      <alignment vertical="bottom"/>
    </xf>
    <xf numFmtId="0" fontId="12" borderId="122" applyNumberFormat="0" applyFont="1" applyFill="0" applyBorder="1" applyAlignment="1" applyProtection="0">
      <alignment vertical="bottom"/>
    </xf>
    <xf numFmtId="0" fontId="12" borderId="129" applyNumberFormat="0" applyFont="1" applyFill="0" applyBorder="1" applyAlignment="1" applyProtection="0">
      <alignment vertical="bottom"/>
    </xf>
    <xf numFmtId="0" fontId="12" borderId="99" applyNumberFormat="1" applyFont="1" applyFill="0" applyBorder="1" applyAlignment="1" applyProtection="0">
      <alignment horizontal="center" vertical="bottom"/>
    </xf>
    <xf numFmtId="95" fontId="12" fillId="2" borderId="94" applyNumberFormat="1" applyFont="1" applyFill="1" applyBorder="1" applyAlignment="1" applyProtection="0">
      <alignment horizontal="center" vertical="center"/>
    </xf>
    <xf numFmtId="96" fontId="12" borderId="94" applyNumberFormat="1" applyFont="1" applyFill="0" applyBorder="1" applyAlignment="1" applyProtection="0">
      <alignment horizontal="center" vertical="bottom"/>
    </xf>
    <xf numFmtId="0" fontId="12" borderId="130" applyNumberFormat="0" applyFont="1" applyFill="0" applyBorder="1" applyAlignment="1" applyProtection="0">
      <alignment vertical="bottom"/>
    </xf>
    <xf numFmtId="0" fontId="12" borderId="131" applyNumberFormat="0" applyFont="1" applyFill="0" applyBorder="1" applyAlignment="1" applyProtection="0">
      <alignment vertical="bottom"/>
    </xf>
    <xf numFmtId="95" fontId="12" borderId="94" applyNumberFormat="1" applyFont="1" applyFill="0" applyBorder="1" applyAlignment="1" applyProtection="0">
      <alignment horizontal="center" vertical="bottom"/>
    </xf>
    <xf numFmtId="2" fontId="12" borderId="94" applyNumberFormat="1" applyFont="1" applyFill="0" applyBorder="1" applyAlignment="1" applyProtection="0">
      <alignment horizontal="center" vertical="bottom"/>
    </xf>
    <xf numFmtId="9" fontId="12" borderId="94" applyNumberFormat="1" applyFont="1" applyFill="0" applyBorder="1" applyAlignment="1" applyProtection="0">
      <alignment horizontal="center" vertical="bottom"/>
    </xf>
    <xf numFmtId="0" fontId="11" fillId="6" borderId="121" applyNumberFormat="0" applyFont="1" applyFill="1" applyBorder="1" applyAlignment="1" applyProtection="0">
      <alignment horizontal="center" vertical="bottom"/>
    </xf>
    <xf numFmtId="0" fontId="15" fillId="2" borderId="121" applyNumberFormat="0" applyFont="1" applyFill="1" applyBorder="1" applyAlignment="1" applyProtection="0">
      <alignment horizontal="center" vertical="center" wrapText="1"/>
    </xf>
    <xf numFmtId="0" fontId="11" borderId="121" applyNumberFormat="0" applyFont="1" applyFill="0" applyBorder="1" applyAlignment="1" applyProtection="0">
      <alignment horizontal="center" vertical="bottom"/>
    </xf>
    <xf numFmtId="0" fontId="0" borderId="129" applyNumberFormat="0" applyFont="1" applyFill="0" applyBorder="1" applyAlignment="1" applyProtection="0">
      <alignment vertical="bottom"/>
    </xf>
    <xf numFmtId="95" fontId="12" fillId="2" borderId="99" applyNumberFormat="1" applyFont="1" applyFill="1" applyBorder="1" applyAlignment="1" applyProtection="0">
      <alignment horizontal="center" vertical="center"/>
    </xf>
    <xf numFmtId="96" fontId="12" borderId="99" applyNumberFormat="1" applyFont="1" applyFill="0" applyBorder="1" applyAlignment="1" applyProtection="0">
      <alignment horizontal="center" vertical="bottom"/>
    </xf>
    <xf numFmtId="69" fontId="67" borderId="132" applyNumberFormat="1" applyFont="1" applyFill="0" applyBorder="1" applyAlignment="1" applyProtection="0">
      <alignment vertical="bottom"/>
    </xf>
    <xf numFmtId="0" fontId="11" fillId="6" borderId="121" applyNumberFormat="0" applyFont="1" applyFill="1" applyBorder="1" applyAlignment="1" applyProtection="0">
      <alignment horizontal="right" vertical="bottom"/>
    </xf>
    <xf numFmtId="0" fontId="12" fillId="6" borderId="121" applyNumberFormat="0" applyFont="1" applyFill="1" applyBorder="1" applyAlignment="1" applyProtection="0">
      <alignment horizontal="center" vertical="bottom"/>
    </xf>
    <xf numFmtId="0" fontId="12" fillId="6" borderId="121" applyNumberFormat="0" applyFont="1" applyFill="1" applyBorder="1" applyAlignment="1" applyProtection="0">
      <alignment horizontal="right" vertical="bottom"/>
    </xf>
    <xf numFmtId="0" fontId="12" fillId="6" borderId="121" applyNumberFormat="0" applyFont="1" applyFill="1" applyBorder="1" applyAlignment="1" applyProtection="0">
      <alignment horizontal="left" vertical="bottom"/>
    </xf>
    <xf numFmtId="0" fontId="14" fillId="6" borderId="121" applyNumberFormat="0" applyFont="1" applyFill="1" applyBorder="1" applyAlignment="1" applyProtection="0">
      <alignment horizontal="left" vertical="center"/>
    </xf>
    <xf numFmtId="91" fontId="12" fillId="6" borderId="121" applyNumberFormat="1" applyFont="1" applyFill="1" applyBorder="1" applyAlignment="1" applyProtection="0">
      <alignment horizontal="center" vertical="bottom"/>
    </xf>
    <xf numFmtId="0" fontId="11" borderId="121" applyNumberFormat="0" applyFont="1" applyFill="0" applyBorder="1" applyAlignment="1" applyProtection="0">
      <alignment horizontal="right" vertical="bottom"/>
    </xf>
    <xf numFmtId="0" fontId="11" borderId="121" applyNumberFormat="0" applyFont="1" applyFill="0" applyBorder="1" applyAlignment="1" applyProtection="0">
      <alignment vertical="bottom"/>
    </xf>
    <xf numFmtId="69" fontId="67" borderId="121" applyNumberFormat="1" applyFont="1" applyFill="0" applyBorder="1" applyAlignment="1" applyProtection="0">
      <alignment vertical="bottom"/>
    </xf>
    <xf numFmtId="0" fontId="68" borderId="121" applyNumberFormat="0" applyFont="1" applyFill="0" applyBorder="1" applyAlignment="1" applyProtection="0">
      <alignment vertical="bottom"/>
    </xf>
    <xf numFmtId="0" fontId="14" fillId="6" borderId="121" applyNumberFormat="0" applyFont="1" applyFill="1" applyBorder="1" applyAlignment="1" applyProtection="0">
      <alignment horizontal="left" vertical="bottom"/>
    </xf>
    <xf numFmtId="0" fontId="11" fillId="2" borderId="121" applyNumberFormat="0" applyFont="1" applyFill="1" applyBorder="1" applyAlignment="1" applyProtection="0">
      <alignment horizontal="center" vertical="center" wrapText="1"/>
    </xf>
    <xf numFmtId="0" fontId="12" borderId="121" applyNumberFormat="0" applyFont="1" applyFill="0" applyBorder="1" applyAlignment="1" applyProtection="0">
      <alignment horizontal="center" vertical="bottom"/>
    </xf>
    <xf numFmtId="0" fontId="9" fillId="2" borderId="121" applyNumberFormat="0" applyFont="1" applyFill="1" applyBorder="1" applyAlignment="1" applyProtection="0">
      <alignment horizontal="center" vertical="center"/>
    </xf>
    <xf numFmtId="0" fontId="11" fillId="2" borderId="121" applyNumberFormat="0" applyFont="1" applyFill="1" applyBorder="1" applyAlignment="1" applyProtection="0">
      <alignment horizontal="center" vertical="center"/>
    </xf>
    <xf numFmtId="0" fontId="69" borderId="121" applyNumberFormat="0" applyFont="1" applyFill="0" applyBorder="1" applyAlignment="1" applyProtection="0">
      <alignment vertical="bottom"/>
    </xf>
    <xf numFmtId="0" fontId="19" borderId="121" applyNumberFormat="0" applyFont="1" applyFill="0" applyBorder="1" applyAlignment="1" applyProtection="0">
      <alignment vertical="bottom"/>
    </xf>
    <xf numFmtId="0" fontId="70" fillId="2" borderId="121" applyNumberFormat="0" applyFont="1" applyFill="1" applyBorder="1" applyAlignment="1" applyProtection="0">
      <alignment horizontal="center" vertical="center" wrapText="1"/>
    </xf>
    <xf numFmtId="49" fontId="64" borderId="130" applyNumberFormat="1" applyFont="1" applyFill="0" applyBorder="1" applyAlignment="1" applyProtection="0">
      <alignment horizontal="center" vertical="bottom"/>
    </xf>
    <xf numFmtId="69" fontId="64" borderId="121" applyNumberFormat="1" applyFont="1" applyFill="0" applyBorder="1" applyAlignment="1" applyProtection="0">
      <alignment horizontal="center" vertical="bottom"/>
    </xf>
    <xf numFmtId="9" fontId="12" borderId="121" applyNumberFormat="1" applyFont="1" applyFill="0" applyBorder="1" applyAlignment="1" applyProtection="0">
      <alignment horizontal="center" vertical="bottom"/>
    </xf>
    <xf numFmtId="1" fontId="67" borderId="121" applyNumberFormat="1" applyFont="1" applyFill="0" applyBorder="1" applyAlignment="1" applyProtection="0">
      <alignment horizontal="center" vertical="bottom"/>
    </xf>
    <xf numFmtId="3" fontId="11" borderId="121" applyNumberFormat="1" applyFont="1" applyFill="0" applyBorder="1" applyAlignment="1" applyProtection="0">
      <alignment horizontal="center" vertical="bottom"/>
    </xf>
    <xf numFmtId="2" fontId="12" borderId="121" applyNumberFormat="1" applyFont="1" applyFill="0" applyBorder="1" applyAlignment="1" applyProtection="0">
      <alignment vertical="bottom"/>
    </xf>
    <xf numFmtId="0" fontId="12" fillId="6" borderId="121" applyNumberFormat="0" applyFont="1" applyFill="1" applyBorder="1" applyAlignment="1" applyProtection="0">
      <alignment vertical="bottom"/>
    </xf>
    <xf numFmtId="0" fontId="26" borderId="121" applyNumberFormat="0" applyFont="1" applyFill="0" applyBorder="1" applyAlignment="1" applyProtection="0">
      <alignment horizontal="center" vertical="bottom"/>
    </xf>
    <xf numFmtId="0" fontId="71" fillId="2" borderId="121" applyNumberFormat="0" applyFont="1" applyFill="1" applyBorder="1" applyAlignment="1" applyProtection="0">
      <alignment horizontal="center" vertical="center" wrapText="1"/>
    </xf>
    <xf numFmtId="69" fontId="12" borderId="130" applyNumberFormat="1" applyFont="1" applyFill="0" applyBorder="1" applyAlignment="1" applyProtection="0">
      <alignment vertical="bottom"/>
    </xf>
    <xf numFmtId="2" fontId="11" borderId="121" applyNumberFormat="1" applyFont="1" applyFill="0" applyBorder="1" applyAlignment="1" applyProtection="0">
      <alignment horizontal="center" vertical="bottom"/>
    </xf>
    <xf numFmtId="2" fontId="11" borderId="121" applyNumberFormat="1" applyFont="1" applyFill="0" applyBorder="1" applyAlignment="1" applyProtection="0">
      <alignment vertical="bottom"/>
    </xf>
    <xf numFmtId="61" fontId="12" fillId="6" borderId="121" applyNumberFormat="1" applyFont="1" applyFill="1" applyBorder="1" applyAlignment="1" applyProtection="0">
      <alignment horizontal="center" vertical="bottom"/>
    </xf>
    <xf numFmtId="2" fontId="12" fillId="6" borderId="121" applyNumberFormat="1" applyFont="1" applyFill="1" applyBorder="1" applyAlignment="1" applyProtection="0">
      <alignment horizontal="left" vertical="bottom"/>
    </xf>
    <xf numFmtId="0" fontId="11" fillId="2" borderId="121" applyNumberFormat="0" applyFont="1" applyFill="1" applyBorder="1" applyAlignment="1" applyProtection="0">
      <alignment horizontal="center" vertical="bottom" wrapText="1"/>
    </xf>
    <xf numFmtId="0" fontId="26" fillId="2" borderId="121" applyNumberFormat="0" applyFont="1" applyFill="1" applyBorder="1" applyAlignment="1" applyProtection="0">
      <alignment horizontal="center" vertical="center"/>
    </xf>
    <xf numFmtId="0" fontId="26" fillId="2" borderId="121" applyNumberFormat="0" applyFont="1" applyFill="1" applyBorder="1" applyAlignment="1" applyProtection="0">
      <alignment horizontal="center" vertical="center" wrapText="1"/>
    </xf>
    <xf numFmtId="0" fontId="12" borderId="133" applyNumberFormat="0" applyFont="1" applyFill="0" applyBorder="1" applyAlignment="1" applyProtection="0">
      <alignment horizontal="center" vertical="bottom"/>
    </xf>
    <xf numFmtId="49" fontId="11" borderId="134" applyNumberFormat="1" applyFont="1" applyFill="0" applyBorder="1" applyAlignment="1" applyProtection="0">
      <alignment horizontal="center" vertical="bottom"/>
    </xf>
    <xf numFmtId="69" fontId="11" borderId="135" applyNumberFormat="1" applyFont="1" applyFill="0" applyBorder="1" applyAlignment="1" applyProtection="0">
      <alignment horizontal="center" vertical="bottom"/>
    </xf>
    <xf numFmtId="97" fontId="13" borderId="99" applyNumberFormat="1" applyFont="1" applyFill="0" applyBorder="1" applyAlignment="1" applyProtection="0">
      <alignment horizontal="center" vertical="bottom"/>
    </xf>
    <xf numFmtId="0" fontId="12" borderId="130" applyNumberFormat="0" applyFont="1" applyFill="0" applyBorder="1" applyAlignment="1" applyProtection="0">
      <alignment horizontal="left" vertical="bottom"/>
    </xf>
    <xf numFmtId="1" fontId="11" borderId="121" applyNumberFormat="1" applyFont="1" applyFill="0" applyBorder="1" applyAlignment="1" applyProtection="0">
      <alignment horizontal="center" vertical="bottom"/>
    </xf>
    <xf numFmtId="98" fontId="11" borderId="121" applyNumberFormat="1" applyFont="1" applyFill="0" applyBorder="1" applyAlignment="1" applyProtection="0">
      <alignment horizontal="center" vertical="bottom"/>
    </xf>
    <xf numFmtId="98" fontId="12" borderId="121" applyNumberFormat="1" applyFont="1" applyFill="0" applyBorder="1" applyAlignment="1" applyProtection="0">
      <alignment horizontal="center" vertical="bottom"/>
    </xf>
    <xf numFmtId="0" fontId="26" borderId="121" applyNumberFormat="0" applyFont="1" applyFill="0" applyBorder="1" applyAlignment="1" applyProtection="0">
      <alignment vertical="bottom"/>
    </xf>
    <xf numFmtId="0" fontId="12" borderId="120" applyNumberFormat="0" applyFont="1" applyFill="0" applyBorder="1" applyAlignment="1" applyProtection="0">
      <alignment vertical="bottom"/>
    </xf>
    <xf numFmtId="0" fontId="12" fillId="2" borderId="132" applyNumberFormat="0" applyFont="1" applyFill="1" applyBorder="1" applyAlignment="1" applyProtection="0">
      <alignment horizontal="center" vertical="center"/>
    </xf>
    <xf numFmtId="69" fontId="67" borderId="132" applyNumberFormat="1" applyFont="1" applyFill="0" applyBorder="1" applyAlignment="1" applyProtection="0">
      <alignment horizontal="center" vertical="bottom"/>
    </xf>
    <xf numFmtId="0" fontId="12" borderId="132" applyNumberFormat="0" applyFont="1" applyFill="0" applyBorder="1" applyAlignment="1" applyProtection="0">
      <alignment vertical="bottom"/>
    </xf>
    <xf numFmtId="0" fontId="11" fillId="6" borderId="121" applyNumberFormat="0" applyFont="1" applyFill="1" applyBorder="1" applyAlignment="1" applyProtection="0">
      <alignment vertical="bottom"/>
    </xf>
    <xf numFmtId="61" fontId="12" fillId="4" borderId="121" applyNumberFormat="1" applyFont="1" applyFill="1" applyBorder="1" applyAlignment="1" applyProtection="0">
      <alignment horizontal="center" vertical="bottom"/>
    </xf>
    <xf numFmtId="75" fontId="12" fillId="3" borderId="121" applyNumberFormat="1" applyFont="1" applyFill="1" applyBorder="1" applyAlignment="1" applyProtection="0">
      <alignment horizontal="center" vertical="bottom"/>
    </xf>
    <xf numFmtId="65" fontId="12" fillId="3" borderId="121" applyNumberFormat="1" applyFont="1" applyFill="1" applyBorder="1" applyAlignment="1" applyProtection="0">
      <alignment horizontal="center" vertical="bottom"/>
    </xf>
    <xf numFmtId="67" fontId="12" fillId="4" borderId="121" applyNumberFormat="1" applyFont="1" applyFill="1" applyBorder="1" applyAlignment="1" applyProtection="0">
      <alignment horizontal="center" vertical="bottom"/>
    </xf>
    <xf numFmtId="0" fontId="11" borderId="121" applyNumberFormat="0" applyFont="1" applyFill="0" applyBorder="1" applyAlignment="1" applyProtection="0">
      <alignment horizontal="left" vertical="bottom"/>
    </xf>
    <xf numFmtId="69" fontId="12" borderId="121" applyNumberFormat="1" applyFont="1" applyFill="0" applyBorder="1" applyAlignment="1" applyProtection="0">
      <alignment horizontal="center" vertical="bottom"/>
    </xf>
    <xf numFmtId="0" fontId="19" borderId="121" applyNumberFormat="0" applyFont="1" applyFill="0" applyBorder="1" applyAlignment="1" applyProtection="0">
      <alignment horizontal="center" vertical="bottom"/>
    </xf>
    <xf numFmtId="65" fontId="19" borderId="121" applyNumberFormat="1" applyFont="1" applyFill="0" applyBorder="1" applyAlignment="1" applyProtection="0">
      <alignment horizontal="center" vertical="bottom"/>
    </xf>
    <xf numFmtId="0" fontId="7" borderId="120" applyNumberFormat="0" applyFont="1" applyFill="0" applyBorder="1" applyAlignment="1" applyProtection="0">
      <alignment vertical="bottom"/>
    </xf>
    <xf numFmtId="0" fontId="7" borderId="121" applyNumberFormat="0" applyFont="1" applyFill="0" applyBorder="1" applyAlignment="1" applyProtection="0">
      <alignment vertical="bottom"/>
    </xf>
    <xf numFmtId="49" fontId="7" borderId="16" applyNumberFormat="1" applyFont="1" applyFill="0" applyBorder="1" applyAlignment="1" applyProtection="0">
      <alignment horizontal="center" vertical="bottom"/>
    </xf>
    <xf numFmtId="0" fontId="7" borderId="16" applyNumberFormat="0" applyFont="1" applyFill="0" applyBorder="1" applyAlignment="1" applyProtection="0">
      <alignment horizontal="center" vertical="bottom"/>
    </xf>
    <xf numFmtId="1" fontId="12" fillId="4" borderId="121" applyNumberFormat="1" applyFont="1" applyFill="1" applyBorder="1" applyAlignment="1" applyProtection="0">
      <alignment horizontal="center" vertical="bottom"/>
    </xf>
    <xf numFmtId="69" fontId="12" fillId="3" borderId="121" applyNumberFormat="1" applyFont="1" applyFill="1" applyBorder="1" applyAlignment="1" applyProtection="0">
      <alignment horizontal="center" vertical="bottom"/>
    </xf>
    <xf numFmtId="1" fontId="11" fillId="2" borderId="121" applyNumberFormat="1" applyFont="1" applyFill="1" applyBorder="1" applyAlignment="1" applyProtection="0">
      <alignment horizontal="center" vertical="center"/>
    </xf>
    <xf numFmtId="0" fontId="0" borderId="131" applyNumberFormat="0" applyFont="1" applyFill="0" applyBorder="1" applyAlignment="1" applyProtection="0">
      <alignment vertical="bottom"/>
    </xf>
    <xf numFmtId="49" fontId="14" fillId="2" borderId="136" applyNumberFormat="1" applyFont="1" applyFill="1" applyBorder="1" applyAlignment="1" applyProtection="0">
      <alignment horizontal="center" vertical="bottom" wrapText="1"/>
    </xf>
    <xf numFmtId="49" fontId="14" fillId="2" borderId="136" applyNumberFormat="1" applyFont="1" applyFill="1" applyBorder="1" applyAlignment="1" applyProtection="0">
      <alignment horizontal="center" vertical="center"/>
    </xf>
    <xf numFmtId="0" fontId="14" fillId="2" borderId="136" applyNumberFormat="0" applyFont="1" applyFill="1" applyBorder="1" applyAlignment="1" applyProtection="0">
      <alignment horizontal="center" vertical="center"/>
    </xf>
    <xf numFmtId="49" fontId="11" borderId="137" applyNumberFormat="1" applyFont="1" applyFill="0" applyBorder="1" applyAlignment="1" applyProtection="0">
      <alignment horizontal="center" vertical="bottom"/>
    </xf>
    <xf numFmtId="0" fontId="11" borderId="10" applyNumberFormat="0" applyFont="1" applyFill="0" applyBorder="1" applyAlignment="1" applyProtection="0">
      <alignment horizontal="center" vertical="bottom"/>
    </xf>
    <xf numFmtId="0" fontId="11" fillId="6" borderId="121" applyNumberFormat="0" applyFont="1" applyFill="1" applyBorder="1" applyAlignment="1" applyProtection="0">
      <alignment horizontal="center" vertical="center"/>
    </xf>
    <xf numFmtId="0" fontId="64" fillId="6" borderId="121" applyNumberFormat="0" applyFont="1" applyFill="1" applyBorder="1" applyAlignment="1" applyProtection="0">
      <alignment horizontal="center" vertical="center" wrapText="1"/>
    </xf>
    <xf numFmtId="2" fontId="64" fillId="6" borderId="121" applyNumberFormat="1" applyFont="1" applyFill="1" applyBorder="1" applyAlignment="1" applyProtection="0">
      <alignment vertical="center" wrapText="1"/>
    </xf>
    <xf numFmtId="0" fontId="64" fillId="6" borderId="121" applyNumberFormat="0" applyFont="1" applyFill="1" applyBorder="1" applyAlignment="1" applyProtection="0">
      <alignment vertical="center" wrapText="1"/>
    </xf>
    <xf numFmtId="75" fontId="12" borderId="121" applyNumberFormat="1" applyFont="1" applyFill="0" applyBorder="1" applyAlignment="1" applyProtection="0">
      <alignment horizontal="center" vertical="bottom"/>
    </xf>
    <xf numFmtId="67" fontId="12" borderId="121" applyNumberFormat="1" applyFont="1" applyFill="0" applyBorder="1" applyAlignment="1" applyProtection="0">
      <alignment horizontal="center" vertical="bottom"/>
    </xf>
    <xf numFmtId="0" fontId="69" borderId="121" applyNumberFormat="0" applyFont="1" applyFill="0" applyBorder="1" applyAlignment="1" applyProtection="0">
      <alignment horizontal="center" vertical="bottom"/>
    </xf>
    <xf numFmtId="0" fontId="14" borderId="138" applyNumberFormat="0" applyFont="1" applyFill="0" applyBorder="1" applyAlignment="1" applyProtection="0">
      <alignment horizontal="center" vertical="bottom"/>
    </xf>
    <xf numFmtId="0" fontId="14" fillId="2" borderId="138" applyNumberFormat="0" applyFont="1" applyFill="1" applyBorder="1" applyAlignment="1" applyProtection="0">
      <alignment horizontal="center" vertical="center"/>
    </xf>
    <xf numFmtId="0" fontId="14" fillId="2" borderId="138" applyNumberFormat="0" applyFont="1" applyFill="1" applyBorder="1" applyAlignment="1" applyProtection="0">
      <alignment horizontal="center" vertical="bottom" wrapText="1"/>
    </xf>
    <xf numFmtId="0" fontId="0" borderId="130" applyNumberFormat="0" applyFont="1" applyFill="0" applyBorder="1" applyAlignment="1" applyProtection="0">
      <alignment vertical="bottom"/>
    </xf>
    <xf numFmtId="49" fontId="14" borderId="139" applyNumberFormat="1" applyFont="1" applyFill="0" applyBorder="1" applyAlignment="1" applyProtection="0">
      <alignment horizontal="center" vertical="bottom"/>
    </xf>
    <xf numFmtId="0" fontId="14" borderId="139" applyNumberFormat="0" applyFont="1" applyFill="0" applyBorder="1" applyAlignment="1" applyProtection="0">
      <alignment horizontal="center" vertical="bottom"/>
    </xf>
    <xf numFmtId="0" fontId="72" borderId="121" applyNumberFormat="0" applyFont="1" applyFill="0" applyBorder="1" applyAlignment="1" applyProtection="0">
      <alignment horizontal="center" vertical="bottom"/>
    </xf>
    <xf numFmtId="1" fontId="67" borderId="94" applyNumberFormat="1" applyFont="1" applyFill="0" applyBorder="1" applyAlignment="1" applyProtection="0">
      <alignment horizontal="center" vertical="bottom"/>
    </xf>
    <xf numFmtId="2" fontId="67" borderId="94" applyNumberFormat="1" applyFont="1" applyFill="0" applyBorder="1" applyAlignment="1" applyProtection="0">
      <alignment horizontal="center" vertical="bottom"/>
    </xf>
    <xf numFmtId="69" fontId="67" borderId="94" applyNumberFormat="1" applyFont="1" applyFill="0" applyBorder="1" applyAlignment="1" applyProtection="0">
      <alignment horizontal="center" vertical="bottom"/>
    </xf>
    <xf numFmtId="69" fontId="11" borderId="121" applyNumberFormat="1" applyFont="1" applyFill="0" applyBorder="1" applyAlignment="1" applyProtection="0">
      <alignment horizontal="center" vertical="bottom"/>
    </xf>
    <xf numFmtId="80" fontId="11" borderId="121" applyNumberFormat="1" applyFont="1" applyFill="0" applyBorder="1" applyAlignment="1" applyProtection="0">
      <alignment horizontal="center" vertical="bottom"/>
    </xf>
    <xf numFmtId="0" fontId="73" borderId="121" applyNumberFormat="0" applyFont="1" applyFill="0" applyBorder="1" applyAlignment="1" applyProtection="0">
      <alignment horizontal="center" vertical="bottom"/>
    </xf>
    <xf numFmtId="0" fontId="74" fillId="6" borderId="121" applyNumberFormat="0" applyFont="1" applyFill="1" applyBorder="1" applyAlignment="1" applyProtection="0">
      <alignment horizontal="center" vertical="center" wrapText="1"/>
    </xf>
    <xf numFmtId="0" fontId="73" fillId="6" borderId="121" applyNumberFormat="0" applyFont="1" applyFill="1" applyBorder="1" applyAlignment="1" applyProtection="0">
      <alignment horizontal="center" vertical="center" wrapText="1"/>
    </xf>
    <xf numFmtId="0" fontId="73" fillId="6" borderId="121" applyNumberFormat="0" applyFont="1" applyFill="1" applyBorder="1" applyAlignment="1" applyProtection="0">
      <alignment horizontal="center" vertical="bottom"/>
    </xf>
    <xf numFmtId="1" fontId="67" borderId="99" applyNumberFormat="1" applyFont="1" applyFill="0" applyBorder="1" applyAlignment="1" applyProtection="0">
      <alignment horizontal="center" vertical="bottom"/>
    </xf>
    <xf numFmtId="2" fontId="67" borderId="99" applyNumberFormat="1" applyFont="1" applyFill="0" applyBorder="1" applyAlignment="1" applyProtection="0">
      <alignment horizontal="center" vertical="bottom"/>
    </xf>
    <xf numFmtId="69" fontId="67" borderId="99" applyNumberFormat="1" applyFont="1" applyFill="0" applyBorder="1" applyAlignment="1" applyProtection="0">
      <alignment horizontal="center" vertical="bottom"/>
    </xf>
    <xf numFmtId="0" fontId="13" fillId="2" borderId="121" applyNumberFormat="0" applyFont="1" applyFill="1" applyBorder="1" applyAlignment="1" applyProtection="0">
      <alignment horizontal="center" vertical="center" wrapText="1"/>
    </xf>
    <xf numFmtId="0" fontId="13" fillId="6" borderId="121" applyNumberFormat="1" applyFont="1" applyFill="1" applyBorder="1" applyAlignment="1" applyProtection="0">
      <alignment horizontal="center" vertical="center" wrapText="1"/>
    </xf>
    <xf numFmtId="0" fontId="13" fillId="6" borderId="121" applyNumberFormat="0" applyFont="1" applyFill="1" applyBorder="1" applyAlignment="1" applyProtection="0">
      <alignment horizontal="center" vertical="center" wrapText="1"/>
    </xf>
    <xf numFmtId="0" fontId="74" borderId="121" applyNumberFormat="0" applyFont="1" applyFill="0" applyBorder="1" applyAlignment="1" applyProtection="0">
      <alignment horizontal="center" vertical="bottom"/>
    </xf>
    <xf numFmtId="69" fontId="13" borderId="121" applyNumberFormat="1" applyFont="1" applyFill="0" applyBorder="1" applyAlignment="1" applyProtection="0">
      <alignment horizontal="center" vertical="bottom"/>
    </xf>
    <xf numFmtId="0" fontId="61" fillId="2" borderId="121" applyNumberFormat="0" applyFont="1" applyFill="1" applyBorder="1" applyAlignment="1" applyProtection="0">
      <alignment horizontal="center" vertical="center" wrapText="1"/>
    </xf>
    <xf numFmtId="0" fontId="61" fillId="6" borderId="121" applyNumberFormat="0" applyFont="1" applyFill="1" applyBorder="1" applyAlignment="1" applyProtection="0">
      <alignment horizontal="center" vertical="center" wrapText="1"/>
    </xf>
    <xf numFmtId="2" fontId="75" fillId="6" borderId="121" applyNumberFormat="1" applyFont="1" applyFill="1" applyBorder="1" applyAlignment="1" applyProtection="0">
      <alignment horizontal="center" vertical="bottom"/>
    </xf>
    <xf numFmtId="49" fontId="75" fillId="6" borderId="121" applyNumberFormat="1" applyFont="1" applyFill="1" applyBorder="1" applyAlignment="1" applyProtection="0">
      <alignment horizontal="center" vertical="bottom"/>
    </xf>
    <xf numFmtId="0" fontId="11" borderId="121" applyNumberFormat="1" applyFont="1" applyFill="0" applyBorder="1" applyAlignment="1" applyProtection="0">
      <alignment horizontal="center" vertical="bottom"/>
    </xf>
    <xf numFmtId="0" fontId="13" borderId="121" applyNumberFormat="0" applyFont="1" applyFill="0" applyBorder="1" applyAlignment="1" applyProtection="0">
      <alignment vertical="bottom"/>
    </xf>
    <xf numFmtId="61" fontId="11" fillId="6" borderId="121" applyNumberFormat="1" applyFont="1" applyFill="1" applyBorder="1" applyAlignment="1" applyProtection="0">
      <alignment horizontal="center" vertical="bottom"/>
    </xf>
    <xf numFmtId="2" fontId="76" borderId="120" applyNumberFormat="1" applyFont="1" applyFill="0" applyBorder="1" applyAlignment="1" applyProtection="0">
      <alignment horizontal="center" vertical="bottom"/>
    </xf>
    <xf numFmtId="0" fontId="0" borderId="140" applyNumberFormat="0" applyFont="1" applyFill="0" applyBorder="1" applyAlignment="1" applyProtection="0">
      <alignment vertical="bottom"/>
    </xf>
    <xf numFmtId="0" fontId="11" fillId="6" borderId="121" applyNumberFormat="1" applyFont="1" applyFill="1" applyBorder="1" applyAlignment="1" applyProtection="0">
      <alignment horizontal="center" vertical="bottom"/>
    </xf>
    <xf numFmtId="0" fontId="74" borderId="121" applyNumberFormat="0" applyFont="1" applyFill="0" applyBorder="1" applyAlignment="1" applyProtection="0">
      <alignment vertical="bottom"/>
    </xf>
    <xf numFmtId="0" fontId="74" fillId="6" borderId="121" applyNumberFormat="0" applyFont="1" applyFill="1" applyBorder="1" applyAlignment="1" applyProtection="0">
      <alignment vertical="bottom"/>
    </xf>
    <xf numFmtId="0" fontId="75" fillId="6" borderId="121" applyNumberFormat="0" applyFont="1" applyFill="1" applyBorder="1" applyAlignment="1" applyProtection="0">
      <alignment horizontal="center" vertical="bottom"/>
    </xf>
    <xf numFmtId="99" fontId="19" borderId="121" applyNumberFormat="1" applyFont="1" applyFill="0" applyBorder="1" applyAlignment="1" applyProtection="0">
      <alignment horizontal="center" vertical="bottom"/>
    </xf>
    <xf numFmtId="0" fontId="0" borderId="138" applyNumberFormat="0" applyFont="1" applyFill="0" applyBorder="1" applyAlignment="1" applyProtection="0">
      <alignment vertical="bottom"/>
    </xf>
    <xf numFmtId="0" fontId="77" borderId="121" applyNumberFormat="0" applyFont="1" applyFill="0" applyBorder="1" applyAlignment="1" applyProtection="0">
      <alignment vertical="bottom"/>
    </xf>
    <xf numFmtId="0" fontId="77" fillId="6" borderId="121" applyNumberFormat="0" applyFont="1" applyFill="1" applyBorder="1" applyAlignment="1" applyProtection="0">
      <alignment horizontal="center" vertical="bottom"/>
    </xf>
    <xf numFmtId="71" fontId="19" borderId="121" applyNumberFormat="1" applyFont="1" applyFill="0" applyBorder="1" applyAlignment="1" applyProtection="0">
      <alignment horizontal="center" vertical="bottom"/>
    </xf>
    <xf numFmtId="66" fontId="67" borderId="99" applyNumberFormat="1" applyFont="1" applyFill="0" applyBorder="1" applyAlignment="1" applyProtection="0">
      <alignment horizontal="center" vertical="bottom"/>
    </xf>
    <xf numFmtId="69" fontId="76" borderId="131" applyNumberFormat="1" applyFont="1" applyFill="0" applyBorder="1" applyAlignment="1" applyProtection="0">
      <alignment horizontal="center" vertical="bottom"/>
    </xf>
    <xf numFmtId="0" fontId="0" borderId="141" applyNumberFormat="0" applyFont="1" applyFill="0" applyBorder="1" applyAlignment="1" applyProtection="0">
      <alignment vertical="bottom"/>
    </xf>
    <xf numFmtId="1" fontId="11" fillId="6" borderId="121" applyNumberFormat="1" applyFont="1" applyFill="1" applyBorder="1" applyAlignment="1" applyProtection="0">
      <alignment horizontal="center" vertical="bottom"/>
    </xf>
    <xf numFmtId="1" fontId="77" fillId="6" borderId="121" applyNumberFormat="1" applyFont="1" applyFill="1" applyBorder="1" applyAlignment="1" applyProtection="0">
      <alignment horizontal="center" vertical="bottom"/>
    </xf>
    <xf numFmtId="1" fontId="12" fillId="6" borderId="121" applyNumberFormat="1" applyFont="1" applyFill="1" applyBorder="1" applyAlignment="1" applyProtection="0">
      <alignment horizontal="center" vertical="bottom"/>
    </xf>
    <xf numFmtId="65" fontId="12" borderId="121" applyNumberFormat="1" applyFont="1" applyFill="0" applyBorder="1" applyAlignment="1" applyProtection="0">
      <alignment horizontal="center" vertical="bottom"/>
    </xf>
    <xf numFmtId="69" fontId="76" borderId="121" applyNumberFormat="1" applyFont="1" applyFill="0" applyBorder="1" applyAlignment="1" applyProtection="0">
      <alignment horizontal="center" vertical="bottom"/>
    </xf>
    <xf numFmtId="69" fontId="76" borderId="132" applyNumberFormat="1" applyFont="1" applyFill="0" applyBorder="1" applyAlignment="1" applyProtection="0">
      <alignment horizontal="center" vertical="bottom"/>
    </xf>
    <xf numFmtId="80" fontId="76" borderId="132" applyNumberFormat="1" applyFont="1" applyFill="0" applyBorder="1" applyAlignment="1" applyProtection="0">
      <alignment horizontal="center" vertical="bottom"/>
    </xf>
    <xf numFmtId="0" fontId="76" borderId="132" applyNumberFormat="0" applyFont="1" applyFill="0" applyBorder="1" applyAlignment="1" applyProtection="0">
      <alignment horizontal="center" vertical="bottom"/>
    </xf>
    <xf numFmtId="49" fontId="67" borderId="121" applyNumberFormat="1" applyFont="1" applyFill="0" applyBorder="1" applyAlignment="1" applyProtection="0">
      <alignment vertical="bottom"/>
    </xf>
    <xf numFmtId="0" fontId="11" fillId="2" borderId="121" applyNumberFormat="0" applyFont="1" applyFill="1" applyBorder="1" applyAlignment="1" applyProtection="0">
      <alignment vertical="center"/>
    </xf>
    <xf numFmtId="98" fontId="77" borderId="121" applyNumberFormat="1" applyFont="1" applyFill="0" applyBorder="1" applyAlignment="1" applyProtection="0">
      <alignment horizontal="center" vertical="bottom"/>
    </xf>
    <xf numFmtId="0" fontId="72" fillId="2" borderId="121" applyNumberFormat="0" applyFont="1" applyFill="1" applyBorder="1" applyAlignment="1" applyProtection="0">
      <alignment horizontal="center" vertical="center"/>
    </xf>
    <xf numFmtId="0" fontId="78" fillId="2" borderId="121" applyNumberFormat="0" applyFont="1" applyFill="1" applyBorder="1" applyAlignment="1" applyProtection="0">
      <alignment vertical="top" wrapText="1"/>
    </xf>
    <xf numFmtId="0" fontId="72" fillId="2" borderId="121" applyNumberFormat="0" applyFont="1" applyFill="1" applyBorder="1" applyAlignment="1" applyProtection="0">
      <alignment horizontal="center" vertical="center" wrapText="1"/>
    </xf>
    <xf numFmtId="49" fontId="72" borderId="121" applyNumberFormat="1" applyFont="1" applyFill="0" applyBorder="1" applyAlignment="1" applyProtection="0">
      <alignment horizontal="center" vertical="bottom"/>
    </xf>
    <xf numFmtId="69" fontId="78" fillId="2" borderId="121" applyNumberFormat="1" applyFont="1" applyFill="1" applyBorder="1" applyAlignment="1" applyProtection="0">
      <alignment vertical="top" wrapText="1"/>
    </xf>
    <xf numFmtId="0" fontId="9" fillId="2" borderId="121" applyNumberFormat="0" applyFont="1" applyFill="1" applyBorder="1" applyAlignment="1" applyProtection="0">
      <alignment horizontal="center" vertical="top" wrapText="1"/>
    </xf>
    <xf numFmtId="61" fontId="8" fillId="6" borderId="121" applyNumberFormat="1" applyFont="1" applyFill="1" applyBorder="1" applyAlignment="1" applyProtection="0">
      <alignment horizontal="center" vertical="bottom"/>
    </xf>
    <xf numFmtId="0" fontId="11" borderId="120" applyNumberFormat="0" applyFont="1" applyFill="0" applyBorder="1" applyAlignment="1" applyProtection="0">
      <alignment vertical="bottom"/>
    </xf>
    <xf numFmtId="0" fontId="67" borderId="121" applyNumberFormat="0" applyFont="1" applyFill="0" applyBorder="1" applyAlignment="1" applyProtection="0">
      <alignment vertical="bottom"/>
    </xf>
    <xf numFmtId="100" fontId="67" borderId="121" applyNumberFormat="1" applyFont="1" applyFill="0" applyBorder="1" applyAlignment="1" applyProtection="0">
      <alignment horizontal="center" vertical="bottom"/>
    </xf>
    <xf numFmtId="69" fontId="77" fillId="6" borderId="121" applyNumberFormat="1" applyFont="1" applyFill="1" applyBorder="1" applyAlignment="1" applyProtection="0">
      <alignment horizontal="center" vertical="bottom"/>
    </xf>
    <xf numFmtId="0" fontId="79" fillId="2" borderId="121" applyNumberFormat="0" applyFont="1" applyFill="1" applyBorder="1" applyAlignment="1" applyProtection="0">
      <alignment horizontal="center" vertical="top" wrapText="1"/>
    </xf>
    <xf numFmtId="61" fontId="78" fillId="6" borderId="121" applyNumberFormat="1" applyFont="1" applyFill="1" applyBorder="1" applyAlignment="1" applyProtection="0">
      <alignment horizontal="center" vertical="bottom"/>
    </xf>
    <xf numFmtId="69" fontId="78" fillId="6" borderId="121" applyNumberFormat="1" applyFont="1" applyFill="1" applyBorder="1" applyAlignment="1" applyProtection="0">
      <alignment horizontal="center" vertical="bottom"/>
    </xf>
    <xf numFmtId="101" fontId="67" borderId="121" applyNumberFormat="1" applyFont="1" applyFill="0" applyBorder="1" applyAlignment="1" applyProtection="0">
      <alignment horizontal="center" vertical="bottom"/>
    </xf>
    <xf numFmtId="66" fontId="12" borderId="121" applyNumberFormat="1" applyFont="1" applyFill="0" applyBorder="1" applyAlignment="1" applyProtection="0">
      <alignment horizontal="center" vertical="bottom"/>
    </xf>
    <xf numFmtId="2" fontId="11" fillId="2" borderId="121" applyNumberFormat="1" applyFont="1" applyFill="1" applyBorder="1" applyAlignment="1" applyProtection="0">
      <alignment horizontal="center" vertical="center" wrapText="1"/>
    </xf>
    <xf numFmtId="2" fontId="12" fillId="2" borderId="121" applyNumberFormat="1" applyFont="1" applyFill="1" applyBorder="1" applyAlignment="1" applyProtection="0">
      <alignment vertical="center" wrapText="1"/>
    </xf>
    <xf numFmtId="71" fontId="72" fillId="2" borderId="121" applyNumberFormat="1" applyFont="1" applyFill="1" applyBorder="1" applyAlignment="1" applyProtection="0">
      <alignment horizontal="center" vertical="center" wrapText="1"/>
    </xf>
    <xf numFmtId="0" fontId="72" fillId="6" borderId="121" applyNumberFormat="0" applyFont="1" applyFill="1" applyBorder="1" applyAlignment="1" applyProtection="0">
      <alignment horizontal="center" vertical="bottom"/>
    </xf>
    <xf numFmtId="69" fontId="72" fillId="6" borderId="121" applyNumberFormat="1" applyFont="1" applyFill="1" applyBorder="1" applyAlignment="1" applyProtection="0">
      <alignment horizontal="center" vertical="bottom"/>
    </xf>
    <xf numFmtId="61" fontId="77" fillId="6" borderId="121" applyNumberFormat="1" applyFont="1" applyFill="1" applyBorder="1" applyAlignment="1" applyProtection="0">
      <alignment vertical="bottom"/>
    </xf>
    <xf numFmtId="61" fontId="78" fillId="6" borderId="121" applyNumberFormat="1" applyFont="1" applyFill="1" applyBorder="1" applyAlignment="1" applyProtection="0">
      <alignment horizontal="center" vertical="top" wrapText="1"/>
    </xf>
    <xf numFmtId="69" fontId="78" fillId="6" borderId="121" applyNumberFormat="1" applyFont="1" applyFill="1" applyBorder="1" applyAlignment="1" applyProtection="0">
      <alignment horizontal="center" vertical="top" wrapText="1"/>
    </xf>
    <xf numFmtId="61" fontId="8" fillId="6" borderId="121" applyNumberFormat="1" applyFont="1" applyFill="1" applyBorder="1" applyAlignment="1" applyProtection="0">
      <alignment horizontal="center" vertical="top" wrapText="1"/>
    </xf>
    <xf numFmtId="69" fontId="8" fillId="6" borderId="121" applyNumberFormat="1" applyFont="1" applyFill="1" applyBorder="1" applyAlignment="1" applyProtection="0">
      <alignment horizontal="center" vertical="top" wrapText="1"/>
    </xf>
    <xf numFmtId="49" fontId="12" borderId="121" applyNumberFormat="1" applyFont="1" applyFill="0" applyBorder="1" applyAlignment="1" applyProtection="0">
      <alignment horizontal="center" vertical="bottom"/>
    </xf>
    <xf numFmtId="1" fontId="61" borderId="121" applyNumberFormat="1" applyFont="1" applyFill="0" applyBorder="1" applyAlignment="1" applyProtection="0">
      <alignment vertical="bottom"/>
    </xf>
    <xf numFmtId="75" fontId="72" fillId="6" borderId="121" applyNumberFormat="1" applyFont="1" applyFill="1" applyBorder="1" applyAlignment="1" applyProtection="0">
      <alignment horizontal="center" vertical="bottom"/>
    </xf>
    <xf numFmtId="0" fontId="77" fillId="6" borderId="121" applyNumberFormat="0" applyFont="1" applyFill="1" applyBorder="1" applyAlignment="1" applyProtection="0">
      <alignment vertical="bottom"/>
    </xf>
    <xf numFmtId="61" fontId="78" borderId="121" applyNumberFormat="1" applyFont="1" applyFill="0" applyBorder="1" applyAlignment="1" applyProtection="0">
      <alignment vertical="bottom"/>
    </xf>
    <xf numFmtId="61" fontId="78" fillId="2" borderId="121" applyNumberFormat="1" applyFont="1" applyFill="1" applyBorder="1" applyAlignment="1" applyProtection="0">
      <alignment horizontal="center" vertical="top" wrapText="1"/>
    </xf>
    <xf numFmtId="61" fontId="78" borderId="121" applyNumberFormat="1" applyFont="1" applyFill="0" applyBorder="1" applyAlignment="1" applyProtection="0">
      <alignment horizontal="center" vertical="bottom"/>
    </xf>
    <xf numFmtId="61" fontId="8" borderId="121" applyNumberFormat="1" applyFont="1" applyFill="0" applyBorder="1" applyAlignment="1" applyProtection="0">
      <alignment vertical="bottom"/>
    </xf>
    <xf numFmtId="61" fontId="8" fillId="2" borderId="121" applyNumberFormat="1" applyFont="1" applyFill="1" applyBorder="1" applyAlignment="1" applyProtection="0">
      <alignment horizontal="center" vertical="top" wrapText="1"/>
    </xf>
    <xf numFmtId="61" fontId="8" borderId="121" applyNumberFormat="1" applyFont="1" applyFill="0" applyBorder="1" applyAlignment="1" applyProtection="0">
      <alignment horizontal="center" vertical="bottom"/>
    </xf>
    <xf numFmtId="67" fontId="19" borderId="121" applyNumberFormat="1" applyFont="1" applyFill="0" applyBorder="1" applyAlignment="1" applyProtection="0">
      <alignment horizontal="center" vertical="bottom"/>
    </xf>
    <xf numFmtId="69" fontId="19" borderId="121" applyNumberFormat="1" applyFont="1" applyFill="0" applyBorder="1" applyAlignment="1" applyProtection="0">
      <alignment horizontal="center" vertical="bottom"/>
    </xf>
    <xf numFmtId="49" fontId="12" borderId="120" applyNumberFormat="1" applyFont="1" applyFill="0" applyBorder="1" applyAlignment="1" applyProtection="0">
      <alignment vertical="bottom"/>
    </xf>
    <xf numFmtId="0" fontId="13" borderId="121" applyNumberFormat="0" applyFont="1" applyFill="0" applyBorder="1" applyAlignment="1" applyProtection="0">
      <alignment horizontal="center" vertical="bottom"/>
    </xf>
    <xf numFmtId="0" fontId="14" borderId="121" applyNumberFormat="0" applyFont="1" applyFill="0" applyBorder="1" applyAlignment="1" applyProtection="0">
      <alignment horizontal="center" vertical="bottom"/>
    </xf>
    <xf numFmtId="49" fontId="11" borderId="121" applyNumberFormat="1" applyFont="1" applyFill="0" applyBorder="1" applyAlignment="1" applyProtection="0">
      <alignment horizontal="center" vertical="bottom"/>
    </xf>
    <xf numFmtId="0" fontId="12" fillId="2" borderId="121" applyNumberFormat="0" applyFont="1" applyFill="1" applyBorder="1" applyAlignment="1" applyProtection="0">
      <alignment horizontal="center" vertical="center" wrapText="1"/>
    </xf>
    <xf numFmtId="0" fontId="8" fillId="2" borderId="121" applyNumberFormat="0" applyFont="1" applyFill="1" applyBorder="1" applyAlignment="1" applyProtection="0">
      <alignment vertical="top" wrapText="1"/>
    </xf>
    <xf numFmtId="1" fontId="12" borderId="121" applyNumberFormat="1" applyFont="1" applyFill="0" applyBorder="1" applyAlignment="1" applyProtection="0">
      <alignment vertical="bottom"/>
    </xf>
    <xf numFmtId="0" fontId="12" fillId="2" borderId="121" applyNumberFormat="0" applyFont="1" applyFill="1" applyBorder="1" applyAlignment="1" applyProtection="0">
      <alignment horizontal="center" vertical="center"/>
    </xf>
    <xf numFmtId="69" fontId="8" borderId="121" applyNumberFormat="1" applyFont="1" applyFill="0" applyBorder="1" applyAlignment="1" applyProtection="0">
      <alignment vertical="bottom"/>
    </xf>
    <xf numFmtId="61" fontId="8" fillId="2" borderId="121" applyNumberFormat="1" applyFont="1" applyFill="1" applyBorder="1" applyAlignment="1" applyProtection="0">
      <alignment horizontal="right" vertical="top" wrapText="1"/>
    </xf>
    <xf numFmtId="69" fontId="8" fillId="2" borderId="121" applyNumberFormat="1" applyFont="1" applyFill="1" applyBorder="1" applyAlignment="1" applyProtection="0">
      <alignment horizontal="center" vertical="top" wrapText="1"/>
    </xf>
    <xf numFmtId="0" fontId="8" fillId="2" borderId="121" applyNumberFormat="0" applyFont="1" applyFill="1" applyBorder="1" applyAlignment="1" applyProtection="0">
      <alignment horizontal="center" vertical="top" wrapText="1"/>
    </xf>
    <xf numFmtId="0" fontId="69" fillId="2" borderId="121" applyNumberFormat="0" applyFont="1" applyFill="1" applyBorder="1" applyAlignment="1" applyProtection="0">
      <alignment vertical="top" wrapText="1"/>
    </xf>
    <xf numFmtId="2" fontId="12" fillId="6" borderId="121" applyNumberFormat="1" applyFont="1" applyFill="1" applyBorder="1" applyAlignment="1" applyProtection="0">
      <alignment horizontal="center" vertical="bottom"/>
    </xf>
    <xf numFmtId="71" fontId="12" borderId="121" applyNumberFormat="1" applyFont="1" applyFill="0" applyBorder="1" applyAlignment="1" applyProtection="0">
      <alignment horizontal="center" vertical="bottom"/>
    </xf>
    <xf numFmtId="61" fontId="12" borderId="121" applyNumberFormat="1" applyFont="1" applyFill="0" applyBorder="1" applyAlignment="1" applyProtection="0">
      <alignment horizontal="right" vertical="bottom"/>
    </xf>
    <xf numFmtId="61" fontId="12" borderId="121" applyNumberFormat="1" applyFont="1" applyFill="0" applyBorder="1" applyAlignment="1" applyProtection="0">
      <alignment horizontal="left" vertical="bottom"/>
    </xf>
    <xf numFmtId="61" fontId="12" borderId="121" applyNumberFormat="1" applyFont="1" applyFill="0" applyBorder="1" applyAlignment="1" applyProtection="0">
      <alignment vertical="bottom"/>
    </xf>
    <xf numFmtId="0" fontId="9" fillId="6" borderId="121" applyNumberFormat="0" applyFont="1" applyFill="1" applyBorder="1" applyAlignment="1" applyProtection="0">
      <alignment horizontal="center" vertical="center" wrapText="1"/>
    </xf>
    <xf numFmtId="0" fontId="11" fillId="6" borderId="121" applyNumberFormat="0" applyFont="1" applyFill="1" applyBorder="1" applyAlignment="1" applyProtection="0">
      <alignment horizontal="center" vertical="center" wrapText="1"/>
    </xf>
    <xf numFmtId="0" fontId="69" fillId="2" borderId="121" applyNumberFormat="0" applyFont="1" applyFill="1" applyBorder="1" applyAlignment="1" applyProtection="0">
      <alignment vertical="center"/>
    </xf>
    <xf numFmtId="0" fontId="12" fillId="2" borderId="121" applyNumberFormat="0" applyFont="1" applyFill="1" applyBorder="1" applyAlignment="1" applyProtection="0">
      <alignment horizontal="center" vertical="top" wrapText="1"/>
    </xf>
    <xf numFmtId="66" fontId="61" borderId="121" applyNumberFormat="1" applyFont="1" applyFill="0" applyBorder="1" applyAlignment="1" applyProtection="0">
      <alignment vertical="bottom"/>
    </xf>
    <xf numFmtId="0" fontId="12" fillId="6" borderId="121" applyNumberFormat="0" applyFont="1" applyFill="1" applyBorder="1" applyAlignment="1" applyProtection="0">
      <alignment horizontal="center" vertical="top" wrapText="1"/>
    </xf>
    <xf numFmtId="98" fontId="12" borderId="121" applyNumberFormat="1" applyFont="1" applyFill="0" applyBorder="1" applyAlignment="1" applyProtection="0">
      <alignment vertical="bottom"/>
    </xf>
    <xf numFmtId="2" fontId="11" borderId="121" applyNumberFormat="1" applyFont="1" applyFill="0" applyBorder="1" applyAlignment="1" applyProtection="0">
      <alignment horizontal="right" vertical="bottom"/>
    </xf>
    <xf numFmtId="0" fontId="14" borderId="120" applyNumberFormat="0" applyFont="1" applyFill="0" applyBorder="1" applyAlignment="1" applyProtection="0">
      <alignment vertical="bottom"/>
    </xf>
    <xf numFmtId="0" fontId="80" borderId="120" applyNumberFormat="0" applyFont="1" applyFill="0" applyBorder="1" applyAlignment="1" applyProtection="0">
      <alignment vertical="bottom"/>
    </xf>
    <xf numFmtId="2" fontId="12" borderId="121" applyNumberFormat="1" applyFont="1" applyFill="0" applyBorder="1" applyAlignment="1" applyProtection="0">
      <alignment horizontal="center" vertical="bottom"/>
    </xf>
    <xf numFmtId="0" fontId="76" borderId="121" applyNumberFormat="0" applyFont="1" applyFill="0" applyBorder="1" applyAlignment="1" applyProtection="0">
      <alignment vertical="bottom"/>
    </xf>
    <xf numFmtId="0" fontId="67" borderId="122" applyNumberFormat="0" applyFont="1" applyFill="0" applyBorder="1" applyAlignment="1" applyProtection="0">
      <alignment vertical="bottom"/>
    </xf>
    <xf numFmtId="49" fontId="14" borderId="121" applyNumberFormat="1" applyFont="1" applyFill="0" applyBorder="1" applyAlignment="1" applyProtection="0">
      <alignment vertical="bottom"/>
    </xf>
    <xf numFmtId="102" fontId="12" borderId="121" applyNumberFormat="1" applyFont="1" applyFill="0" applyBorder="1" applyAlignment="1" applyProtection="0">
      <alignment vertical="bottom"/>
    </xf>
    <xf numFmtId="0" fontId="64" borderId="121" applyNumberFormat="0" applyFont="1" applyFill="0" applyBorder="1" applyAlignment="1" applyProtection="0">
      <alignment horizontal="left" vertical="bottom"/>
    </xf>
    <xf numFmtId="0" fontId="64" fillId="2" borderId="120" applyNumberFormat="0" applyFont="1" applyFill="1" applyBorder="1" applyAlignment="1" applyProtection="0">
      <alignment horizontal="left" vertical="center" wrapText="1"/>
    </xf>
    <xf numFmtId="0" fontId="64" fillId="2" borderId="121" applyNumberFormat="0" applyFont="1" applyFill="1" applyBorder="1" applyAlignment="1" applyProtection="0">
      <alignment horizontal="left" vertical="center" wrapText="1"/>
    </xf>
    <xf numFmtId="0" fontId="13" fillId="2" borderId="120" applyNumberFormat="0" applyFont="1" applyFill="1" applyBorder="1" applyAlignment="1" applyProtection="0">
      <alignment horizontal="left" vertical="center" wrapText="1"/>
    </xf>
    <xf numFmtId="1" fontId="11" fillId="6" borderId="121" applyNumberFormat="1" applyFont="1" applyFill="1" applyBorder="1" applyAlignment="1" applyProtection="0">
      <alignment horizontal="center" vertical="center" wrapText="1"/>
    </xf>
    <xf numFmtId="0" fontId="12" fillId="4" borderId="121" applyNumberFormat="0" applyFont="1" applyFill="1" applyBorder="1" applyAlignment="1" applyProtection="0">
      <alignment horizontal="center" vertical="bottom"/>
    </xf>
    <xf numFmtId="49" fontId="81" borderId="120" applyNumberFormat="1" applyFont="1" applyFill="0" applyBorder="1" applyAlignment="1" applyProtection="0">
      <alignment horizontal="left" vertical="bottom"/>
    </xf>
    <xf numFmtId="49" fontId="81" borderId="121" applyNumberFormat="1" applyFont="1" applyFill="0" applyBorder="1" applyAlignment="1" applyProtection="0">
      <alignment horizontal="left" vertical="bottom"/>
    </xf>
    <xf numFmtId="0" fontId="81" borderId="121" applyNumberFormat="0" applyFont="1" applyFill="0" applyBorder="1" applyAlignment="1" applyProtection="0">
      <alignment vertical="bottom"/>
    </xf>
    <xf numFmtId="0" fontId="20" fillId="6" borderId="121" applyNumberFormat="0" applyFont="1" applyFill="1" applyBorder="1" applyAlignment="1" applyProtection="0">
      <alignment horizontal="center" vertical="center" wrapText="1"/>
    </xf>
    <xf numFmtId="0" fontId="82" borderId="121" applyNumberFormat="0" applyFont="1" applyFill="0" applyBorder="1" applyAlignment="1" applyProtection="0">
      <alignment vertical="bottom"/>
    </xf>
    <xf numFmtId="0" fontId="81" borderId="122" applyNumberFormat="0" applyFont="1" applyFill="0" applyBorder="1" applyAlignment="1" applyProtection="0">
      <alignment vertical="bottom"/>
    </xf>
    <xf numFmtId="0" fontId="12" borderId="120" applyNumberFormat="0" applyFont="1" applyFill="0" applyBorder="1" applyAlignment="1" applyProtection="0">
      <alignment horizontal="left" vertical="bottom"/>
    </xf>
    <xf numFmtId="0" fontId="12" fillId="6" borderId="121" applyNumberFormat="0" applyFont="1" applyFill="1" applyBorder="1" applyAlignment="1" applyProtection="0">
      <alignment horizontal="center" vertical="center" wrapText="1"/>
    </xf>
    <xf numFmtId="78" fontId="12" fillId="3" borderId="121" applyNumberFormat="1" applyFont="1" applyFill="1" applyBorder="1" applyAlignment="1" applyProtection="0">
      <alignment horizontal="center" vertical="bottom"/>
    </xf>
    <xf numFmtId="75" fontId="12" fillId="6" borderId="121" applyNumberFormat="1" applyFont="1" applyFill="1" applyBorder="1" applyAlignment="1" applyProtection="0">
      <alignment horizontal="center" vertical="bottom"/>
    </xf>
    <xf numFmtId="0" fontId="81" borderId="121" applyNumberFormat="0" applyFont="1" applyFill="0" applyBorder="1" applyAlignment="1" applyProtection="0">
      <alignment horizontal="center" vertical="bottom"/>
    </xf>
    <xf numFmtId="0" fontId="12" borderId="121" applyNumberFormat="0" applyFont="1" applyFill="0" applyBorder="1" applyAlignment="1" applyProtection="0">
      <alignment horizontal="right" vertical="bottom"/>
    </xf>
    <xf numFmtId="49" fontId="12" borderId="121" applyNumberFormat="1" applyFont="1" applyFill="0" applyBorder="1" applyAlignment="1" applyProtection="0">
      <alignment vertical="bottom"/>
    </xf>
    <xf numFmtId="67" fontId="12" fillId="6" borderId="121" applyNumberFormat="1" applyFont="1" applyFill="1" applyBorder="1" applyAlignment="1" applyProtection="0">
      <alignment horizontal="center" vertical="bottom"/>
    </xf>
    <xf numFmtId="75" fontId="12" borderId="121" applyNumberFormat="1" applyFont="1" applyFill="0" applyBorder="1" applyAlignment="1" applyProtection="0">
      <alignment vertical="bottom"/>
    </xf>
    <xf numFmtId="11" fontId="12" borderId="121" applyNumberFormat="1" applyFont="1" applyFill="0" applyBorder="1" applyAlignment="1" applyProtection="0">
      <alignment vertical="bottom"/>
    </xf>
    <xf numFmtId="0" fontId="15" fillId="4" borderId="121" applyNumberFormat="0" applyFont="1" applyFill="1" applyBorder="1" applyAlignment="1" applyProtection="0">
      <alignment horizontal="center" vertical="center"/>
    </xf>
    <xf numFmtId="0" fontId="14" fillId="4" borderId="121" applyNumberFormat="0" applyFont="1" applyFill="1" applyBorder="1" applyAlignment="1" applyProtection="0">
      <alignment horizontal="center" vertical="center"/>
    </xf>
    <xf numFmtId="0" fontId="14" fillId="4" borderId="121" applyNumberFormat="0" applyFont="1" applyFill="1" applyBorder="1" applyAlignment="1" applyProtection="0">
      <alignment horizontal="center" vertical="center" wrapText="1"/>
    </xf>
    <xf numFmtId="0" fontId="11" fillId="4" borderId="121" applyNumberFormat="0" applyFont="1" applyFill="1" applyBorder="1" applyAlignment="1" applyProtection="0">
      <alignment horizontal="center" vertical="center" wrapText="1"/>
    </xf>
    <xf numFmtId="0" fontId="11" fillId="4" borderId="121" applyNumberFormat="0" applyFont="1" applyFill="1" applyBorder="1" applyAlignment="1" applyProtection="0">
      <alignment horizontal="center" vertical="center"/>
    </xf>
    <xf numFmtId="65" fontId="12" fillId="4" borderId="121" applyNumberFormat="1" applyFont="1" applyFill="1" applyBorder="1" applyAlignment="1" applyProtection="0">
      <alignment horizontal="center" vertical="bottom"/>
    </xf>
    <xf numFmtId="78" fontId="12" fillId="4" borderId="121" applyNumberFormat="1" applyFont="1" applyFill="1" applyBorder="1" applyAlignment="1" applyProtection="0">
      <alignment horizontal="center" vertical="bottom"/>
    </xf>
    <xf numFmtId="75" fontId="12" fillId="4" borderId="121" applyNumberFormat="1" applyFont="1" applyFill="1" applyBorder="1" applyAlignment="1" applyProtection="0">
      <alignment horizontal="center" vertical="bottom"/>
    </xf>
    <xf numFmtId="69" fontId="12" fillId="4" borderId="121" applyNumberFormat="1" applyFont="1" applyFill="1" applyBorder="1" applyAlignment="1" applyProtection="0">
      <alignment horizontal="center" vertical="bottom"/>
    </xf>
    <xf numFmtId="71" fontId="12" fillId="4" borderId="121" applyNumberFormat="1" applyFont="1" applyFill="1" applyBorder="1" applyAlignment="1" applyProtection="0">
      <alignment horizontal="center" vertical="bottom"/>
    </xf>
    <xf numFmtId="99" fontId="12" borderId="121" applyNumberFormat="1" applyFont="1" applyFill="0" applyBorder="1" applyAlignment="1" applyProtection="0">
      <alignment horizontal="center" vertical="bottom"/>
    </xf>
    <xf numFmtId="0" fontId="83" borderId="121" applyNumberFormat="0" applyFont="1" applyFill="0" applyBorder="1" applyAlignment="1" applyProtection="0">
      <alignment vertical="bottom"/>
    </xf>
    <xf numFmtId="0" fontId="49" fillId="2" borderId="121" applyNumberFormat="0" applyFont="1" applyFill="1" applyBorder="1" applyAlignment="1" applyProtection="0">
      <alignment horizontal="center" vertical="center"/>
    </xf>
    <xf numFmtId="71" fontId="49" fillId="2" borderId="121" applyNumberFormat="1" applyFont="1" applyFill="1" applyBorder="1" applyAlignment="1" applyProtection="0">
      <alignment horizontal="center" vertical="center"/>
    </xf>
    <xf numFmtId="69" fontId="49" fillId="2" borderId="121" applyNumberFormat="1" applyFont="1" applyFill="1" applyBorder="1" applyAlignment="1" applyProtection="0">
      <alignment horizontal="center" vertical="center"/>
    </xf>
    <xf numFmtId="2" fontId="49" fillId="2" borderId="121" applyNumberFormat="1" applyFont="1" applyFill="1" applyBorder="1" applyAlignment="1" applyProtection="0">
      <alignment horizontal="center" vertical="center"/>
    </xf>
    <xf numFmtId="0" fontId="0" borderId="123" applyNumberFormat="0" applyFont="1" applyFill="0" applyBorder="1" applyAlignment="1" applyProtection="0">
      <alignment vertical="bottom"/>
    </xf>
    <xf numFmtId="0" fontId="49" fillId="2" borderId="124" applyNumberFormat="0" applyFont="1" applyFill="1" applyBorder="1" applyAlignment="1" applyProtection="0">
      <alignment horizontal="center" vertical="center"/>
    </xf>
    <xf numFmtId="71" fontId="49" fillId="2" borderId="124" applyNumberFormat="1" applyFont="1" applyFill="1" applyBorder="1" applyAlignment="1" applyProtection="0">
      <alignment horizontal="center" vertical="center"/>
    </xf>
    <xf numFmtId="0" fontId="0" borderId="124" applyNumberFormat="0" applyFont="1" applyFill="0" applyBorder="1" applyAlignment="1" applyProtection="0">
      <alignment vertical="bottom"/>
    </xf>
    <xf numFmtId="0" fontId="0" borderId="125"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61" borderId="1" applyNumberFormat="0" applyFont="1" applyFill="0" applyBorder="1" applyAlignment="1" applyProtection="0">
      <alignment vertical="bottom"/>
    </xf>
    <xf numFmtId="0" fontId="61" borderId="1" applyNumberFormat="0" applyFont="1" applyFill="0" applyBorder="1" applyAlignment="1" applyProtection="0">
      <alignment horizontal="righ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fillId="2" borderId="1" applyNumberFormat="1" applyFont="1" applyFill="1" applyBorder="1" applyAlignment="1" applyProtection="0">
      <alignment vertical="bottom"/>
    </xf>
    <xf numFmtId="0" fontId="0" borderId="1" applyNumberFormat="1" applyFont="1" applyFill="0" applyBorder="1" applyAlignment="1" applyProtection="0">
      <alignment vertical="bottom"/>
    </xf>
    <xf numFmtId="49" fontId="89" fillId="2" borderId="142" applyNumberFormat="1" applyFont="1" applyFill="1" applyBorder="1" applyAlignment="1" applyProtection="0">
      <alignment horizontal="center" vertical="bottom"/>
    </xf>
    <xf numFmtId="0" fontId="89" fillId="2" borderId="26" applyNumberFormat="0" applyFont="1" applyFill="1" applyBorder="1" applyAlignment="1" applyProtection="0">
      <alignment horizontal="center" vertical="bottom"/>
    </xf>
    <xf numFmtId="0" fontId="89" fillId="2" borderId="143" applyNumberFormat="0" applyFont="1" applyFill="1" applyBorder="1" applyAlignment="1" applyProtection="0">
      <alignment horizontal="center" vertical="bottom"/>
    </xf>
    <xf numFmtId="0" fontId="90" fillId="2" borderId="31" applyNumberFormat="0" applyFont="1" applyFill="1" applyBorder="1" applyAlignment="1" applyProtection="0">
      <alignment vertical="center"/>
    </xf>
    <xf numFmtId="0" fontId="90" fillId="2" borderId="1" applyNumberFormat="0" applyFont="1" applyFill="1" applyBorder="1" applyAlignment="1" applyProtection="0">
      <alignment vertical="center"/>
    </xf>
    <xf numFmtId="0" fontId="62" fillId="2" borderId="144" applyNumberFormat="0" applyFont="1" applyFill="1" applyBorder="1" applyAlignment="1" applyProtection="0">
      <alignment vertical="bottom"/>
    </xf>
    <xf numFmtId="0" fontId="0" fillId="2" borderId="144" applyNumberFormat="0" applyFont="1" applyFill="1" applyBorder="1" applyAlignment="1" applyProtection="0">
      <alignment horizontal="center" vertical="bottom"/>
    </xf>
    <xf numFmtId="0" fontId="91" fillId="2" borderId="144" applyNumberFormat="0" applyFont="1" applyFill="1" applyBorder="1" applyAlignment="1" applyProtection="0">
      <alignment horizontal="center" vertical="center"/>
    </xf>
    <xf numFmtId="0" fontId="92" fillId="2" borderId="144" applyNumberFormat="0" applyFont="1" applyFill="1" applyBorder="1" applyAlignment="1" applyProtection="0">
      <alignment vertical="center"/>
    </xf>
    <xf numFmtId="0" fontId="93" fillId="2" borderId="144" applyNumberFormat="0" applyFont="1" applyFill="1" applyBorder="1" applyAlignment="1" applyProtection="0">
      <alignment vertical="center"/>
    </xf>
    <xf numFmtId="0" fontId="91" fillId="8" borderId="145" applyNumberFormat="0" applyFont="1" applyFill="1" applyBorder="1" applyAlignment="1" applyProtection="0">
      <alignment vertical="center"/>
    </xf>
    <xf numFmtId="0" fontId="91" fillId="8" borderId="146" applyNumberFormat="0" applyFont="1" applyFill="1" applyBorder="1" applyAlignment="1" applyProtection="0">
      <alignment vertical="center"/>
    </xf>
    <xf numFmtId="0" fontId="90" fillId="2" borderId="49" applyNumberFormat="0" applyFont="1" applyFill="1" applyBorder="1" applyAlignment="1" applyProtection="0">
      <alignment vertical="center"/>
    </xf>
    <xf numFmtId="49" fontId="94" fillId="2" borderId="147" applyNumberFormat="1" applyFont="1" applyFill="1" applyBorder="1" applyAlignment="1" applyProtection="0">
      <alignment horizontal="center" vertical="center"/>
    </xf>
    <xf numFmtId="0" fontId="94" fillId="2" borderId="37" applyNumberFormat="0" applyFont="1" applyFill="1" applyBorder="1" applyAlignment="1" applyProtection="0">
      <alignment horizontal="center" vertical="center"/>
    </xf>
    <xf numFmtId="0" fontId="95" fillId="2" borderId="37" applyNumberFormat="0" applyFont="1" applyFill="1" applyBorder="1" applyAlignment="1" applyProtection="0">
      <alignment horizontal="center" vertical="center"/>
    </xf>
    <xf numFmtId="0" fontId="95" fillId="2" borderId="148" applyNumberFormat="0" applyFont="1" applyFill="1" applyBorder="1" applyAlignment="1" applyProtection="0">
      <alignment horizontal="center" vertical="center"/>
    </xf>
    <xf numFmtId="0" fontId="96" fillId="2" borderId="31" applyNumberFormat="0" applyFont="1" applyFill="1" applyBorder="1" applyAlignment="1" applyProtection="0">
      <alignment vertical="top"/>
    </xf>
    <xf numFmtId="0" fontId="96" fillId="2" borderId="1" applyNumberFormat="0" applyFont="1" applyFill="1" applyBorder="1" applyAlignment="1" applyProtection="0">
      <alignment vertical="top"/>
    </xf>
    <xf numFmtId="0" fontId="97" fillId="2" borderId="1" applyNumberFormat="0" applyFont="1" applyFill="1" applyBorder="1" applyAlignment="1" applyProtection="0">
      <alignment vertical="bottom"/>
    </xf>
    <xf numFmtId="49" fontId="98" fillId="2" borderId="31" applyNumberFormat="1" applyFont="1" applyFill="1" applyBorder="1" applyAlignment="1" applyProtection="0">
      <alignment horizontal="center" vertical="center"/>
    </xf>
    <xf numFmtId="0" fontId="98" fillId="2" borderId="1" applyNumberFormat="0" applyFont="1" applyFill="1" applyBorder="1" applyAlignment="1" applyProtection="0">
      <alignment horizontal="center" vertical="center"/>
    </xf>
    <xf numFmtId="91" fontId="95" fillId="2" borderId="1" applyNumberFormat="1" applyFont="1" applyFill="1" applyBorder="1" applyAlignment="1" applyProtection="0">
      <alignment horizontal="center" vertical="center"/>
    </xf>
    <xf numFmtId="91" fontId="95" fillId="2" borderId="12" applyNumberFormat="1" applyFont="1" applyFill="1" applyBorder="1" applyAlignment="1" applyProtection="0">
      <alignment horizontal="center" vertical="center"/>
    </xf>
    <xf numFmtId="0" fontId="97" fillId="2" borderId="31" applyNumberFormat="0" applyFont="1" applyFill="1" applyBorder="1" applyAlignment="1" applyProtection="0">
      <alignment vertical="top"/>
    </xf>
    <xf numFmtId="91" fontId="99" fillId="2" borderId="1" applyNumberFormat="1" applyFont="1" applyFill="1" applyBorder="1" applyAlignment="1" applyProtection="0">
      <alignment vertical="center"/>
    </xf>
    <xf numFmtId="0" fontId="97" fillId="2" borderId="1" applyNumberFormat="0" applyFont="1" applyFill="1" applyBorder="1" applyAlignment="1" applyProtection="0">
      <alignment vertical="top"/>
    </xf>
    <xf numFmtId="49" fontId="100" fillId="2" borderId="149" applyNumberFormat="1" applyFont="1" applyFill="1" applyBorder="1" applyAlignment="1" applyProtection="0">
      <alignment horizontal="center" vertical="center"/>
    </xf>
    <xf numFmtId="49" fontId="100" fillId="2" borderId="8" applyNumberFormat="1" applyFont="1" applyFill="1" applyBorder="1" applyAlignment="1" applyProtection="0">
      <alignment horizontal="center" vertical="center"/>
    </xf>
    <xf numFmtId="0" fontId="95" fillId="2" borderId="8" applyNumberFormat="0" applyFont="1" applyFill="1" applyBorder="1" applyAlignment="1" applyProtection="0">
      <alignment horizontal="left" vertical="center"/>
    </xf>
    <xf numFmtId="0" fontId="95" fillId="2" borderId="150" applyNumberFormat="0" applyFont="1" applyFill="1" applyBorder="1" applyAlignment="1" applyProtection="0">
      <alignment horizontal="left" vertical="center"/>
    </xf>
    <xf numFmtId="49" fontId="99" fillId="2" borderId="151" applyNumberFormat="1" applyFont="1" applyFill="1" applyBorder="1" applyAlignment="1" applyProtection="0">
      <alignment vertical="center"/>
    </xf>
    <xf numFmtId="49" fontId="99" fillId="2" borderId="47" applyNumberFormat="1" applyFont="1" applyFill="1" applyBorder="1" applyAlignment="1" applyProtection="0">
      <alignment vertical="center"/>
    </xf>
    <xf numFmtId="49" fontId="97" fillId="2" borderId="47" applyNumberFormat="1" applyFont="1" applyFill="1" applyBorder="1" applyAlignment="1" applyProtection="0">
      <alignment vertical="top"/>
    </xf>
    <xf numFmtId="0" fontId="101" fillId="8" borderId="1" applyNumberFormat="1" applyFont="1" applyFill="1" applyBorder="1" applyAlignment="1" applyProtection="0">
      <alignment horizontal="center" vertical="bottom"/>
    </xf>
    <xf numFmtId="0" fontId="102" fillId="2" borderId="152" applyNumberFormat="0" applyFont="1" applyFill="1" applyBorder="1" applyAlignment="1" applyProtection="0">
      <alignment vertical="bottom"/>
    </xf>
    <xf numFmtId="49" fontId="103" fillId="8" borderId="153" applyNumberFormat="1" applyFont="1" applyFill="1" applyBorder="1" applyAlignment="1" applyProtection="0">
      <alignment horizontal="left" vertical="center"/>
    </xf>
    <xf numFmtId="0" fontId="103" fillId="8" borderId="153" applyNumberFormat="0" applyFont="1" applyFill="1" applyBorder="1" applyAlignment="1" applyProtection="0">
      <alignment horizontal="left" vertical="center"/>
    </xf>
    <xf numFmtId="49" fontId="0" fillId="2" borderId="153" applyNumberFormat="1" applyFont="1" applyFill="1" applyBorder="1" applyAlignment="1" applyProtection="0">
      <alignment vertical="bottom"/>
    </xf>
    <xf numFmtId="0" fontId="102" fillId="2" borderId="120" applyNumberFormat="0" applyFont="1" applyFill="1" applyBorder="1" applyAlignment="1" applyProtection="0">
      <alignment vertical="bottom"/>
    </xf>
    <xf numFmtId="0" fontId="103" fillId="8" borderId="121" applyNumberFormat="0" applyFont="1" applyFill="1" applyBorder="1" applyAlignment="1" applyProtection="0">
      <alignment horizontal="left" vertical="center"/>
    </xf>
    <xf numFmtId="0" fontId="104" fillId="2" borderId="154" applyNumberFormat="0" applyFont="1" applyFill="1" applyBorder="1" applyAlignment="1" applyProtection="0">
      <alignment vertical="bottom"/>
    </xf>
    <xf numFmtId="0" fontId="0" fillId="11" applyNumberFormat="1" applyFont="1" applyFill="1" applyBorder="0" applyAlignment="1" applyProtection="0">
      <alignment vertical="bottom"/>
    </xf>
    <xf numFmtId="0" fontId="0" fillId="11" borderId="117" applyNumberFormat="0" applyFont="1" applyFill="1" applyBorder="1" applyAlignment="1" applyProtection="0">
      <alignment vertical="bottom"/>
    </xf>
    <xf numFmtId="0" fontId="0" fillId="11" borderId="118" applyNumberFormat="0" applyFont="1" applyFill="1" applyBorder="1" applyAlignment="1" applyProtection="0">
      <alignment vertical="bottom"/>
    </xf>
    <xf numFmtId="0" fontId="0" fillId="11" borderId="119" applyNumberFormat="0" applyFont="1" applyFill="1" applyBorder="1" applyAlignment="1" applyProtection="0">
      <alignment vertical="bottom"/>
    </xf>
    <xf numFmtId="0" fontId="0" fillId="11" borderId="120" applyNumberFormat="0" applyFont="1" applyFill="1" applyBorder="1" applyAlignment="1" applyProtection="0">
      <alignment vertical="bottom"/>
    </xf>
    <xf numFmtId="0" fontId="0" fillId="11" borderId="121" applyNumberFormat="0" applyFont="1" applyFill="1" applyBorder="1" applyAlignment="1" applyProtection="0">
      <alignment vertical="bottom"/>
    </xf>
    <xf numFmtId="49" fontId="0" fillId="11" borderId="121" applyNumberFormat="1" applyFont="1" applyFill="1" applyBorder="1" applyAlignment="1" applyProtection="0">
      <alignment vertical="bottom"/>
    </xf>
    <xf numFmtId="0" fontId="0" fillId="11" borderId="122" applyNumberFormat="0" applyFont="1" applyFill="1" applyBorder="1" applyAlignment="1" applyProtection="0">
      <alignment vertical="bottom"/>
    </xf>
    <xf numFmtId="49" fontId="105" fillId="11" borderId="127" applyNumberFormat="1" applyFont="1" applyFill="1" applyBorder="1" applyAlignment="1" applyProtection="0">
      <alignment horizontal="center" vertical="bottom"/>
    </xf>
    <xf numFmtId="0" fontId="0" fillId="11" borderId="48" applyNumberFormat="0" applyFont="1" applyFill="1" applyBorder="1" applyAlignment="1" applyProtection="0">
      <alignment vertical="bottom"/>
    </xf>
    <xf numFmtId="0" fontId="0" fillId="11" borderId="146" applyNumberFormat="0" applyFont="1" applyFill="1" applyBorder="1" applyAlignment="1" applyProtection="0">
      <alignment vertical="bottom"/>
    </xf>
    <xf numFmtId="0" fontId="0" fillId="11" borderId="127" applyNumberFormat="0" applyFont="1" applyFill="1" applyBorder="1" applyAlignment="1" applyProtection="0">
      <alignment vertical="bottom"/>
    </xf>
    <xf numFmtId="0" fontId="0" fillId="11" borderId="155" applyNumberFormat="0" applyFont="1" applyFill="1" applyBorder="1" applyAlignment="1" applyProtection="0">
      <alignment vertical="bottom"/>
    </xf>
    <xf numFmtId="49" fontId="0" fillId="11" borderId="156" applyNumberFormat="1" applyFont="1" applyFill="1" applyBorder="1" applyAlignment="1" applyProtection="0">
      <alignment vertical="bottom"/>
    </xf>
    <xf numFmtId="49" fontId="0" fillId="11" borderId="42" applyNumberFormat="1" applyFont="1" applyFill="1" applyBorder="1" applyAlignment="1" applyProtection="0">
      <alignment horizontal="left" vertical="bottom"/>
    </xf>
    <xf numFmtId="0" fontId="0" fillId="11" borderId="157" applyNumberFormat="0" applyFont="1" applyFill="1" applyBorder="1" applyAlignment="1" applyProtection="0">
      <alignment vertical="bottom"/>
    </xf>
    <xf numFmtId="0" fontId="0" fillId="11" borderId="43" applyNumberFormat="0" applyFont="1" applyFill="1" applyBorder="1" applyAlignment="1" applyProtection="0">
      <alignment vertical="bottom"/>
    </xf>
    <xf numFmtId="0" fontId="0" fillId="11" borderId="158" applyNumberFormat="0" applyFont="1" applyFill="1" applyBorder="1" applyAlignment="1" applyProtection="0">
      <alignment vertical="bottom"/>
    </xf>
    <xf numFmtId="49" fontId="0" fillId="11" borderId="127" applyNumberFormat="1" applyFont="1" applyFill="1" applyBorder="1" applyAlignment="1" applyProtection="0">
      <alignment vertical="bottom"/>
    </xf>
    <xf numFmtId="49" fontId="0" fillId="11" borderId="121" applyNumberFormat="1" applyFont="1" applyFill="1" applyBorder="1" applyAlignment="1" applyProtection="0">
      <alignment horizontal="left" vertical="bottom"/>
    </xf>
    <xf numFmtId="49" fontId="0" fillId="11" borderId="159" applyNumberFormat="1" applyFont="1" applyFill="1" applyBorder="1" applyAlignment="1" applyProtection="0">
      <alignment vertical="bottom"/>
    </xf>
    <xf numFmtId="49" fontId="0" fillId="11" borderId="13" applyNumberFormat="1" applyFont="1" applyFill="1" applyBorder="1" applyAlignment="1" applyProtection="0">
      <alignment horizontal="center" vertical="bottom"/>
    </xf>
    <xf numFmtId="0" fontId="0" fillId="11" borderId="16" applyNumberFormat="0" applyFont="1" applyFill="1" applyBorder="1" applyAlignment="1" applyProtection="0">
      <alignment vertical="bottom"/>
    </xf>
    <xf numFmtId="49" fontId="60" fillId="11" borderId="13" applyNumberFormat="1" applyFont="1" applyFill="1" applyBorder="1" applyAlignment="1" applyProtection="0">
      <alignment vertical="bottom"/>
    </xf>
    <xf numFmtId="49" fontId="0" fillId="11" borderId="127" applyNumberFormat="1" applyFont="1" applyFill="1" applyBorder="1" applyAlignment="1" applyProtection="0">
      <alignment horizontal="center" vertical="bottom"/>
    </xf>
    <xf numFmtId="0" fontId="0" fillId="11" borderId="27" applyNumberFormat="0" applyFont="1" applyFill="1" applyBorder="1" applyAlignment="1" applyProtection="0">
      <alignment vertical="bottom"/>
    </xf>
    <xf numFmtId="0" fontId="0" fillId="11" borderId="22" applyNumberFormat="0" applyFont="1" applyFill="1" applyBorder="1" applyAlignment="1" applyProtection="0">
      <alignment vertical="bottom"/>
    </xf>
    <xf numFmtId="0" fontId="0" fillId="11" borderId="9" applyNumberFormat="0" applyFont="1" applyFill="1" applyBorder="1" applyAlignment="1" applyProtection="0">
      <alignment vertical="bottom"/>
    </xf>
    <xf numFmtId="0" fontId="0" fillId="11" borderId="10" applyNumberFormat="0" applyFont="1" applyFill="1" applyBorder="1" applyAlignment="1" applyProtection="0">
      <alignment vertical="bottom"/>
    </xf>
    <xf numFmtId="49" fontId="0" fillId="11" borderId="27" applyNumberFormat="1" applyFont="1" applyFill="1" applyBorder="1" applyAlignment="1" applyProtection="0">
      <alignment vertical="bottom"/>
    </xf>
    <xf numFmtId="0" fontId="0" fillId="11" borderId="153" applyNumberFormat="0" applyFont="1" applyFill="1" applyBorder="1" applyAlignment="1" applyProtection="0">
      <alignment vertical="bottom"/>
    </xf>
    <xf numFmtId="0" fontId="0" fillId="3" borderId="13" applyNumberFormat="0" applyFont="1" applyFill="1" applyBorder="1" applyAlignment="1" applyProtection="0">
      <alignment vertical="bottom"/>
    </xf>
    <xf numFmtId="49" fontId="0" fillId="11" borderId="160" applyNumberFormat="1" applyFont="1" applyFill="1" applyBorder="1" applyAlignment="1" applyProtection="0">
      <alignment vertical="bottom"/>
    </xf>
    <xf numFmtId="49" fontId="0" fillId="11" borderId="121" applyNumberFormat="1" applyFont="1" applyFill="1" applyBorder="1" applyAlignment="1" applyProtection="0">
      <alignment horizontal="center" vertical="bottom"/>
    </xf>
    <xf numFmtId="0" fontId="0" fillId="11" borderId="122" applyNumberFormat="0" applyFont="1" applyFill="1" applyBorder="1" applyAlignment="1" applyProtection="0">
      <alignment horizontal="center" vertical="bottom"/>
    </xf>
    <xf numFmtId="0" fontId="0" fillId="11" borderId="33" applyNumberFormat="0" applyFont="1" applyFill="1" applyBorder="1" applyAlignment="1" applyProtection="0">
      <alignment vertical="bottom"/>
    </xf>
    <xf numFmtId="0" fontId="0" fillId="11" borderId="15" applyNumberFormat="0" applyFont="1" applyFill="1" applyBorder="1" applyAlignment="1" applyProtection="0">
      <alignment vertical="bottom"/>
    </xf>
    <xf numFmtId="49" fontId="0" fillId="11" borderId="146" applyNumberFormat="1" applyFont="1" applyFill="1" applyBorder="1" applyAlignment="1" applyProtection="0">
      <alignment horizontal="center" vertical="bottom"/>
    </xf>
    <xf numFmtId="0" fontId="0" fillId="11" borderId="121" applyNumberFormat="0" applyFont="1" applyFill="1" applyBorder="1" applyAlignment="1" applyProtection="0">
      <alignment horizontal="right" vertical="bottom"/>
    </xf>
    <xf numFmtId="0" fontId="0" fillId="11" borderId="161" applyNumberFormat="0" applyFont="1" applyFill="1" applyBorder="1" applyAlignment="1" applyProtection="0">
      <alignment vertical="bottom"/>
    </xf>
    <xf numFmtId="49" fontId="0" fillId="3" borderId="13" applyNumberFormat="1" applyFont="1" applyFill="1" applyBorder="1" applyAlignment="1" applyProtection="0">
      <alignment horizontal="right" vertical="bottom"/>
    </xf>
    <xf numFmtId="0" fontId="0" fillId="11" borderId="13" applyNumberFormat="0" applyFont="1" applyFill="1" applyBorder="1" applyAlignment="1" applyProtection="0">
      <alignment vertical="bottom"/>
    </xf>
    <xf numFmtId="49" fontId="0" fillId="11" borderId="162" applyNumberFormat="1" applyFont="1" applyFill="1" applyBorder="1" applyAlignment="1" applyProtection="0">
      <alignment horizontal="right" vertical="bottom"/>
    </xf>
    <xf numFmtId="1" fontId="0" fillId="3" borderId="13" applyNumberFormat="1" applyFont="1" applyFill="1" applyBorder="1" applyAlignment="1" applyProtection="0">
      <alignment horizontal="right" vertical="bottom"/>
    </xf>
    <xf numFmtId="1" fontId="0" fillId="3" borderId="13" applyNumberFormat="1" applyFont="1" applyFill="1" applyBorder="1" applyAlignment="1" applyProtection="0">
      <alignment vertical="bottom"/>
    </xf>
    <xf numFmtId="71" fontId="0" fillId="11" borderId="13" applyNumberFormat="1" applyFont="1" applyFill="1" applyBorder="1" applyAlignment="1" applyProtection="0">
      <alignment vertical="bottom"/>
    </xf>
    <xf numFmtId="0" fontId="0" fillId="11" borderId="13" applyNumberFormat="1" applyFont="1" applyFill="1" applyBorder="1" applyAlignment="1" applyProtection="0">
      <alignment horizontal="right" vertical="bottom"/>
    </xf>
    <xf numFmtId="0" fontId="0" fillId="11" borderId="13" applyNumberFormat="1" applyFont="1" applyFill="1" applyBorder="1" applyAlignment="1" applyProtection="0">
      <alignment horizontal="center" vertical="bottom"/>
    </xf>
    <xf numFmtId="0" fontId="0" fillId="12" borderId="13" applyNumberFormat="1" applyFont="1" applyFill="1" applyBorder="1" applyAlignment="1" applyProtection="0">
      <alignment vertical="bottom"/>
    </xf>
    <xf numFmtId="0" fontId="0" fillId="11" borderId="13" applyNumberFormat="1" applyFont="1" applyFill="1" applyBorder="1" applyAlignment="1" applyProtection="0">
      <alignment vertical="bottom"/>
    </xf>
    <xf numFmtId="49" fontId="0" fillId="11" borderId="13" applyNumberFormat="1" applyFont="1" applyFill="1" applyBorder="1" applyAlignment="1" applyProtection="0">
      <alignment vertical="bottom"/>
    </xf>
    <xf numFmtId="3" fontId="0" fillId="11" borderId="13" applyNumberFormat="1" applyFont="1" applyFill="1" applyBorder="1" applyAlignment="1" applyProtection="0">
      <alignment vertical="bottom"/>
    </xf>
    <xf numFmtId="49" fontId="0" fillId="11" borderId="9" applyNumberFormat="1" applyFont="1" applyFill="1" applyBorder="1" applyAlignment="1" applyProtection="0">
      <alignment vertical="bottom"/>
    </xf>
    <xf numFmtId="0" fontId="0" fillId="11" borderId="11" applyNumberFormat="0" applyFont="1" applyFill="1" applyBorder="1" applyAlignment="1" applyProtection="0">
      <alignment vertical="bottom"/>
    </xf>
    <xf numFmtId="0" fontId="0" fillId="11" borderId="162" applyNumberFormat="0" applyFont="1" applyFill="1" applyBorder="1" applyAlignment="1" applyProtection="0">
      <alignment horizontal="right" vertical="bottom"/>
    </xf>
    <xf numFmtId="0" fontId="0" fillId="11" borderId="160" applyNumberFormat="0" applyFont="1" applyFill="1" applyBorder="1" applyAlignment="1" applyProtection="0">
      <alignment vertical="bottom"/>
    </xf>
    <xf numFmtId="0" fontId="0" fillId="11" borderId="163" applyNumberFormat="0" applyFont="1" applyFill="1" applyBorder="1" applyAlignment="1" applyProtection="0">
      <alignment vertical="bottom"/>
    </xf>
    <xf numFmtId="49" fontId="0" fillId="11" borderId="48" applyNumberFormat="1" applyFont="1" applyFill="1" applyBorder="1" applyAlignment="1" applyProtection="0">
      <alignment vertical="bottom"/>
    </xf>
    <xf numFmtId="0" fontId="0" fillId="11" borderId="126" applyNumberFormat="0" applyFont="1" applyFill="1" applyBorder="1" applyAlignment="1" applyProtection="0">
      <alignment vertical="bottom"/>
    </xf>
    <xf numFmtId="0" fontId="0" fillId="11" borderId="17" applyNumberFormat="0" applyFont="1" applyFill="1" applyBorder="1" applyAlignment="1" applyProtection="0">
      <alignment vertical="bottom"/>
    </xf>
    <xf numFmtId="0" fontId="0" fillId="11" borderId="146" applyNumberFormat="0" applyFont="1" applyFill="1" applyBorder="1" applyAlignment="1" applyProtection="0">
      <alignment horizontal="right" vertical="bottom"/>
    </xf>
    <xf numFmtId="49" fontId="0" fillId="11" borderId="156" applyNumberFormat="1" applyFont="1" applyFill="1" applyBorder="1" applyAlignment="1" applyProtection="0">
      <alignment horizontal="center" vertical="top" wrapText="1"/>
    </xf>
    <xf numFmtId="49" fontId="0" fillId="11" borderId="42" applyNumberFormat="1" applyFont="1" applyFill="1" applyBorder="1" applyAlignment="1" applyProtection="0">
      <alignment horizontal="center" vertical="top" wrapText="1"/>
    </xf>
    <xf numFmtId="0" fontId="0" fillId="11" borderId="43" applyNumberFormat="0" applyFont="1" applyFill="1" applyBorder="1" applyAlignment="1" applyProtection="0">
      <alignment horizontal="center" vertical="top" wrapText="1"/>
    </xf>
    <xf numFmtId="49" fontId="0" fillId="11" borderId="13" applyNumberFormat="1" applyFont="1" applyFill="1" applyBorder="1" applyAlignment="1" applyProtection="0">
      <alignment horizontal="center" vertical="top" wrapText="1"/>
    </xf>
    <xf numFmtId="0" fontId="0" fillId="11" borderId="159" applyNumberFormat="0" applyFont="1" applyFill="1" applyBorder="1" applyAlignment="1" applyProtection="0">
      <alignment horizontal="center" vertical="top" wrapText="1"/>
    </xf>
    <xf numFmtId="0" fontId="0" fillId="11" borderId="27" applyNumberFormat="0" applyFont="1" applyFill="1" applyBorder="1" applyAlignment="1" applyProtection="0">
      <alignment horizontal="center" vertical="bottom"/>
    </xf>
    <xf numFmtId="49" fontId="0" fillId="11" borderId="15" applyNumberFormat="1" applyFont="1" applyFill="1" applyBorder="1" applyAlignment="1" applyProtection="0">
      <alignment vertical="bottom"/>
    </xf>
    <xf numFmtId="49" fontId="0" fillId="11" borderId="13" applyNumberFormat="1" applyFont="1" applyFill="1" applyBorder="1" applyAlignment="1" applyProtection="0">
      <alignment horizontal="center" vertical="bottom" wrapText="1"/>
    </xf>
    <xf numFmtId="49" fontId="0" fillId="11" borderId="42" applyNumberFormat="1" applyFont="1" applyFill="1" applyBorder="1" applyAlignment="1" applyProtection="0">
      <alignment horizontal="center" vertical="bottom" wrapText="1"/>
    </xf>
    <xf numFmtId="49" fontId="0" fillId="11" borderId="157" applyNumberFormat="1" applyFont="1" applyFill="1" applyBorder="1" applyAlignment="1" applyProtection="0">
      <alignment horizontal="center" vertical="bottom" wrapText="1"/>
    </xf>
    <xf numFmtId="49" fontId="0" fillId="11" borderId="43" applyNumberFormat="1" applyFont="1" applyFill="1" applyBorder="1" applyAlignment="1" applyProtection="0">
      <alignment horizontal="center" vertical="bottom" wrapText="1"/>
    </xf>
    <xf numFmtId="49" fontId="0" fillId="11" borderId="156" applyNumberFormat="1" applyFont="1" applyFill="1" applyBorder="1" applyAlignment="1" applyProtection="0">
      <alignment horizontal="center" vertical="bottom" wrapText="1"/>
    </xf>
    <xf numFmtId="0" fontId="0" fillId="11" borderId="156" applyNumberFormat="1" applyFont="1" applyFill="1" applyBorder="1" applyAlignment="1" applyProtection="0">
      <alignment horizontal="center" vertical="bottom" wrapText="1"/>
    </xf>
    <xf numFmtId="0" fontId="0" fillId="11" borderId="156" applyNumberFormat="1" applyFont="1" applyFill="1" applyBorder="1" applyAlignment="1" applyProtection="0">
      <alignment vertical="bottom"/>
    </xf>
    <xf numFmtId="0" fontId="0" fillId="11" borderId="159" applyNumberFormat="0" applyFont="1" applyFill="1" applyBorder="1" applyAlignment="1" applyProtection="0">
      <alignment horizontal="center" vertical="bottom" wrapText="1"/>
    </xf>
    <xf numFmtId="49" fontId="0" fillId="11" borderId="159" applyNumberFormat="1" applyFont="1" applyFill="1" applyBorder="1" applyAlignment="1" applyProtection="0">
      <alignment horizontal="center" vertical="bottom" wrapText="1"/>
    </xf>
    <xf numFmtId="0" fontId="0" fillId="11" borderId="159" applyNumberFormat="1" applyFont="1" applyFill="1" applyBorder="1" applyAlignment="1" applyProtection="0">
      <alignment vertical="bottom"/>
    </xf>
    <xf numFmtId="0" fontId="0" fillId="11" borderId="127" applyNumberFormat="1" applyFont="1" applyFill="1" applyBorder="1" applyAlignment="1" applyProtection="0">
      <alignment horizontal="center" vertical="bottom"/>
    </xf>
    <xf numFmtId="0" fontId="0" fillId="11" borderId="159" applyNumberFormat="1" applyFont="1" applyFill="1" applyBorder="1" applyAlignment="1" applyProtection="0">
      <alignment horizontal="center" vertical="bottom" wrapText="1"/>
    </xf>
    <xf numFmtId="0" fontId="0" fillId="11" borderId="13" applyNumberFormat="1" applyFont="1" applyFill="1" applyBorder="1" applyAlignment="1" applyProtection="0">
      <alignment horizontal="center" vertical="bottom" wrapText="1"/>
    </xf>
    <xf numFmtId="0" fontId="0" fillId="11" borderId="153" applyNumberFormat="0" applyFont="1" applyFill="1" applyBorder="1" applyAlignment="1" applyProtection="0">
      <alignment horizontal="center" vertical="bottom" wrapText="1"/>
    </xf>
    <xf numFmtId="0" fontId="0" fillId="11" borderId="121" applyNumberFormat="0" applyFont="1" applyFill="1" applyBorder="1" applyAlignment="1" applyProtection="0">
      <alignment horizontal="center" vertical="bottom" wrapText="1"/>
    </xf>
    <xf numFmtId="0" fontId="0" fillId="11" borderId="123" applyNumberFormat="0" applyFont="1" applyFill="1" applyBorder="1" applyAlignment="1" applyProtection="0">
      <alignment vertical="bottom"/>
    </xf>
    <xf numFmtId="49" fontId="0" fillId="11" borderId="124" applyNumberFormat="1" applyFont="1" applyFill="1" applyBorder="1" applyAlignment="1" applyProtection="0">
      <alignment vertical="bottom"/>
    </xf>
    <xf numFmtId="49" fontId="105" fillId="11" borderId="124" applyNumberFormat="1" applyFont="1" applyFill="1" applyBorder="1" applyAlignment="1" applyProtection="0">
      <alignment horizontal="center" vertical="bottom"/>
    </xf>
    <xf numFmtId="0" fontId="105" fillId="11" borderId="124" applyNumberFormat="0" applyFont="1" applyFill="1" applyBorder="1" applyAlignment="1" applyProtection="0">
      <alignment horizontal="center" vertical="bottom"/>
    </xf>
    <xf numFmtId="0" fontId="0" fillId="11" borderId="124" applyNumberFormat="0" applyFont="1" applyFill="1" applyBorder="1" applyAlignment="1" applyProtection="0">
      <alignment vertical="bottom"/>
    </xf>
    <xf numFmtId="0" fontId="0" fillId="11" borderId="124" applyNumberFormat="0" applyFont="1" applyFill="1" applyBorder="1" applyAlignment="1" applyProtection="0">
      <alignment horizontal="center" vertical="bottom" wrapText="1"/>
    </xf>
    <xf numFmtId="0" fontId="0" fillId="11" borderId="125" applyNumberFormat="0" applyFont="1" applyFill="1" applyBorder="1" applyAlignment="1" applyProtection="0">
      <alignment vertical="bottom"/>
    </xf>
    <xf numFmtId="0" fontId="0" applyNumberFormat="1" applyFont="1" applyFill="0" applyBorder="0" applyAlignment="1" applyProtection="0">
      <alignment vertical="bottom"/>
    </xf>
    <xf numFmtId="69" fontId="47" fillId="2" borderId="1" applyNumberFormat="1" applyFont="1" applyFill="1" applyBorder="1" applyAlignment="1" applyProtection="0">
      <alignment horizontal="center" vertical="center"/>
    </xf>
    <xf numFmtId="61" fontId="32" fillId="2" borderId="164" applyNumberFormat="1" applyFont="1" applyFill="1" applyBorder="1" applyAlignment="1" applyProtection="0">
      <alignment horizontal="center" vertical="center"/>
    </xf>
    <xf numFmtId="0" fontId="32" borderId="165" applyNumberFormat="0" applyFont="1" applyFill="0" applyBorder="1" applyAlignment="1" applyProtection="0">
      <alignment vertical="bottom"/>
    </xf>
    <xf numFmtId="0" fontId="32" borderId="1" applyNumberFormat="0" applyFont="1" applyFill="0" applyBorder="1" applyAlignment="1" applyProtection="0">
      <alignment vertical="bottom"/>
    </xf>
    <xf numFmtId="0" fontId="75" borderId="1" applyNumberFormat="0" applyFont="1" applyFill="0" applyBorder="1" applyAlignment="1" applyProtection="0">
      <alignment vertical="bottom"/>
    </xf>
    <xf numFmtId="14" fontId="49" fillId="2" borderId="2" applyNumberFormat="1" applyFont="1" applyFill="1" applyBorder="1" applyAlignment="1" applyProtection="0">
      <alignment horizontal="center" vertical="center"/>
    </xf>
    <xf numFmtId="61" fontId="32" fillId="2" borderId="166" applyNumberFormat="1" applyFont="1" applyFill="1" applyBorder="1" applyAlignment="1" applyProtection="0">
      <alignment horizontal="center" vertical="center"/>
    </xf>
    <xf numFmtId="0" fontId="32" borderId="167" applyNumberFormat="0" applyFont="1" applyFill="0" applyBorder="1" applyAlignment="1" applyProtection="0">
      <alignment vertical="bottom"/>
    </xf>
    <xf numFmtId="0" fontId="32" borderId="8" applyNumberFormat="0" applyFont="1" applyFill="0" applyBorder="1" applyAlignment="1" applyProtection="0">
      <alignment vertical="bottom"/>
    </xf>
    <xf numFmtId="0" fontId="75" borderId="8" applyNumberFormat="0" applyFont="1" applyFill="0" applyBorder="1" applyAlignment="1" applyProtection="0">
      <alignment vertical="bottom"/>
    </xf>
    <xf numFmtId="14" fontId="0" borderId="2"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107" fillId="2" borderId="28" applyNumberFormat="1" applyFont="1" applyFill="1" applyBorder="1" applyAlignment="1" applyProtection="0">
      <alignment vertical="center"/>
    </xf>
    <xf numFmtId="49" fontId="38" fillId="2" borderId="13" applyNumberFormat="1" applyFont="1" applyFill="1" applyBorder="1" applyAlignment="1" applyProtection="0">
      <alignment horizontal="center" vertical="top" wrapText="1"/>
    </xf>
    <xf numFmtId="49" fontId="38" fillId="2" borderId="142" applyNumberFormat="1" applyFont="1" applyFill="1" applyBorder="1" applyAlignment="1" applyProtection="0">
      <alignment horizontal="center" vertical="top" wrapText="1"/>
    </xf>
    <xf numFmtId="0" fontId="38" fillId="2" borderId="26" applyNumberFormat="0" applyFont="1" applyFill="1" applyBorder="1" applyAlignment="1" applyProtection="0">
      <alignment horizontal="center" vertical="top" wrapText="1"/>
    </xf>
    <xf numFmtId="0" fontId="38" fillId="2" borderId="143" applyNumberFormat="0" applyFont="1" applyFill="1" applyBorder="1" applyAlignment="1" applyProtection="0">
      <alignment horizontal="center" vertical="top" wrapText="1"/>
    </xf>
    <xf numFmtId="0" fontId="75" borderId="14" applyNumberFormat="0" applyFont="1" applyFill="0" applyBorder="1" applyAlignment="1" applyProtection="0">
      <alignment vertical="bottom"/>
    </xf>
    <xf numFmtId="0" fontId="38" fillId="2" borderId="13" applyNumberFormat="0" applyFont="1" applyFill="1" applyBorder="1" applyAlignment="1" applyProtection="0">
      <alignment horizontal="center" vertical="top" wrapText="1"/>
    </xf>
    <xf numFmtId="0" fontId="0" borderId="3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horizontal="center" vertical="bottom"/>
    </xf>
    <xf numFmtId="49" fontId="0" borderId="13" applyNumberFormat="1" applyFont="1" applyFill="0" applyBorder="1" applyAlignment="1" applyProtection="0">
      <alignment horizontal="center" vertical="bottom"/>
    </xf>
    <xf numFmtId="0" fontId="0" borderId="142" applyNumberFormat="0" applyFont="1" applyFill="0" applyBorder="1" applyAlignment="1" applyProtection="0">
      <alignment vertical="bottom"/>
    </xf>
    <xf numFmtId="49" fontId="0" borderId="26" applyNumberFormat="1" applyFont="1" applyFill="0" applyBorder="1" applyAlignment="1" applyProtection="0">
      <alignment horizontal="center" vertical="bottom"/>
    </xf>
    <xf numFmtId="0" fontId="0" borderId="143" applyNumberFormat="0" applyFont="1" applyFill="0" applyBorder="1" applyAlignment="1" applyProtection="0">
      <alignment vertical="bottom"/>
    </xf>
    <xf numFmtId="0" fontId="75" borderId="168" applyNumberFormat="0" applyFont="1" applyFill="0" applyBorder="1" applyAlignment="1" applyProtection="0">
      <alignment vertical="bottom"/>
    </xf>
    <xf numFmtId="49" fontId="38" borderId="13" applyNumberFormat="1" applyFont="1" applyFill="0" applyBorder="1" applyAlignment="1" applyProtection="0">
      <alignment horizontal="center" vertical="bottom"/>
    </xf>
    <xf numFmtId="0" fontId="0" borderId="151" applyNumberFormat="0" applyFont="1" applyFill="0" applyBorder="1" applyAlignment="1" applyProtection="0">
      <alignment vertical="bottom"/>
    </xf>
    <xf numFmtId="0" fontId="0" borderId="169" applyNumberFormat="0" applyFont="1" applyFill="0" applyBorder="1" applyAlignment="1" applyProtection="0">
      <alignment vertical="bottom"/>
    </xf>
    <xf numFmtId="0" fontId="107" fillId="2" borderId="142" applyNumberFormat="0" applyFont="1" applyFill="1" applyBorder="1" applyAlignment="1" applyProtection="0">
      <alignment horizontal="center" vertical="center"/>
    </xf>
    <xf numFmtId="0" fontId="107" fillId="2" borderId="26" applyNumberFormat="0" applyFont="1" applyFill="1" applyBorder="1" applyAlignment="1" applyProtection="0">
      <alignment horizontal="center" vertical="center"/>
    </xf>
    <xf numFmtId="0" fontId="107" fillId="2" borderId="143" applyNumberFormat="0" applyFont="1" applyFill="1" applyBorder="1" applyAlignment="1" applyProtection="0">
      <alignment horizontal="center" vertical="center"/>
    </xf>
    <xf numFmtId="0" fontId="0" borderId="168" applyNumberFormat="0" applyFont="1" applyFill="0" applyBorder="1" applyAlignment="1" applyProtection="0">
      <alignment vertical="bottom"/>
    </xf>
    <xf numFmtId="0" fontId="0" borderId="170" applyNumberFormat="1" applyFont="1" applyFill="0" applyBorder="1" applyAlignment="1" applyProtection="0">
      <alignment vertical="bottom"/>
    </xf>
    <xf numFmtId="1" fontId="38" borderId="147" applyNumberFormat="1" applyFont="1" applyFill="0" applyBorder="1" applyAlignment="1" applyProtection="0">
      <alignment vertical="bottom"/>
    </xf>
    <xf numFmtId="49" fontId="38" borderId="37" applyNumberFormat="1" applyFont="1" applyFill="0" applyBorder="1" applyAlignment="1" applyProtection="0">
      <alignment vertical="bottom"/>
    </xf>
    <xf numFmtId="67" fontId="38" borderId="148" applyNumberFormat="1" applyFont="1" applyFill="0" applyBorder="1" applyAlignment="1" applyProtection="0">
      <alignment horizontal="center" vertical="bottom"/>
    </xf>
    <xf numFmtId="67" fontId="38" borderId="170" applyNumberFormat="1" applyFont="1" applyFill="0" applyBorder="1" applyAlignment="1" applyProtection="0">
      <alignment horizontal="center" vertical="bottom"/>
    </xf>
    <xf numFmtId="0" fontId="38" borderId="13" applyNumberFormat="1" applyFont="1" applyFill="0" applyBorder="1" applyAlignment="1" applyProtection="0">
      <alignment vertical="bottom"/>
    </xf>
    <xf numFmtId="103" fontId="38" borderId="170" applyNumberFormat="1" applyFont="1" applyFill="0" applyBorder="1" applyAlignment="1" applyProtection="0">
      <alignment vertical="bottom"/>
    </xf>
    <xf numFmtId="103" fontId="38" borderId="13" applyNumberFormat="1" applyFont="1" applyFill="0" applyBorder="1" applyAlignment="1" applyProtection="0">
      <alignment vertical="bottom"/>
    </xf>
    <xf numFmtId="103" fontId="38" borderId="147" applyNumberFormat="1" applyFont="1" applyFill="0" applyBorder="1" applyAlignment="1" applyProtection="0">
      <alignment vertical="bottom"/>
    </xf>
    <xf numFmtId="2" fontId="38" borderId="148" applyNumberFormat="1" applyFont="1" applyFill="0" applyBorder="1" applyAlignment="1" applyProtection="0">
      <alignment horizontal="center" vertical="bottom"/>
    </xf>
    <xf numFmtId="0" fontId="38" borderId="170" applyNumberFormat="1" applyFont="1" applyFill="0" applyBorder="1" applyAlignment="1" applyProtection="0">
      <alignment horizontal="center" vertical="bottom"/>
    </xf>
    <xf numFmtId="0" fontId="61" fillId="4" borderId="160" applyNumberFormat="0" applyFont="1" applyFill="1" applyBorder="1" applyAlignment="1" applyProtection="0">
      <alignment horizontal="center" vertical="bottom"/>
    </xf>
    <xf numFmtId="0" fontId="0" fillId="4" borderId="155" applyNumberFormat="0" applyFont="1" applyFill="1" applyBorder="1" applyAlignment="1" applyProtection="0">
      <alignment horizontal="right" vertical="bottom"/>
    </xf>
    <xf numFmtId="14" fontId="0" fillId="13" borderId="13" applyNumberFormat="1" applyFont="1" applyFill="1" applyBorder="1" applyAlignment="1" applyProtection="0">
      <alignment horizontal="center" vertical="bottom"/>
    </xf>
    <xf numFmtId="14" fontId="0" fillId="13" borderId="13" applyNumberFormat="1" applyFont="1" applyFill="1" applyBorder="1" applyAlignment="1" applyProtection="0">
      <alignment vertical="bottom"/>
    </xf>
    <xf numFmtId="61" fontId="38" borderId="147" applyNumberFormat="1" applyFont="1" applyFill="0" applyBorder="1" applyAlignment="1" applyProtection="0">
      <alignment vertical="bottom"/>
    </xf>
    <xf numFmtId="0" fontId="0" borderId="168" applyNumberFormat="1" applyFont="1" applyFill="0" applyBorder="1" applyAlignment="1" applyProtection="0">
      <alignment vertical="bottom"/>
    </xf>
    <xf numFmtId="1" fontId="38" borderId="31" applyNumberFormat="1" applyFont="1" applyFill="0" applyBorder="1" applyAlignment="1" applyProtection="0">
      <alignment vertical="bottom"/>
    </xf>
    <xf numFmtId="49" fontId="38" borderId="1" applyNumberFormat="1" applyFont="1" applyFill="0" applyBorder="1" applyAlignment="1" applyProtection="0">
      <alignment vertical="bottom"/>
    </xf>
    <xf numFmtId="67" fontId="38" borderId="12" applyNumberFormat="1" applyFont="1" applyFill="0" applyBorder="1" applyAlignment="1" applyProtection="0">
      <alignment horizontal="center" vertical="bottom"/>
    </xf>
    <xf numFmtId="67" fontId="38" borderId="168" applyNumberFormat="1" applyFont="1" applyFill="0" applyBorder="1" applyAlignment="1" applyProtection="0">
      <alignment horizontal="center" vertical="bottom"/>
    </xf>
    <xf numFmtId="103" fontId="38" borderId="168" applyNumberFormat="1" applyFont="1" applyFill="0" applyBorder="1" applyAlignment="1" applyProtection="0">
      <alignment vertical="bottom"/>
    </xf>
    <xf numFmtId="103" fontId="38" borderId="31" applyNumberFormat="1" applyFont="1" applyFill="0" applyBorder="1" applyAlignment="1" applyProtection="0">
      <alignment vertical="bottom"/>
    </xf>
    <xf numFmtId="2" fontId="38" borderId="12" applyNumberFormat="1" applyFont="1" applyFill="0" applyBorder="1" applyAlignment="1" applyProtection="0">
      <alignment horizontal="center" vertical="bottom"/>
    </xf>
    <xf numFmtId="0" fontId="38" borderId="168" applyNumberFormat="1" applyFont="1" applyFill="0" applyBorder="1" applyAlignment="1" applyProtection="0">
      <alignment horizontal="center" vertical="bottom"/>
    </xf>
    <xf numFmtId="0" fontId="0" fillId="4" borderId="160" applyNumberFormat="0" applyFont="1" applyFill="1" applyBorder="1" applyAlignment="1" applyProtection="0">
      <alignment vertical="bottom"/>
    </xf>
    <xf numFmtId="49" fontId="0" fillId="4" borderId="13" applyNumberFormat="1" applyFont="1" applyFill="1" applyBorder="1" applyAlignment="1" applyProtection="0">
      <alignment horizontal="center" vertical="bottom"/>
    </xf>
    <xf numFmtId="14" fontId="0" fillId="4" borderId="13" applyNumberFormat="1" applyFont="1" applyFill="1" applyBorder="1" applyAlignment="1" applyProtection="0">
      <alignment horizontal="center" vertical="bottom"/>
    </xf>
    <xf numFmtId="61" fontId="38" borderId="31" applyNumberFormat="1" applyFont="1" applyFill="0" applyBorder="1" applyAlignment="1" applyProtection="0">
      <alignment vertical="bottom"/>
    </xf>
    <xf numFmtId="0" fontId="0" fillId="4" borderId="162" applyNumberFormat="0" applyFont="1" applyFill="1" applyBorder="1" applyAlignment="1" applyProtection="0">
      <alignment horizontal="center" vertical="bottom"/>
    </xf>
    <xf numFmtId="0" fontId="0" borderId="171" applyNumberFormat="1" applyFont="1" applyFill="0" applyBorder="1" applyAlignment="1" applyProtection="0">
      <alignment vertical="bottom"/>
    </xf>
    <xf numFmtId="67" fontId="0" borderId="13" applyNumberFormat="1" applyFont="1" applyFill="0" applyBorder="1" applyAlignment="1" applyProtection="0">
      <alignment horizontal="center" vertical="bottom"/>
    </xf>
    <xf numFmtId="2" fontId="0" borderId="13" applyNumberFormat="1" applyFont="1" applyFill="0" applyBorder="1" applyAlignment="1" applyProtection="0">
      <alignment horizontal="center" vertical="bottom"/>
    </xf>
    <xf numFmtId="1" fontId="0" borderId="13" applyNumberFormat="1" applyFont="1" applyFill="0" applyBorder="1" applyAlignment="1" applyProtection="0">
      <alignment horizontal="center" vertical="bottom"/>
    </xf>
    <xf numFmtId="0" fontId="0" borderId="171" applyNumberFormat="0" applyFont="1" applyFill="0" applyBorder="1" applyAlignment="1" applyProtection="0">
      <alignment vertical="bottom"/>
    </xf>
    <xf numFmtId="0" fontId="0" borderId="147" applyNumberFormat="0" applyFont="1" applyFill="0" applyBorder="1" applyAlignment="1" applyProtection="0">
      <alignment vertical="bottom"/>
    </xf>
    <xf numFmtId="0" fontId="0" borderId="37" applyNumberFormat="0" applyFont="1" applyFill="0" applyBorder="1" applyAlignment="1" applyProtection="0">
      <alignment vertical="bottom"/>
    </xf>
    <xf numFmtId="66" fontId="0" borderId="168" applyNumberFormat="1" applyFont="1" applyFill="0" applyBorder="1" applyAlignment="1" applyProtection="0">
      <alignment vertical="bottom"/>
    </xf>
    <xf numFmtId="66" fontId="38" borderId="31" applyNumberFormat="1" applyFont="1" applyFill="0" applyBorder="1" applyAlignment="1" applyProtection="0">
      <alignment vertical="bottom"/>
    </xf>
    <xf numFmtId="66" fontId="0" borderId="172" applyNumberFormat="1" applyFont="1" applyFill="0" applyBorder="1" applyAlignment="1" applyProtection="0">
      <alignment vertical="bottom"/>
    </xf>
    <xf numFmtId="66" fontId="38" borderId="149" applyNumberFormat="1" applyFont="1" applyFill="0" applyBorder="1" applyAlignment="1" applyProtection="0">
      <alignment vertical="bottom"/>
    </xf>
    <xf numFmtId="49" fontId="38" borderId="8" applyNumberFormat="1" applyFont="1" applyFill="0" applyBorder="1" applyAlignment="1" applyProtection="0">
      <alignment vertical="bottom"/>
    </xf>
    <xf numFmtId="67" fontId="38" borderId="150" applyNumberFormat="1" applyFont="1" applyFill="0" applyBorder="1" applyAlignment="1" applyProtection="0">
      <alignment horizontal="center" vertical="bottom"/>
    </xf>
    <xf numFmtId="67" fontId="38" borderId="172" applyNumberFormat="1" applyFont="1" applyFill="0" applyBorder="1" applyAlignment="1" applyProtection="0">
      <alignment horizontal="center" vertical="bottom"/>
    </xf>
    <xf numFmtId="0" fontId="75" borderId="37" applyNumberFormat="0" applyFont="1" applyFill="0" applyBorder="1" applyAlignment="1" applyProtection="0">
      <alignment vertical="bottom"/>
    </xf>
    <xf numFmtId="0" fontId="75" borderId="12" applyNumberFormat="0" applyFont="1" applyFill="0" applyBorder="1" applyAlignment="1" applyProtection="0">
      <alignment vertical="bottom"/>
    </xf>
    <xf numFmtId="66" fontId="0" borderId="12" applyNumberFormat="1" applyFont="1" applyFill="0" applyBorder="1" applyAlignment="1" applyProtection="0">
      <alignment vertical="bottom"/>
    </xf>
    <xf numFmtId="65" fontId="38" borderId="150" applyNumberFormat="1" applyFont="1" applyFill="0" applyBorder="1" applyAlignment="1" applyProtection="0">
      <alignment horizontal="center" vertical="bottom"/>
    </xf>
    <xf numFmtId="66" fontId="0" borderId="13" applyNumberFormat="1" applyFont="1" applyFill="0" applyBorder="1" applyAlignment="1" applyProtection="0">
      <alignment vertical="bottom"/>
    </xf>
    <xf numFmtId="103" fontId="0" borderId="170" applyNumberFormat="1" applyFont="1" applyFill="0" applyBorder="1" applyAlignment="1" applyProtection="0">
      <alignment vertical="bottom"/>
    </xf>
    <xf numFmtId="103" fontId="0" borderId="172" applyNumberFormat="1" applyFont="1" applyFill="0" applyBorder="1" applyAlignment="1" applyProtection="0">
      <alignment vertical="bottom"/>
    </xf>
    <xf numFmtId="103" fontId="38" borderId="149" applyNumberFormat="1" applyFont="1" applyFill="0" applyBorder="1" applyAlignment="1" applyProtection="0">
      <alignment vertical="bottom"/>
    </xf>
    <xf numFmtId="2" fontId="0" borderId="12" applyNumberFormat="1" applyFont="1" applyFill="0" applyBorder="1" applyAlignment="1" applyProtection="0">
      <alignment horizontal="center" vertical="bottom"/>
    </xf>
    <xf numFmtId="103" fontId="0" borderId="13" applyNumberFormat="1" applyFont="1" applyFill="0" applyBorder="1" applyAlignment="1" applyProtection="0">
      <alignment vertical="bottom"/>
    </xf>
    <xf numFmtId="103" fontId="38" borderId="172" applyNumberFormat="1" applyFont="1" applyFill="0" applyBorder="1" applyAlignment="1" applyProtection="0">
      <alignment vertical="bottom"/>
    </xf>
    <xf numFmtId="2" fontId="0" borderId="150" applyNumberFormat="1" applyFont="1" applyFill="0" applyBorder="1" applyAlignment="1" applyProtection="0">
      <alignment horizontal="center" vertical="bottom"/>
    </xf>
    <xf numFmtId="0" fontId="38" borderId="172" applyNumberFormat="1" applyFont="1" applyFill="0" applyBorder="1" applyAlignment="1" applyProtection="0">
      <alignment horizontal="center" vertical="bottom"/>
    </xf>
    <xf numFmtId="0" fontId="75" borderId="148" applyNumberFormat="0" applyFont="1" applyFill="0" applyBorder="1" applyAlignment="1" applyProtection="0">
      <alignment vertical="bottom"/>
    </xf>
    <xf numFmtId="0" fontId="38" borderId="142" applyNumberFormat="1" applyFont="1" applyFill="0" applyBorder="1" applyAlignment="1" applyProtection="0">
      <alignment vertical="bottom"/>
    </xf>
    <xf numFmtId="2" fontId="0" borderId="37" applyNumberFormat="1" applyFont="1" applyFill="0" applyBorder="1" applyAlignment="1" applyProtection="0">
      <alignment vertical="bottom"/>
    </xf>
    <xf numFmtId="103" fontId="38" borderId="148" applyNumberFormat="1" applyFont="1" applyFill="0" applyBorder="1" applyAlignment="1" applyProtection="0">
      <alignment vertical="bottom"/>
    </xf>
    <xf numFmtId="2" fontId="0" borderId="1" applyNumberFormat="1" applyFont="1" applyFill="0" applyBorder="1" applyAlignment="1" applyProtection="0">
      <alignment vertical="bottom"/>
    </xf>
    <xf numFmtId="0" fontId="38" borderId="147" applyNumberFormat="1" applyFont="1" applyFill="0" applyBorder="1" applyAlignment="1" applyProtection="0">
      <alignment vertical="bottom"/>
    </xf>
  </cellXfs>
  <cellStyles count="1">
    <cellStyle name="Normal" xfId="0" builtinId="0"/>
  </cellStyles>
  <dxfs count="12">
    <dxf>
      <font>
        <b val="1"/>
        <color rgb="00000000"/>
      </font>
      <fill>
        <patternFill patternType="solid">
          <fgColor indexed="23"/>
          <bgColor indexed="24"/>
        </patternFill>
      </fill>
    </dxf>
    <dxf>
      <fill>
        <patternFill patternType="solid">
          <fgColor indexed="23"/>
          <bgColor indexed="25"/>
        </patternFill>
      </fill>
    </dxf>
    <dxf>
      <font>
        <b val="1"/>
        <color rgb="00000000"/>
      </font>
      <fill>
        <patternFill patternType="solid">
          <fgColor indexed="23"/>
          <bgColor indexed="24"/>
        </patternFill>
      </fill>
    </dxf>
    <dxf>
      <font>
        <b val="1"/>
        <color rgb="00000000"/>
      </font>
      <fill>
        <patternFill patternType="solid">
          <fgColor indexed="23"/>
          <bgColor indexed="20"/>
        </patternFill>
      </fill>
    </dxf>
    <dxf>
      <font>
        <b val="1"/>
        <color rgb="00000000"/>
      </font>
      <fill>
        <patternFill patternType="solid">
          <fgColor indexed="23"/>
          <bgColor indexed="24"/>
        </patternFill>
      </fill>
    </dxf>
    <dxf>
      <font>
        <color rgb="ffffffff"/>
      </font>
    </dxf>
    <dxf>
      <font>
        <color rgb="ffffffff"/>
      </font>
    </dxf>
    <dxf>
      <font>
        <color rgb="ffffffff"/>
      </font>
    </dxf>
    <dxf>
      <font>
        <color rgb="ffffffff"/>
      </font>
    </dxf>
    <dxf>
      <font>
        <color rgb="ffffffff"/>
      </font>
    </dxf>
    <dxf>
      <font>
        <color rgb="ffffffff"/>
      </font>
    </dxf>
    <dxf>
      <font>
        <color rgb="ffffffff"/>
      </font>
    </dxf>
  </dxfs>
  <tableStyles count="0"/>
  <colors>
    <indexedColors>
      <rgbColor rgb="ff000000"/>
      <rgbColor rgb="ffffffff"/>
      <rgbColor rgb="ffff0000"/>
      <rgbColor rgb="ff00ff00"/>
      <rgbColor rgb="ff0000ff"/>
      <rgbColor rgb="ffffff00"/>
      <rgbColor rgb="ffff00ff"/>
      <rgbColor rgb="ff00ffff"/>
      <rgbColor rgb="ff000000"/>
      <rgbColor rgb="ffffffff"/>
      <rgbColor rgb="ffd8d8d8"/>
      <rgbColor rgb="ff595959"/>
      <rgbColor rgb="ff2b4d74"/>
      <rgbColor rgb="ff772c2a"/>
      <rgbColor rgb="ff5e7530"/>
      <rgbColor rgb="ff4c3a62"/>
      <rgbColor rgb="ff276a7c"/>
      <rgbColor rgb="ffaaaaaa"/>
      <rgbColor rgb="ffffff00"/>
      <rgbColor rgb="ffbfbfbf"/>
      <rgbColor rgb="ffff0000"/>
      <rgbColor rgb="ffa5b6ca"/>
      <rgbColor rgb="ffa5a5a5"/>
      <rgbColor rgb="00000000"/>
      <rgbColor rgb="ff3366ff"/>
      <rgbColor rgb="fffea746"/>
      <rgbColor rgb="ffffc000"/>
      <rgbColor rgb="ff003366"/>
      <rgbColor rgb="ff0c0c0c"/>
      <rgbColor rgb="fff2dbdb"/>
      <rgbColor rgb="ffb97034"/>
      <rgbColor rgb="ff6711ff"/>
      <rgbColor rgb="ff0000ff"/>
      <rgbColor rgb="ff002060"/>
      <rgbColor rgb="ffc0c0c0"/>
      <rgbColor rgb="fffff58c"/>
      <rgbColor rgb="fffabf8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595959"/>
                </a:solidFill>
                <a:latin typeface="Calibri"/>
              </a:defRPr>
            </a:pPr>
            <a:r>
              <a:rPr b="0" i="0" strike="noStrike" sz="1400" u="none">
                <a:solidFill>
                  <a:srgbClr val="595959"/>
                </a:solidFill>
                <a:latin typeface="Calibri"/>
              </a:rPr>
              <a:t>Título de la gráfica</a:t>
            </a:r>
          </a:p>
        </c:rich>
      </c:tx>
      <c:layout>
        <c:manualLayout>
          <c:xMode val="edge"/>
          <c:yMode val="edge"/>
          <c:x val="0.425281"/>
          <c:y val="0"/>
          <c:w val="0.149438"/>
          <c:h val="0.0577099"/>
        </c:manualLayout>
      </c:layout>
      <c:overlay val="1"/>
      <c:spPr>
        <a:noFill/>
        <a:effectLst/>
      </c:spPr>
    </c:title>
    <c:autoTitleDeleted val="1"/>
    <c:plotArea>
      <c:layout>
        <c:manualLayout>
          <c:layoutTarget val="inner"/>
          <c:xMode val="edge"/>
          <c:yMode val="edge"/>
          <c:x val="0.0416944"/>
          <c:y val="0.0577099"/>
          <c:w val="0.953306"/>
          <c:h val="0.839024"/>
        </c:manualLayout>
      </c:layout>
      <c:barChart>
        <c:barDir val="col"/>
        <c:grouping val="clustered"/>
        <c:varyColors val="0"/>
        <c:ser>
          <c:idx val="0"/>
          <c:order val="0"/>
          <c:tx>
            <c:strRef>
              <c:f>'CALCULOS'!$I$54:$I$56</c:f>
              <c:strCache>
                <c:ptCount val="1"/>
                <c:pt idx="0">
                  <c:v>Tabla de incertidumbres Repetibilidad</c:v>
                </c:pt>
              </c:strCache>
            </c:strRef>
          </c:tx>
          <c:spPr>
            <a:solidFill>
              <a:schemeClr val="accent1"/>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'CALCULOS'!$I$57:$I$75</c:f>
              <c:numCache>
                <c:ptCount val="17"/>
                <c:pt idx="2">
                  <c:v>0.003162</c:v>
                </c:pt>
                <c:pt idx="3">
                  <c:v>0.003162</c:v>
                </c:pt>
                <c:pt idx="4">
                  <c:v>0.003162</c:v>
                </c:pt>
                <c:pt idx="5">
                  <c:v>0.003162</c:v>
                </c:pt>
                <c:pt idx="6">
                  <c:v>0.003162</c:v>
                </c:pt>
                <c:pt idx="7">
                  <c:v>0.003162</c:v>
                </c:pt>
                <c:pt idx="8">
                  <c:v>0.003162</c:v>
                </c:pt>
                <c:pt idx="9">
                  <c:v>0.003162</c:v>
                </c:pt>
                <c:pt idx="10">
                  <c:v>0.003162</c:v>
                </c:pt>
                <c:pt idx="11">
                  <c:v>0.003162</c:v>
                </c:pt>
                <c:pt idx="12">
                  <c:v>0.003162</c:v>
                </c:pt>
                <c:pt idx="13">
                  <c:v>0.003162</c:v>
                </c:pt>
                <c:pt idx="14">
                  <c:v>0.003162</c:v>
                </c:pt>
                <c:pt idx="15">
                  <c:v>0.003162</c:v>
                </c:pt>
                <c:pt idx="16">
                  <c:v>0.003162</c:v>
                </c:pt>
                <c:pt idx="17">
                  <c:v>0.003162</c:v>
                </c:pt>
                <c:pt idx="18">
                  <c:v>0.003162</c:v>
                </c:pt>
              </c:numCache>
            </c:numRef>
          </c:val>
        </c:ser>
        <c:ser>
          <c:idx val="1"/>
          <c:order val="1"/>
          <c:tx>
            <c:strRef>
              <c:f>'CALCULOS'!$J$54:$J$56</c:f>
              <c:strCache>
                <c:ptCount val="1"/>
                <c:pt idx="0">
                  <c:v>Masa conv.</c:v>
                </c:pt>
              </c:strCache>
            </c:strRef>
          </c:tx>
          <c:spPr>
            <a:solidFill>
              <a:schemeClr val="accent2"/>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'CALCULOS'!$J$57:$J$75</c:f>
              <c:numCache>
                <c:ptCount val="17"/>
                <c:pt idx="2">
                  <c:v>0.000005</c:v>
                </c:pt>
                <c:pt idx="3">
                  <c:v>0.000027</c:v>
                </c:pt>
                <c:pt idx="4">
                  <c:v>0.000077</c:v>
                </c:pt>
                <c:pt idx="5">
                  <c:v>0.000103</c:v>
                </c:pt>
                <c:pt idx="6">
                  <c:v>0.000133</c:v>
                </c:pt>
                <c:pt idx="7">
                  <c:v>0.000160</c:v>
                </c:pt>
                <c:pt idx="8">
                  <c:v>0.000183</c:v>
                </c:pt>
                <c:pt idx="9">
                  <c:v>0.000233</c:v>
                </c:pt>
                <c:pt idx="10">
                  <c:v>0.000293</c:v>
                </c:pt>
                <c:pt idx="11">
                  <c:v>0.000317</c:v>
                </c:pt>
                <c:pt idx="12">
                  <c:v>0.000000</c:v>
                </c:pt>
                <c:pt idx="13">
                  <c:v>0.000000</c:v>
                </c:pt>
                <c:pt idx="14">
                  <c:v>0.000000</c:v>
                </c:pt>
                <c:pt idx="15">
                  <c:v>0.000000</c:v>
                </c:pt>
                <c:pt idx="16">
                  <c:v>0.000000</c:v>
                </c:pt>
                <c:pt idx="17">
                  <c:v>0.000000</c:v>
                </c:pt>
                <c:pt idx="18">
                  <c:v>0.000000</c:v>
                </c:pt>
              </c:numCache>
            </c:numRef>
          </c:val>
        </c:ser>
        <c:ser>
          <c:idx val="2"/>
          <c:order val="2"/>
          <c:tx>
            <c:strRef>
              <c:f>'CALCULOS'!$K$54:$K$56</c:f>
              <c:strCache>
                <c:ptCount val="1"/>
                <c:pt idx="0">
                  <c:v>Deriva pesas</c:v>
                </c:pt>
              </c:strCache>
            </c:strRef>
          </c:tx>
          <c:spPr>
            <a:solidFill>
              <a:schemeClr val="accent3"/>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'CALCULOS'!$K$57:$K$75</c:f>
              <c:numCache>
                <c:ptCount val="17"/>
                <c:pt idx="2">
                  <c:v>0.000006</c:v>
                </c:pt>
                <c:pt idx="3">
                  <c:v>0.000031</c:v>
                </c:pt>
                <c:pt idx="4">
                  <c:v>0.000089</c:v>
                </c:pt>
                <c:pt idx="5">
                  <c:v>0.000119</c:v>
                </c:pt>
                <c:pt idx="6">
                  <c:v>0.000154</c:v>
                </c:pt>
                <c:pt idx="7">
                  <c:v>0.000185</c:v>
                </c:pt>
                <c:pt idx="8">
                  <c:v>0.000212</c:v>
                </c:pt>
                <c:pt idx="9">
                  <c:v>0.000269</c:v>
                </c:pt>
                <c:pt idx="10">
                  <c:v>0.000339</c:v>
                </c:pt>
                <c:pt idx="11">
                  <c:v>0.000366</c:v>
                </c:pt>
                <c:pt idx="12">
                  <c:v>0.000000</c:v>
                </c:pt>
                <c:pt idx="13">
                  <c:v>0.000000</c:v>
                </c:pt>
                <c:pt idx="14">
                  <c:v>0.000000</c:v>
                </c:pt>
                <c:pt idx="15">
                  <c:v>0.000000</c:v>
                </c:pt>
                <c:pt idx="16">
                  <c:v>0.000000</c:v>
                </c:pt>
                <c:pt idx="17">
                  <c:v>0.000000</c:v>
                </c:pt>
                <c:pt idx="18">
                  <c:v>0.000000</c:v>
                </c:pt>
              </c:numCache>
            </c:numRef>
          </c:val>
        </c:ser>
        <c:ser>
          <c:idx val="3"/>
          <c:order val="3"/>
          <c:tx>
            <c:strRef>
              <c:f>'CALCULOS'!$L$54:$L$56</c:f>
              <c:strCache>
                <c:ptCount val="1"/>
                <c:pt idx="0">
                  <c:v>Indicacion sin carga</c:v>
                </c:pt>
              </c:strCache>
            </c:strRef>
          </c:tx>
          <c:spPr>
            <a:solidFill>
              <a:schemeClr val="accent4"/>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'CALCULOS'!$L$57:$L$75</c:f>
              <c:numCache>
                <c:ptCount val="17"/>
                <c:pt idx="2">
                  <c:v>0.002887</c:v>
                </c:pt>
                <c:pt idx="3">
                  <c:v>0.002887</c:v>
                </c:pt>
                <c:pt idx="4">
                  <c:v>0.002887</c:v>
                </c:pt>
                <c:pt idx="5">
                  <c:v>0.002887</c:v>
                </c:pt>
                <c:pt idx="6">
                  <c:v>0.002887</c:v>
                </c:pt>
                <c:pt idx="7">
                  <c:v>0.002887</c:v>
                </c:pt>
                <c:pt idx="8">
                  <c:v>0.002887</c:v>
                </c:pt>
                <c:pt idx="9">
                  <c:v>0.002887</c:v>
                </c:pt>
                <c:pt idx="10">
                  <c:v>0.002887</c:v>
                </c:pt>
                <c:pt idx="11">
                  <c:v>0.002887</c:v>
                </c:pt>
                <c:pt idx="12">
                  <c:v>0.002887</c:v>
                </c:pt>
                <c:pt idx="13">
                  <c:v>0.002887</c:v>
                </c:pt>
                <c:pt idx="14">
                  <c:v>0.002887</c:v>
                </c:pt>
                <c:pt idx="15">
                  <c:v>0.002887</c:v>
                </c:pt>
                <c:pt idx="16">
                  <c:v>0.002887</c:v>
                </c:pt>
                <c:pt idx="17">
                  <c:v>0.002887</c:v>
                </c:pt>
                <c:pt idx="18">
                  <c:v>0.002887</c:v>
                </c:pt>
              </c:numCache>
            </c:numRef>
          </c:val>
        </c:ser>
        <c:ser>
          <c:idx val="4"/>
          <c:order val="4"/>
          <c:tx>
            <c:strRef>
              <c:f>'CALCULOS'!$M$54:$M$56</c:f>
              <c:strCache>
                <c:ptCount val="1"/>
                <c:pt idx="0">
                  <c:v>Indicacion con carga</c:v>
                </c:pt>
              </c:strCache>
            </c:strRef>
          </c:tx>
          <c:spPr>
            <a:solidFill>
              <a:schemeClr val="accent5"/>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'CALCULOS'!$M$57:$M$75</c:f>
              <c:numCache>
                <c:ptCount val="17"/>
                <c:pt idx="2">
                  <c:v>0.002887</c:v>
                </c:pt>
                <c:pt idx="3">
                  <c:v>0.002887</c:v>
                </c:pt>
                <c:pt idx="4">
                  <c:v>0.002887</c:v>
                </c:pt>
                <c:pt idx="5">
                  <c:v>0.002887</c:v>
                </c:pt>
                <c:pt idx="6">
                  <c:v>0.002887</c:v>
                </c:pt>
                <c:pt idx="7">
                  <c:v>0.002887</c:v>
                </c:pt>
                <c:pt idx="8">
                  <c:v>0.002887</c:v>
                </c:pt>
                <c:pt idx="9">
                  <c:v>0.002887</c:v>
                </c:pt>
                <c:pt idx="10">
                  <c:v>0.002887</c:v>
                </c:pt>
                <c:pt idx="11">
                  <c:v>0.002887</c:v>
                </c:pt>
                <c:pt idx="12">
                  <c:v>0.002887</c:v>
                </c:pt>
                <c:pt idx="13">
                  <c:v>0.002887</c:v>
                </c:pt>
                <c:pt idx="14">
                  <c:v>0.002887</c:v>
                </c:pt>
                <c:pt idx="15">
                  <c:v>0.002887</c:v>
                </c:pt>
                <c:pt idx="16">
                  <c:v>0.002887</c:v>
                </c:pt>
                <c:pt idx="17">
                  <c:v>0.002887</c:v>
                </c:pt>
                <c:pt idx="18">
                  <c:v>0.002887</c:v>
                </c:pt>
              </c:numCache>
            </c:numRef>
          </c:val>
        </c:ser>
        <c:ser>
          <c:idx val="5"/>
          <c:order val="5"/>
          <c:tx>
            <c:strRef>
              <c:f>'CALCULOS'!$N$54:$N$56</c:f>
              <c:strCache>
                <c:ptCount val="1"/>
                <c:pt idx="0">
                  <c:v>Empuje del aire</c:v>
                </c:pt>
              </c:strCache>
            </c:strRef>
          </c:tx>
          <c:spPr>
            <a:solidFill>
              <a:schemeClr val="accent6"/>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'CALCULOS'!$N$57:$N$75</c:f>
              <c:numCache>
                <c:ptCount val="17"/>
                <c:pt idx="2">
                  <c:v>0.000004</c:v>
                </c:pt>
                <c:pt idx="3">
                  <c:v>0.000023</c:v>
                </c:pt>
                <c:pt idx="4">
                  <c:v>0.000066</c:v>
                </c:pt>
                <c:pt idx="5">
                  <c:v>0.000089</c:v>
                </c:pt>
                <c:pt idx="6">
                  <c:v>0.000115</c:v>
                </c:pt>
                <c:pt idx="7">
                  <c:v>0.000139</c:v>
                </c:pt>
                <c:pt idx="8">
                  <c:v>0.000159</c:v>
                </c:pt>
                <c:pt idx="9">
                  <c:v>0.000202</c:v>
                </c:pt>
                <c:pt idx="10">
                  <c:v>0.000254</c:v>
                </c:pt>
                <c:pt idx="11">
                  <c:v>0.000274</c:v>
                </c:pt>
                <c:pt idx="12">
                  <c:v>0.000000</c:v>
                </c:pt>
                <c:pt idx="13">
                  <c:v>0.000000</c:v>
                </c:pt>
                <c:pt idx="14">
                  <c:v>0.000000</c:v>
                </c:pt>
                <c:pt idx="15">
                  <c:v>0.000000</c:v>
                </c:pt>
                <c:pt idx="16">
                  <c:v>0.000000</c:v>
                </c:pt>
                <c:pt idx="17">
                  <c:v>0.000000</c:v>
                </c:pt>
                <c:pt idx="18">
                  <c:v>0.000000</c:v>
                </c:pt>
              </c:numCache>
            </c:numRef>
          </c:val>
        </c:ser>
        <c:ser>
          <c:idx val="6"/>
          <c:order val="6"/>
          <c:tx>
            <c:strRef>
              <c:f>'CALCULOS'!$O$54:$O$56</c:f>
              <c:strCache>
                <c:ptCount val="1"/>
                <c:pt idx="0">
                  <c:v>Convección</c:v>
                </c:pt>
              </c:strCache>
            </c:strRef>
          </c:tx>
          <c:spPr>
            <a:solidFill>
              <a:srgbClr val="2C4D75"/>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'CALCULOS'!$O$57:$O$75</c:f>
              <c:numCache>
                <c:ptCount val="17"/>
                <c:pt idx="2">
                  <c:v>0.000000</c:v>
                </c:pt>
                <c:pt idx="3">
                  <c:v>0.000000</c:v>
                </c:pt>
                <c:pt idx="4">
                  <c:v>0.000000</c:v>
                </c:pt>
                <c:pt idx="5">
                  <c:v>0.000000</c:v>
                </c:pt>
                <c:pt idx="6">
                  <c:v>0.000000</c:v>
                </c:pt>
                <c:pt idx="7">
                  <c:v>0.000000</c:v>
                </c:pt>
                <c:pt idx="8">
                  <c:v>0.000000</c:v>
                </c:pt>
                <c:pt idx="9">
                  <c:v>0.000000</c:v>
                </c:pt>
                <c:pt idx="10">
                  <c:v>0.000000</c:v>
                </c:pt>
                <c:pt idx="11">
                  <c:v>0.000000</c:v>
                </c:pt>
                <c:pt idx="12">
                  <c:v>0.000000</c:v>
                </c:pt>
                <c:pt idx="13">
                  <c:v>0.000000</c:v>
                </c:pt>
                <c:pt idx="14">
                  <c:v>0.000000</c:v>
                </c:pt>
                <c:pt idx="15">
                  <c:v>0.000000</c:v>
                </c:pt>
                <c:pt idx="16">
                  <c:v>0.000000</c:v>
                </c:pt>
                <c:pt idx="17">
                  <c:v>0.000000</c:v>
                </c:pt>
                <c:pt idx="18">
                  <c:v>0.000000</c:v>
                </c:pt>
              </c:numCache>
            </c:numRef>
          </c:val>
        </c:ser>
        <c:ser>
          <c:idx val="7"/>
          <c:order val="7"/>
          <c:tx>
            <c:strRef>
              <c:f>'CALCULOS'!$P$54:$P$56</c:f>
              <c:strCache>
                <c:ptCount val="1"/>
                <c:pt idx="0">
                  <c:v>Carga excentrica</c:v>
                </c:pt>
              </c:strCache>
            </c:strRef>
          </c:tx>
          <c:spPr>
            <a:solidFill>
              <a:srgbClr val="772C2A"/>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'CALCULOS'!$P$57:$P$75</c:f>
              <c:numCache>
                <c:ptCount val="17"/>
                <c:pt idx="2">
                  <c:v>0.000029</c:v>
                </c:pt>
                <c:pt idx="3">
                  <c:v>0.000058</c:v>
                </c:pt>
                <c:pt idx="4">
                  <c:v>0.000087</c:v>
                </c:pt>
                <c:pt idx="5">
                  <c:v>0.000577</c:v>
                </c:pt>
                <c:pt idx="6">
                  <c:v>0.000866</c:v>
                </c:pt>
                <c:pt idx="7">
                  <c:v>0.002887</c:v>
                </c:pt>
                <c:pt idx="8">
                  <c:v>0.004619</c:v>
                </c:pt>
                <c:pt idx="9">
                  <c:v>0.005196</c:v>
                </c:pt>
                <c:pt idx="10">
                  <c:v>0.005774</c:v>
                </c:pt>
                <c:pt idx="11">
                  <c:v>0.006928</c:v>
                </c:pt>
                <c:pt idx="12">
                  <c:v>0.000000</c:v>
                </c:pt>
                <c:pt idx="13">
                  <c:v>0.000000</c:v>
                </c:pt>
                <c:pt idx="14">
                  <c:v>0.000000</c:v>
                </c:pt>
                <c:pt idx="15">
                  <c:v>0.000000</c:v>
                </c:pt>
                <c:pt idx="16">
                  <c:v>0.000000</c:v>
                </c:pt>
                <c:pt idx="17">
                  <c:v>0.000000</c:v>
                </c:pt>
                <c:pt idx="18">
                  <c:v>0.000000</c:v>
                </c:pt>
              </c:numCache>
            </c:numRef>
          </c:val>
        </c:ser>
        <c:ser>
          <c:idx val="8"/>
          <c:order val="8"/>
          <c:tx>
            <c:strRef>
              <c:f>'CALCULOS'!$Q$54:$Q$56</c:f>
              <c:strCache>
                <c:ptCount val="1"/>
                <c:pt idx="0">
                  <c:v>Error</c:v>
                </c:pt>
              </c:strCache>
            </c:strRef>
          </c:tx>
          <c:spPr>
            <a:solidFill>
              <a:srgbClr val="5F7530"/>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'CALCULOS'!$Q$57:$Q$75</c:f>
              <c:numCache>
                <c:ptCount val="17"/>
                <c:pt idx="2">
                  <c:v>-0.000006</c:v>
                </c:pt>
                <c:pt idx="3">
                  <c:v>0.000039</c:v>
                </c:pt>
                <c:pt idx="4">
                  <c:v>-0.000061</c:v>
                </c:pt>
                <c:pt idx="5">
                  <c:v>-0.010080</c:v>
                </c:pt>
                <c:pt idx="6">
                  <c:v>-0.009960</c:v>
                </c:pt>
                <c:pt idx="7">
                  <c:v>0.010079</c:v>
                </c:pt>
                <c:pt idx="8">
                  <c:v>0.030118</c:v>
                </c:pt>
                <c:pt idx="9">
                  <c:v>0.019960</c:v>
                </c:pt>
                <c:pt idx="10">
                  <c:v>0.029059</c:v>
                </c:pt>
                <c:pt idx="11">
                  <c:v>0.038920</c:v>
                </c:pt>
                <c:pt idx="12">
                  <c:v>0.000000</c:v>
                </c:pt>
                <c:pt idx="13">
                  <c:v>0.000000</c:v>
                </c:pt>
                <c:pt idx="14">
                  <c:v>0.000000</c:v>
                </c:pt>
                <c:pt idx="15">
                  <c:v>0.000000</c:v>
                </c:pt>
                <c:pt idx="16">
                  <c:v>0.000000</c:v>
                </c:pt>
                <c:pt idx="17">
                  <c:v>0.000000</c:v>
                </c:pt>
                <c:pt idx="18">
                  <c:v>0.000000</c:v>
                </c:pt>
              </c:numCache>
            </c:numRef>
          </c:val>
        </c:ser>
        <c:ser>
          <c:idx val="9"/>
          <c:order val="9"/>
          <c:tx>
            <c:strRef>
              <c:f>'CALCULOS'!$R$54:$R$56</c:f>
              <c:strCache>
                <c:ptCount val="1"/>
                <c:pt idx="0">
                  <c:v>u comb.</c:v>
                </c:pt>
              </c:strCache>
            </c:strRef>
          </c:tx>
          <c:spPr>
            <a:solidFill>
              <a:srgbClr val="4D3B62"/>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'CALCULOS'!$R$57:$R$75</c:f>
              <c:numCache>
                <c:ptCount val="17"/>
                <c:pt idx="2">
                  <c:v>0.005164</c:v>
                </c:pt>
                <c:pt idx="3">
                  <c:v>0.005165</c:v>
                </c:pt>
                <c:pt idx="4">
                  <c:v>0.005166</c:v>
                </c:pt>
                <c:pt idx="5">
                  <c:v>0.005199</c:v>
                </c:pt>
                <c:pt idx="6">
                  <c:v>0.005241</c:v>
                </c:pt>
                <c:pt idx="7">
                  <c:v>0.005923</c:v>
                </c:pt>
                <c:pt idx="8">
                  <c:v>0.006936</c:v>
                </c:pt>
                <c:pt idx="9">
                  <c:v>0.007337</c:v>
                </c:pt>
                <c:pt idx="10">
                  <c:v>0.007763</c:v>
                </c:pt>
                <c:pt idx="11">
                  <c:v>0.008659</c:v>
                </c:pt>
                <c:pt idx="12">
                  <c:v>0.005164</c:v>
                </c:pt>
                <c:pt idx="13">
                  <c:v>0.005164</c:v>
                </c:pt>
                <c:pt idx="14">
                  <c:v>0.005164</c:v>
                </c:pt>
                <c:pt idx="15">
                  <c:v>0.005164</c:v>
                </c:pt>
                <c:pt idx="16">
                  <c:v>0.005164</c:v>
                </c:pt>
                <c:pt idx="17">
                  <c:v>0.005164</c:v>
                </c:pt>
                <c:pt idx="18">
                  <c:v>0.005164</c:v>
                </c:pt>
              </c:numCache>
            </c:numRef>
          </c:val>
        </c:ser>
        <c:ser>
          <c:idx val="10"/>
          <c:order val="10"/>
          <c:tx>
            <c:strRef>
              <c:f>'CALCULOS'!$S$54:$S$56</c:f>
              <c:strCache>
                <c:ptCount val="1"/>
                <c:pt idx="0">
                  <c:v>U k=2</c:v>
                </c:pt>
              </c:strCache>
            </c:strRef>
          </c:tx>
          <c:spPr>
            <a:solidFill>
              <a:srgbClr val="276A7C"/>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'CALCULOS'!$B$57:$B$75</c:f>
              <c:strCache>
                <c:ptCount val="19"/>
                <c:pt idx="0">
                  <c:v>Carga</c:v>
                </c:pt>
                <c:pt idx="1">
                  <c:v>Nominal</c:v>
                </c:pt>
                <c:pt idx="2">
                  <c:v>5</c:v>
                </c:pt>
                <c:pt idx="3">
                  <c:v>10</c:v>
                </c:pt>
                <c:pt idx="4">
                  <c:v>15</c:v>
                </c:pt>
                <c:pt idx="5">
                  <c:v>100</c:v>
                </c:pt>
                <c:pt idx="6">
                  <c:v>150</c:v>
                </c:pt>
                <c:pt idx="7">
                  <c:v>500</c:v>
                </c:pt>
                <c:pt idx="8">
                  <c:v>800</c:v>
                </c:pt>
                <c:pt idx="9">
                  <c:v>900</c:v>
                </c:pt>
                <c:pt idx="10">
                  <c:v>1000</c:v>
                </c:pt>
                <c:pt idx="11">
                  <c:v>1200</c:v>
                </c:pt>
                <c:pt idx="12">
                  <c:v/>
                </c:pt>
                <c:pt idx="13">
                  <c:v/>
                </c:pt>
                <c:pt idx="14">
                  <c:v/>
                </c:pt>
                <c:pt idx="15">
                  <c:v/>
                </c:pt>
                <c:pt idx="16">
                  <c:v/>
                </c:pt>
                <c:pt idx="17">
                  <c:v/>
                </c:pt>
                <c:pt idx="18">
                  <c:v/>
                </c:pt>
              </c:strCache>
            </c:strRef>
          </c:cat>
          <c:val>
            <c:numRef>
              <c:f>'CALCULOS'!$S$57:$S$75</c:f>
              <c:numCache>
                <c:ptCount val="17"/>
                <c:pt idx="2">
                  <c:v>0.010328</c:v>
                </c:pt>
                <c:pt idx="3">
                  <c:v>0.010329</c:v>
                </c:pt>
                <c:pt idx="4">
                  <c:v>0.010333</c:v>
                </c:pt>
                <c:pt idx="5">
                  <c:v>0.010399</c:v>
                </c:pt>
                <c:pt idx="6">
                  <c:v>0.010483</c:v>
                </c:pt>
                <c:pt idx="7">
                  <c:v>0.011846</c:v>
                </c:pt>
                <c:pt idx="8">
                  <c:v>0.013872</c:v>
                </c:pt>
                <c:pt idx="9">
                  <c:v>0.014675</c:v>
                </c:pt>
                <c:pt idx="10">
                  <c:v>0.015526</c:v>
                </c:pt>
                <c:pt idx="11">
                  <c:v>0.017318</c:v>
                </c:pt>
                <c:pt idx="12">
                  <c:v>0.010328</c:v>
                </c:pt>
                <c:pt idx="13">
                  <c:v>0.010328</c:v>
                </c:pt>
                <c:pt idx="14">
                  <c:v>0.010328</c:v>
                </c:pt>
                <c:pt idx="15">
                  <c:v>0.010328</c:v>
                </c:pt>
                <c:pt idx="16">
                  <c:v>0.010328</c:v>
                </c:pt>
                <c:pt idx="17">
                  <c:v>0.010328</c:v>
                </c:pt>
                <c:pt idx="18">
                  <c:v>0.010328</c:v>
                </c:pt>
              </c:numCache>
            </c:numRef>
          </c:val>
        </c:ser>
        <c:gapWidth val="219"/>
        <c:overlap val="-27"/>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0.015"/>
        <c:minorUnit val="0.0075"/>
      </c:valAx>
      <c:spPr>
        <a:noFill/>
        <a:ln w="12700" cap="flat">
          <a:noFill/>
          <a:miter lim="400000"/>
        </a:ln>
        <a:effectLst/>
      </c:spPr>
    </c:plotArea>
    <c:legend>
      <c:legendPos val="b"/>
      <c:layout>
        <c:manualLayout>
          <c:xMode val="edge"/>
          <c:yMode val="edge"/>
          <c:x val="0.0310989"/>
          <c:y val="0.944014"/>
          <c:w val="0.929831"/>
          <c:h val="0.0559862"/>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3077"/>
          <c:y val="0.0431344"/>
          <c:w val="0.834847"/>
          <c:h val="0.832313"/>
        </c:manualLayout>
      </c:layout>
      <c:lineChart>
        <c:grouping val="standard"/>
        <c:varyColors val="0"/>
        <c:ser>
          <c:idx val="0"/>
          <c:order val="0"/>
          <c:tx>
            <c:v>Series1</c:v>
          </c:tx>
          <c:spPr>
            <a:solidFill>
              <a:srgbClr val="000000"/>
            </a:solidFill>
            <a:ln w="38100" cap="flat">
              <a:solidFill>
                <a:srgbClr val="C0C0C0"/>
              </a:solidFill>
              <a:prstDash val="solid"/>
              <a:round/>
            </a:ln>
            <a:effectLst/>
          </c:spPr>
          <c:marker>
            <c:symbol val="circle"/>
            <c:size val="4"/>
            <c:spPr>
              <a:solidFill>
                <a:srgbClr val="000000"/>
              </a:solidFill>
              <a:ln w="9525" cap="flat">
                <a:solidFill>
                  <a:srgbClr val="000000"/>
                </a:solidFill>
                <a:prstDash val="solid"/>
                <a:round/>
              </a:ln>
              <a:effectLst/>
            </c:spPr>
          </c:marker>
          <c:dLbls>
            <c:numFmt formatCode="0.000" sourceLinked="0"/>
            <c:txPr>
              <a:bodyPr/>
              <a:lstStyle/>
              <a:p>
                <a:pPr>
                  <a:defRPr b="0" i="0" strike="noStrike" sz="700" u="none">
                    <a:solidFill>
                      <a:srgbClr val="000000"/>
                    </a:solidFill>
                    <a:latin typeface="Arial"/>
                  </a:defRPr>
                </a:pPr>
              </a:p>
            </c:txPr>
            <c:dLblPos val="t"/>
            <c:showLegendKey val="0"/>
            <c:showVal val="0"/>
            <c:showCatName val="0"/>
            <c:showSerName val="0"/>
            <c:showPercent val="0"/>
            <c:showBubbleSize val="0"/>
            <c:showLeaderLines val="0"/>
          </c:dLbls>
          <c:cat>
            <c:strRef>
              <c:f>'Resultados I'!$M$47:$M$56</c:f>
              <c:strCache>
                <c:ptCount val="10"/>
                <c:pt idx="0">
                  <c:v>5</c:v>
                </c:pt>
                <c:pt idx="1">
                  <c:v/>
                </c:pt>
                <c:pt idx="2">
                  <c:v/>
                </c:pt>
                <c:pt idx="3">
                  <c:v>10</c:v>
                </c:pt>
                <c:pt idx="4">
                  <c:v/>
                </c:pt>
                <c:pt idx="5">
                  <c:v>15</c:v>
                </c:pt>
                <c:pt idx="6">
                  <c:v>100</c:v>
                </c:pt>
                <c:pt idx="7">
                  <c:v>150</c:v>
                </c:pt>
                <c:pt idx="8">
                  <c:v>500</c:v>
                </c:pt>
                <c:pt idx="9">
                  <c:v>800</c:v>
                </c:pt>
              </c:strCache>
            </c:strRef>
          </c:cat>
          <c:val>
            <c:numRef>
              <c:f>'Resultados I'!$M$31:$M$40</c:f>
              <c:numCache>
                <c:ptCount val="10"/>
                <c:pt idx="0">
                  <c:v>-0.000006</c:v>
                </c:pt>
                <c:pt idx="1">
                  <c:v>0.000039</c:v>
                </c:pt>
                <c:pt idx="2">
                  <c:v>-0.000061</c:v>
                </c:pt>
                <c:pt idx="3">
                  <c:v>-0.010080</c:v>
                </c:pt>
                <c:pt idx="4">
                  <c:v>-0.009960</c:v>
                </c:pt>
                <c:pt idx="5">
                  <c:v>0.010079</c:v>
                </c:pt>
                <c:pt idx="6">
                  <c:v>0.030118</c:v>
                </c:pt>
                <c:pt idx="7">
                  <c:v>0.019960</c:v>
                </c:pt>
                <c:pt idx="8">
                  <c:v>0.029059</c:v>
                </c:pt>
                <c:pt idx="9">
                  <c:v>0.038920</c:v>
                </c:pt>
              </c:numCache>
            </c:numRef>
          </c:val>
          <c:smooth val="0"/>
        </c:ser>
        <c:ser>
          <c:idx val="1"/>
          <c:order val="1"/>
          <c:tx>
            <c:v>Series4</c:v>
          </c:tx>
          <c:spPr>
            <a:noFill/>
            <a:ln w="12700" cap="flat">
              <a:solidFill>
                <a:srgbClr val="000000"/>
              </a:solidFill>
              <a:prstDash val="lgDashDot"/>
              <a:round/>
            </a:ln>
            <a:effectLst/>
          </c:spPr>
          <c:marker>
            <c:symbol val="none"/>
            <c:size val="4"/>
            <c:spPr>
              <a:noFill/>
              <a:ln w="12700" cap="flat">
                <a:solidFill>
                  <a:srgbClr val="000000"/>
                </a:solidFill>
                <a:prstDash val="lgDashDot"/>
                <a:round/>
              </a:ln>
              <a:effectLst/>
            </c:spPr>
          </c:marker>
          <c:dLbls>
            <c:numFmt formatCode="0.000" sourceLinked="0"/>
            <c:txPr>
              <a:bodyPr/>
              <a:lstStyle/>
              <a:p>
                <a:pPr>
                  <a:defRPr b="0" i="0" strike="noStrike" sz="700" u="none">
                    <a:solidFill>
                      <a:srgbClr val="000000"/>
                    </a:solidFill>
                    <a:latin typeface="Arial"/>
                  </a:defRPr>
                </a:pPr>
              </a:p>
            </c:txPr>
            <c:dLblPos val="t"/>
            <c:showLegendKey val="0"/>
            <c:showVal val="0"/>
            <c:showCatName val="0"/>
            <c:showSerName val="0"/>
            <c:showPercent val="0"/>
            <c:showBubbleSize val="0"/>
            <c:showLeaderLines val="0"/>
          </c:dLbls>
          <c:cat>
            <c:strRef>
              <c:f>'Resultados I'!$M$47:$M$56</c:f>
              <c:strCache>
                <c:ptCount val="10"/>
                <c:pt idx="0">
                  <c:v>5</c:v>
                </c:pt>
                <c:pt idx="1">
                  <c:v/>
                </c:pt>
                <c:pt idx="2">
                  <c:v/>
                </c:pt>
                <c:pt idx="3">
                  <c:v>10</c:v>
                </c:pt>
                <c:pt idx="4">
                  <c:v/>
                </c:pt>
                <c:pt idx="5">
                  <c:v>15</c:v>
                </c:pt>
                <c:pt idx="6">
                  <c:v>100</c:v>
                </c:pt>
                <c:pt idx="7">
                  <c:v>150</c:v>
                </c:pt>
                <c:pt idx="8">
                  <c:v>500</c:v>
                </c:pt>
                <c:pt idx="9">
                  <c:v>800</c:v>
                </c:pt>
              </c:strCache>
            </c:strRef>
          </c:cat>
          <c:val>
            <c:numRef>
              <c:f>'Resultados I'!$P$31:$P$40</c:f>
              <c:numCache>
                <c:ptCount val="10"/>
                <c:pt idx="0">
                  <c:v>0.010322</c:v>
                </c:pt>
                <c:pt idx="1">
                  <c:v>0.010368</c:v>
                </c:pt>
                <c:pt idx="2">
                  <c:v>0.010272</c:v>
                </c:pt>
                <c:pt idx="3">
                  <c:v>0.000319</c:v>
                </c:pt>
                <c:pt idx="4">
                  <c:v>0.000523</c:v>
                </c:pt>
                <c:pt idx="5">
                  <c:v>0.021925</c:v>
                </c:pt>
                <c:pt idx="6">
                  <c:v>0.043990</c:v>
                </c:pt>
                <c:pt idx="7">
                  <c:v>0.034635</c:v>
                </c:pt>
                <c:pt idx="8">
                  <c:v>0.044585</c:v>
                </c:pt>
                <c:pt idx="9">
                  <c:v>0.056238</c:v>
                </c:pt>
              </c:numCache>
            </c:numRef>
          </c:val>
          <c:smooth val="0"/>
        </c:ser>
        <c:ser>
          <c:idx val="2"/>
          <c:order val="2"/>
          <c:tx>
            <c:v>Series5</c:v>
          </c:tx>
          <c:spPr>
            <a:noFill/>
            <a:ln w="12700" cap="flat">
              <a:solidFill>
                <a:srgbClr val="000000"/>
              </a:solidFill>
              <a:prstDash val="lgDashDot"/>
              <a:round/>
            </a:ln>
            <a:effectLst/>
          </c:spPr>
          <c:marker>
            <c:symbol val="none"/>
            <c:size val="4"/>
            <c:spPr>
              <a:noFill/>
              <a:ln w="12700" cap="flat">
                <a:solidFill>
                  <a:srgbClr val="000000"/>
                </a:solidFill>
                <a:prstDash val="lgDashDot"/>
                <a:round/>
              </a:ln>
              <a:effectLst/>
            </c:spPr>
          </c:marker>
          <c:dLbls>
            <c:numFmt formatCode="0.000" sourceLinked="0"/>
            <c:txPr>
              <a:bodyPr/>
              <a:lstStyle/>
              <a:p>
                <a:pPr>
                  <a:defRPr b="0" i="0" strike="noStrike" sz="700" u="none">
                    <a:solidFill>
                      <a:srgbClr val="000000"/>
                    </a:solidFill>
                    <a:latin typeface="Arial"/>
                  </a:defRPr>
                </a:pPr>
              </a:p>
            </c:txPr>
            <c:dLblPos val="t"/>
            <c:showLegendKey val="0"/>
            <c:showVal val="0"/>
            <c:showCatName val="0"/>
            <c:showSerName val="0"/>
            <c:showPercent val="0"/>
            <c:showBubbleSize val="0"/>
            <c:showLeaderLines val="0"/>
          </c:dLbls>
          <c:cat>
            <c:strRef>
              <c:f>'Resultados I'!$M$47:$M$56</c:f>
              <c:strCache>
                <c:ptCount val="10"/>
                <c:pt idx="0">
                  <c:v>5</c:v>
                </c:pt>
                <c:pt idx="1">
                  <c:v/>
                </c:pt>
                <c:pt idx="2">
                  <c:v/>
                </c:pt>
                <c:pt idx="3">
                  <c:v>10</c:v>
                </c:pt>
                <c:pt idx="4">
                  <c:v/>
                </c:pt>
                <c:pt idx="5">
                  <c:v>15</c:v>
                </c:pt>
                <c:pt idx="6">
                  <c:v>100</c:v>
                </c:pt>
                <c:pt idx="7">
                  <c:v>150</c:v>
                </c:pt>
                <c:pt idx="8">
                  <c:v>500</c:v>
                </c:pt>
                <c:pt idx="9">
                  <c:v>800</c:v>
                </c:pt>
              </c:strCache>
            </c:strRef>
          </c:cat>
          <c:val>
            <c:numRef>
              <c:f>'Resultados I'!$Q$31:$Q$40</c:f>
              <c:numCache>
                <c:ptCount val="10"/>
                <c:pt idx="0">
                  <c:v>-0.010334</c:v>
                </c:pt>
                <c:pt idx="1">
                  <c:v>-0.010290</c:v>
                </c:pt>
                <c:pt idx="2">
                  <c:v>-0.010394</c:v>
                </c:pt>
                <c:pt idx="3">
                  <c:v>-0.020479</c:v>
                </c:pt>
                <c:pt idx="4">
                  <c:v>-0.020443</c:v>
                </c:pt>
                <c:pt idx="5">
                  <c:v>-0.001767</c:v>
                </c:pt>
                <c:pt idx="6">
                  <c:v>0.016246</c:v>
                </c:pt>
                <c:pt idx="7">
                  <c:v>0.005285</c:v>
                </c:pt>
                <c:pt idx="8">
                  <c:v>0.013533</c:v>
                </c:pt>
                <c:pt idx="9">
                  <c:v>0.021602</c:v>
                </c:pt>
              </c:numCache>
            </c:numRef>
          </c:val>
          <c:smooth val="0"/>
        </c:ser>
        <c:marker val="1"/>
        <c:axId val="2094734552"/>
        <c:axId val="2094734553"/>
      </c:lineChart>
      <c:catAx>
        <c:axId val="2094734552"/>
        <c:scaling>
          <c:orientation val="minMax"/>
        </c:scaling>
        <c:delete val="0"/>
        <c:axPos val="b"/>
        <c:numFmt formatCode="0" sourceLinked="0"/>
        <c:majorTickMark val="cross"/>
        <c:minorTickMark val="none"/>
        <c:tickLblPos val="low"/>
        <c:spPr>
          <a:ln w="12700" cap="flat">
            <a:solidFill>
              <a:srgbClr val="000000"/>
            </a:solidFill>
            <a:prstDash val="solid"/>
            <a:round/>
          </a:ln>
        </c:spPr>
        <c:txPr>
          <a:bodyPr rot="-5400000"/>
          <a:lstStyle/>
          <a:p>
            <a:pPr>
              <a:defRPr b="0" i="0" strike="noStrike" sz="700" u="none">
                <a:solidFill>
                  <a:srgbClr val="000000"/>
                </a:solidFill>
                <a:latin typeface="Arial"/>
              </a:defRPr>
            </a:pPr>
          </a:p>
        </c:txPr>
        <c:crossAx val="2094734553"/>
        <c:crosses val="autoZero"/>
        <c:auto val="1"/>
        <c:lblAlgn val="ctr"/>
        <c:noMultiLvlLbl val="1"/>
      </c:catAx>
      <c:valAx>
        <c:axId val="2094734553"/>
        <c:scaling>
          <c:orientation val="minMax"/>
        </c:scaling>
        <c:delete val="0"/>
        <c:axPos val="l"/>
        <c:title>
          <c:tx>
            <c:rich>
              <a:bodyPr rot="-5400000"/>
              <a:lstStyle/>
              <a:p>
                <a:pPr>
                  <a:defRPr b="0" i="0" strike="noStrike" sz="700" u="none">
                    <a:solidFill>
                      <a:srgbClr val="000000"/>
                    </a:solidFill>
                    <a:latin typeface="Arial"/>
                  </a:defRPr>
                </a:pPr>
                <a:r>
                  <a:rPr b="0" i="0" strike="noStrike" sz="700" u="none">
                    <a:solidFill>
                      <a:srgbClr val="000000"/>
                    </a:solidFill>
                    <a:latin typeface="Arial"/>
                  </a:rPr>
                  <a:t>Error ± incertidumbre en g</a:t>
                </a:r>
              </a:p>
            </c:rich>
          </c:tx>
          <c:layout/>
          <c:overlay val="1"/>
        </c:title>
        <c:numFmt formatCode="0.000" sourceLinked="0"/>
        <c:majorTickMark val="cross"/>
        <c:minorTickMark val="none"/>
        <c:tickLblPos val="nextTo"/>
        <c:spPr>
          <a:ln w="12700" cap="flat">
            <a:solidFill>
              <a:srgbClr val="000000"/>
            </a:solidFill>
            <a:prstDash val="solid"/>
            <a:round/>
          </a:ln>
        </c:spPr>
        <c:txPr>
          <a:bodyPr rot="0"/>
          <a:lstStyle/>
          <a:p>
            <a:pPr>
              <a:defRPr b="0" i="0" strike="noStrike" sz="700" u="none">
                <a:solidFill>
                  <a:srgbClr val="000000"/>
                </a:solidFill>
                <a:latin typeface="Arial"/>
              </a:defRPr>
            </a:pPr>
          </a:p>
        </c:txPr>
        <c:crossAx val="2094734552"/>
        <c:crosses val="autoZero"/>
        <c:crossBetween val="between"/>
        <c:majorUnit val="0.0225"/>
        <c:minorUnit val="0.01125"/>
      </c:valAx>
      <c:spPr>
        <a:noFill/>
        <a:ln w="12700" cap="flat">
          <a:noFill/>
          <a:miter lim="400000"/>
        </a:ln>
        <a:effectLst/>
      </c:spPr>
    </c:plotArea>
    <c:plotVisOnly val="0"/>
    <c:dispBlanksAs val="gap"/>
  </c:chart>
  <c:spPr>
    <a:solidFill>
      <a:srgbClr val="FFFFFF"/>
    </a:solidFill>
    <a:ln w="12700" cap="flat">
      <a:solidFill>
        <a:srgbClr val="000000"/>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s>

</file>

<file path=xl/drawings/_rels/drawing4.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png"/><Relationship Id="rId7" Type="http://schemas.openxmlformats.org/officeDocument/2006/relationships/image" Target="../media/image5.png"/><Relationship Id="rId8" Type="http://schemas.openxmlformats.org/officeDocument/2006/relationships/image" Target="../media/image6.png"/><Relationship Id="rId9" Type="http://schemas.openxmlformats.org/officeDocument/2006/relationships/image" Target="../media/image2.png"/><Relationship Id="rId10" Type="http://schemas.openxmlformats.org/officeDocument/2006/relationships/image" Target="../media/image9.png"/><Relationship Id="rId11" Type="http://schemas.openxmlformats.org/officeDocument/2006/relationships/image" Target="../media/image3.png"/><Relationship Id="rId12" Type="http://schemas.openxmlformats.org/officeDocument/2006/relationships/image" Target="../media/image7.png"/><Relationship Id="rId13" Type="http://schemas.openxmlformats.org/officeDocument/2006/relationships/image" Target="../media/image4.png"/><Relationship Id="rId14" Type="http://schemas.openxmlformats.org/officeDocument/2006/relationships/image" Target="../media/image8.png"/><Relationship Id="rId15" Type="http://schemas.openxmlformats.org/officeDocument/2006/relationships/image" Target="../media/image10.png"/><Relationship Id="rId16" Type="http://schemas.openxmlformats.org/officeDocument/2006/relationships/image" Target="../media/image18.png"/><Relationship Id="rId17" Type="http://schemas.openxmlformats.org/officeDocument/2006/relationships/image" Target="../media/image19.png"/><Relationship Id="rId18" Type="http://schemas.openxmlformats.org/officeDocument/2006/relationships/image" Target="../media/image20.png"/><Relationship Id="rId19" Type="http://schemas.openxmlformats.org/officeDocument/2006/relationships/image" Target="../media/image21.png"/><Relationship Id="rId20" Type="http://schemas.openxmlformats.org/officeDocument/2006/relationships/chart" Target="../charts/chart2.xml"/></Relationships>

</file>

<file path=xl/drawings/_rels/drawing5.xml.rels><?xml version="1.0" encoding="UTF-8"?>
<Relationships xmlns="http://schemas.openxmlformats.org/package/2006/relationships"><Relationship Id="rId1" Type="http://schemas.openxmlformats.org/officeDocument/2006/relationships/image" Target="../media/image22.png"/></Relationships>

</file>

<file path=xl/drawings/_rels/drawing6.xml.rels><?xml version="1.0" encoding="UTF-8"?>
<Relationships xmlns="http://schemas.openxmlformats.org/package/2006/relationships"><Relationship Id="rId1" Type="http://schemas.openxmlformats.org/officeDocument/2006/relationships/image" Target="../media/image23.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236024</xdr:colOff>
      <xdr:row>1</xdr:row>
      <xdr:rowOff>56847</xdr:rowOff>
    </xdr:from>
    <xdr:to>
      <xdr:col>11</xdr:col>
      <xdr:colOff>751882</xdr:colOff>
      <xdr:row>33</xdr:row>
      <xdr:rowOff>38469</xdr:rowOff>
    </xdr:to>
    <xdr:graphicFrame>
      <xdr:nvGraphicFramePr>
        <xdr:cNvPr id="2" name="Gráfico 1"/>
        <xdr:cNvGraphicFramePr/>
      </xdr:nvGraphicFramePr>
      <xdr:xfrm>
        <a:off x="236024" y="221947"/>
        <a:ext cx="8897859" cy="5264823"/>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16</xdr:col>
      <xdr:colOff>247650</xdr:colOff>
      <xdr:row>55</xdr:row>
      <xdr:rowOff>485775</xdr:rowOff>
    </xdr:from>
    <xdr:to>
      <xdr:col>16</xdr:col>
      <xdr:colOff>1228725</xdr:colOff>
      <xdr:row>57</xdr:row>
      <xdr:rowOff>19050</xdr:rowOff>
    </xdr:to>
    <xdr:pic>
      <xdr:nvPicPr>
        <xdr:cNvPr id="5" name="Picture 1" descr="Picture 1"/>
        <xdr:cNvPicPr>
          <a:picLocks noChangeAspect="1"/>
        </xdr:cNvPicPr>
      </xdr:nvPicPr>
      <xdr:blipFill>
        <a:blip r:embed="rId1">
          <a:extLst/>
        </a:blip>
        <a:stretch>
          <a:fillRect/>
        </a:stretch>
      </xdr:blipFill>
      <xdr:spPr>
        <a:xfrm>
          <a:off x="20072350" y="10420350"/>
          <a:ext cx="981075" cy="371475"/>
        </a:xfrm>
        <a:prstGeom prst="rect">
          <a:avLst/>
        </a:prstGeom>
        <a:ln w="12700" cap="flat">
          <a:noFill/>
          <a:miter lim="400000"/>
        </a:ln>
        <a:effectLst/>
      </xdr:spPr>
    </xdr:pic>
    <xdr:clientData/>
  </xdr:twoCellAnchor>
  <xdr:twoCellAnchor>
    <xdr:from>
      <xdr:col>8</xdr:col>
      <xdr:colOff>133350</xdr:colOff>
      <xdr:row>56</xdr:row>
      <xdr:rowOff>57150</xdr:rowOff>
    </xdr:from>
    <xdr:to>
      <xdr:col>8</xdr:col>
      <xdr:colOff>962025</xdr:colOff>
      <xdr:row>57</xdr:row>
      <xdr:rowOff>95250</xdr:rowOff>
    </xdr:to>
    <xdr:pic>
      <xdr:nvPicPr>
        <xdr:cNvPr id="6" name="image1.pdf" descr="image1.pdf"/>
        <xdr:cNvPicPr>
          <a:picLocks noChangeAspect="1"/>
        </xdr:cNvPicPr>
      </xdr:nvPicPr>
      <xdr:blipFill>
        <a:blip r:embed="rId2">
          <a:extLst/>
        </a:blip>
        <a:stretch>
          <a:fillRect/>
        </a:stretch>
      </xdr:blipFill>
      <xdr:spPr>
        <a:xfrm>
          <a:off x="10229850" y="10496550"/>
          <a:ext cx="828675" cy="371475"/>
        </a:xfrm>
        <a:prstGeom prst="rect">
          <a:avLst/>
        </a:prstGeom>
        <a:ln w="12700" cap="flat">
          <a:noFill/>
          <a:miter lim="400000"/>
        </a:ln>
        <a:effectLst/>
      </xdr:spPr>
    </xdr:pic>
    <xdr:clientData/>
  </xdr:twoCellAnchor>
  <xdr:twoCellAnchor>
    <xdr:from>
      <xdr:col>9</xdr:col>
      <xdr:colOff>152400</xdr:colOff>
      <xdr:row>56</xdr:row>
      <xdr:rowOff>57150</xdr:rowOff>
    </xdr:from>
    <xdr:to>
      <xdr:col>9</xdr:col>
      <xdr:colOff>952500</xdr:colOff>
      <xdr:row>57</xdr:row>
      <xdr:rowOff>104775</xdr:rowOff>
    </xdr:to>
    <xdr:pic>
      <xdr:nvPicPr>
        <xdr:cNvPr id="7" name="image2.pdf" descr="image2.pdf"/>
        <xdr:cNvPicPr>
          <a:picLocks noChangeAspect="1"/>
        </xdr:cNvPicPr>
      </xdr:nvPicPr>
      <xdr:blipFill>
        <a:blip r:embed="rId3">
          <a:extLst/>
        </a:blip>
        <a:stretch>
          <a:fillRect/>
        </a:stretch>
      </xdr:blipFill>
      <xdr:spPr>
        <a:xfrm>
          <a:off x="11493500" y="10496550"/>
          <a:ext cx="800100" cy="381000"/>
        </a:xfrm>
        <a:prstGeom prst="rect">
          <a:avLst/>
        </a:prstGeom>
        <a:ln w="12700" cap="flat">
          <a:noFill/>
          <a:miter lim="400000"/>
        </a:ln>
        <a:effectLst/>
      </xdr:spPr>
    </xdr:pic>
    <xdr:clientData/>
  </xdr:twoCellAnchor>
  <xdr:twoCellAnchor>
    <xdr:from>
      <xdr:col>10</xdr:col>
      <xdr:colOff>133350</xdr:colOff>
      <xdr:row>56</xdr:row>
      <xdr:rowOff>38100</xdr:rowOff>
    </xdr:from>
    <xdr:to>
      <xdr:col>10</xdr:col>
      <xdr:colOff>819150</xdr:colOff>
      <xdr:row>57</xdr:row>
      <xdr:rowOff>66675</xdr:rowOff>
    </xdr:to>
    <xdr:pic>
      <xdr:nvPicPr>
        <xdr:cNvPr id="8" name="image3.pdf" descr="image3.pdf"/>
        <xdr:cNvPicPr>
          <a:picLocks noChangeAspect="1"/>
        </xdr:cNvPicPr>
      </xdr:nvPicPr>
      <xdr:blipFill>
        <a:blip r:embed="rId4">
          <a:extLst/>
        </a:blip>
        <a:stretch>
          <a:fillRect/>
        </a:stretch>
      </xdr:blipFill>
      <xdr:spPr>
        <a:xfrm>
          <a:off x="12744450" y="10477500"/>
          <a:ext cx="685800" cy="361950"/>
        </a:xfrm>
        <a:prstGeom prst="rect">
          <a:avLst/>
        </a:prstGeom>
        <a:ln w="12700" cap="flat">
          <a:noFill/>
          <a:miter lim="400000"/>
        </a:ln>
        <a:effectLst/>
      </xdr:spPr>
    </xdr:pic>
    <xdr:clientData/>
  </xdr:twoCellAnchor>
  <xdr:twoCellAnchor>
    <xdr:from>
      <xdr:col>11</xdr:col>
      <xdr:colOff>161925</xdr:colOff>
      <xdr:row>56</xdr:row>
      <xdr:rowOff>28575</xdr:rowOff>
    </xdr:from>
    <xdr:to>
      <xdr:col>11</xdr:col>
      <xdr:colOff>942975</xdr:colOff>
      <xdr:row>57</xdr:row>
      <xdr:rowOff>123825</xdr:rowOff>
    </xdr:to>
    <xdr:pic>
      <xdr:nvPicPr>
        <xdr:cNvPr id="9" name="image4.pdf" descr="image4.pdf"/>
        <xdr:cNvPicPr>
          <a:picLocks noChangeAspect="1"/>
        </xdr:cNvPicPr>
      </xdr:nvPicPr>
      <xdr:blipFill>
        <a:blip r:embed="rId5">
          <a:extLst/>
        </a:blip>
        <a:stretch>
          <a:fillRect/>
        </a:stretch>
      </xdr:blipFill>
      <xdr:spPr>
        <a:xfrm>
          <a:off x="13966825" y="10467975"/>
          <a:ext cx="781050" cy="428625"/>
        </a:xfrm>
        <a:prstGeom prst="rect">
          <a:avLst/>
        </a:prstGeom>
        <a:ln w="12700" cap="flat">
          <a:noFill/>
          <a:miter lim="400000"/>
        </a:ln>
        <a:effectLst/>
      </xdr:spPr>
    </xdr:pic>
    <xdr:clientData/>
  </xdr:twoCellAnchor>
  <xdr:twoCellAnchor>
    <xdr:from>
      <xdr:col>12</xdr:col>
      <xdr:colOff>104775</xdr:colOff>
      <xdr:row>56</xdr:row>
      <xdr:rowOff>28575</xdr:rowOff>
    </xdr:from>
    <xdr:to>
      <xdr:col>12</xdr:col>
      <xdr:colOff>857250</xdr:colOff>
      <xdr:row>57</xdr:row>
      <xdr:rowOff>104775</xdr:rowOff>
    </xdr:to>
    <xdr:pic>
      <xdr:nvPicPr>
        <xdr:cNvPr id="10" name="image5.pdf" descr="image5.pdf"/>
        <xdr:cNvPicPr>
          <a:picLocks noChangeAspect="1"/>
        </xdr:cNvPicPr>
      </xdr:nvPicPr>
      <xdr:blipFill>
        <a:blip r:embed="rId6">
          <a:extLst/>
        </a:blip>
        <a:stretch>
          <a:fillRect/>
        </a:stretch>
      </xdr:blipFill>
      <xdr:spPr>
        <a:xfrm>
          <a:off x="15141575" y="10467975"/>
          <a:ext cx="752475" cy="409575"/>
        </a:xfrm>
        <a:prstGeom prst="rect">
          <a:avLst/>
        </a:prstGeom>
        <a:ln w="12700" cap="flat">
          <a:noFill/>
          <a:miter lim="400000"/>
        </a:ln>
        <a:effectLst/>
      </xdr:spPr>
    </xdr:pic>
    <xdr:clientData/>
  </xdr:twoCellAnchor>
  <xdr:twoCellAnchor>
    <xdr:from>
      <xdr:col>13</xdr:col>
      <xdr:colOff>161925</xdr:colOff>
      <xdr:row>56</xdr:row>
      <xdr:rowOff>19050</xdr:rowOff>
    </xdr:from>
    <xdr:to>
      <xdr:col>13</xdr:col>
      <xdr:colOff>819150</xdr:colOff>
      <xdr:row>57</xdr:row>
      <xdr:rowOff>66675</xdr:rowOff>
    </xdr:to>
    <xdr:pic>
      <xdr:nvPicPr>
        <xdr:cNvPr id="11" name="image6.pdf" descr="image6.pdf"/>
        <xdr:cNvPicPr>
          <a:picLocks noChangeAspect="1"/>
        </xdr:cNvPicPr>
      </xdr:nvPicPr>
      <xdr:blipFill>
        <a:blip r:embed="rId7">
          <a:extLst/>
        </a:blip>
        <a:stretch>
          <a:fillRect/>
        </a:stretch>
      </xdr:blipFill>
      <xdr:spPr>
        <a:xfrm>
          <a:off x="16392525" y="10458450"/>
          <a:ext cx="657225" cy="381000"/>
        </a:xfrm>
        <a:prstGeom prst="rect">
          <a:avLst/>
        </a:prstGeom>
        <a:ln w="12700" cap="flat">
          <a:noFill/>
          <a:miter lim="400000"/>
        </a:ln>
        <a:effectLst/>
      </xdr:spPr>
    </xdr:pic>
    <xdr:clientData/>
  </xdr:twoCellAnchor>
  <xdr:twoCellAnchor>
    <xdr:from>
      <xdr:col>14</xdr:col>
      <xdr:colOff>114300</xdr:colOff>
      <xdr:row>56</xdr:row>
      <xdr:rowOff>28575</xdr:rowOff>
    </xdr:from>
    <xdr:to>
      <xdr:col>14</xdr:col>
      <xdr:colOff>1000125</xdr:colOff>
      <xdr:row>57</xdr:row>
      <xdr:rowOff>85725</xdr:rowOff>
    </xdr:to>
    <xdr:pic>
      <xdr:nvPicPr>
        <xdr:cNvPr id="12" name="image7.pdf" descr="image7.pdf"/>
        <xdr:cNvPicPr>
          <a:picLocks noChangeAspect="1"/>
        </xdr:cNvPicPr>
      </xdr:nvPicPr>
      <xdr:blipFill>
        <a:blip r:embed="rId8">
          <a:extLst/>
        </a:blip>
        <a:stretch>
          <a:fillRect/>
        </a:stretch>
      </xdr:blipFill>
      <xdr:spPr>
        <a:xfrm>
          <a:off x="17551400" y="10467975"/>
          <a:ext cx="885825" cy="390525"/>
        </a:xfrm>
        <a:prstGeom prst="rect">
          <a:avLst/>
        </a:prstGeom>
        <a:ln w="12700" cap="flat">
          <a:noFill/>
          <a:miter lim="400000"/>
        </a:ln>
        <a:effectLst/>
      </xdr:spPr>
    </xdr:pic>
    <xdr:clientData/>
  </xdr:twoCellAnchor>
  <xdr:twoCellAnchor>
    <xdr:from>
      <xdr:col>15</xdr:col>
      <xdr:colOff>180975</xdr:colOff>
      <xdr:row>55</xdr:row>
      <xdr:rowOff>428625</xdr:rowOff>
    </xdr:from>
    <xdr:to>
      <xdr:col>15</xdr:col>
      <xdr:colOff>857250</xdr:colOff>
      <xdr:row>57</xdr:row>
      <xdr:rowOff>95250</xdr:rowOff>
    </xdr:to>
    <xdr:pic>
      <xdr:nvPicPr>
        <xdr:cNvPr id="13" name="image8.pdf" descr="image8.pdf"/>
        <xdr:cNvPicPr>
          <a:picLocks noChangeAspect="1"/>
        </xdr:cNvPicPr>
      </xdr:nvPicPr>
      <xdr:blipFill>
        <a:blip r:embed="rId9">
          <a:extLst/>
        </a:blip>
        <a:stretch>
          <a:fillRect/>
        </a:stretch>
      </xdr:blipFill>
      <xdr:spPr>
        <a:xfrm>
          <a:off x="18862675" y="10363200"/>
          <a:ext cx="676275" cy="504825"/>
        </a:xfrm>
        <a:prstGeom prst="rect">
          <a:avLst/>
        </a:prstGeom>
        <a:ln w="12700" cap="flat">
          <a:noFill/>
          <a:miter lim="400000"/>
        </a:ln>
        <a:effectLst/>
      </xdr:spPr>
    </xdr:pic>
    <xdr:clientData/>
  </xdr:twoCellAnchor>
  <xdr:twoCellAnchor>
    <xdr:from>
      <xdr:col>13</xdr:col>
      <xdr:colOff>114300</xdr:colOff>
      <xdr:row>55</xdr:row>
      <xdr:rowOff>9525</xdr:rowOff>
    </xdr:from>
    <xdr:to>
      <xdr:col>13</xdr:col>
      <xdr:colOff>933450</xdr:colOff>
      <xdr:row>55</xdr:row>
      <xdr:rowOff>333375</xdr:rowOff>
    </xdr:to>
    <xdr:pic>
      <xdr:nvPicPr>
        <xdr:cNvPr id="14" name="image9.pdf" descr="image9.pdf"/>
        <xdr:cNvPicPr>
          <a:picLocks noChangeAspect="1"/>
        </xdr:cNvPicPr>
      </xdr:nvPicPr>
      <xdr:blipFill>
        <a:blip r:embed="rId10">
          <a:extLst/>
        </a:blip>
        <a:stretch>
          <a:fillRect/>
        </a:stretch>
      </xdr:blipFill>
      <xdr:spPr>
        <a:xfrm>
          <a:off x="16344900" y="9944100"/>
          <a:ext cx="819150" cy="323850"/>
        </a:xfrm>
        <a:prstGeom prst="rect">
          <a:avLst/>
        </a:prstGeom>
        <a:ln w="12700" cap="flat">
          <a:noFill/>
          <a:miter lim="400000"/>
        </a:ln>
        <a:effectLst/>
      </xdr:spPr>
    </xdr:pic>
    <xdr:clientData/>
  </xdr:twoCellAnchor>
  <xdr:twoCellAnchor>
    <xdr:from>
      <xdr:col>16</xdr:col>
      <xdr:colOff>152400</xdr:colOff>
      <xdr:row>99</xdr:row>
      <xdr:rowOff>47625</xdr:rowOff>
    </xdr:from>
    <xdr:to>
      <xdr:col>16</xdr:col>
      <xdr:colOff>971550</xdr:colOff>
      <xdr:row>101</xdr:row>
      <xdr:rowOff>9525</xdr:rowOff>
    </xdr:to>
    <xdr:pic>
      <xdr:nvPicPr>
        <xdr:cNvPr id="15" name="image9.pdf" descr="image9.pdf"/>
        <xdr:cNvPicPr>
          <a:picLocks noChangeAspect="1"/>
        </xdr:cNvPicPr>
      </xdr:nvPicPr>
      <xdr:blipFill>
        <a:blip r:embed="rId10">
          <a:extLst/>
        </a:blip>
        <a:stretch>
          <a:fillRect/>
        </a:stretch>
      </xdr:blipFill>
      <xdr:spPr>
        <a:xfrm>
          <a:off x="19977100" y="19173825"/>
          <a:ext cx="819150" cy="323850"/>
        </a:xfrm>
        <a:prstGeom prst="rect">
          <a:avLst/>
        </a:prstGeom>
        <a:ln w="12700" cap="flat">
          <a:noFill/>
          <a:miter lim="400000"/>
        </a:ln>
        <a:effectLst/>
      </xdr:spPr>
    </xdr:pic>
    <xdr:clientData/>
  </xdr:twoCellAnchor>
  <xdr:twoCellAnchor>
    <xdr:from>
      <xdr:col>17</xdr:col>
      <xdr:colOff>381000</xdr:colOff>
      <xdr:row>56</xdr:row>
      <xdr:rowOff>47625</xdr:rowOff>
    </xdr:from>
    <xdr:to>
      <xdr:col>17</xdr:col>
      <xdr:colOff>790575</xdr:colOff>
      <xdr:row>56</xdr:row>
      <xdr:rowOff>295275</xdr:rowOff>
    </xdr:to>
    <xdr:pic>
      <xdr:nvPicPr>
        <xdr:cNvPr id="16" name="image10.pdf" descr="image10.pdf"/>
        <xdr:cNvPicPr>
          <a:picLocks noChangeAspect="1"/>
        </xdr:cNvPicPr>
      </xdr:nvPicPr>
      <xdr:blipFill>
        <a:blip r:embed="rId11">
          <a:extLst/>
        </a:blip>
        <a:stretch>
          <a:fillRect/>
        </a:stretch>
      </xdr:blipFill>
      <xdr:spPr>
        <a:xfrm>
          <a:off x="21882100" y="10487025"/>
          <a:ext cx="409575" cy="247650"/>
        </a:xfrm>
        <a:prstGeom prst="rect">
          <a:avLst/>
        </a:prstGeom>
        <a:ln w="12700" cap="flat">
          <a:noFill/>
          <a:miter lim="400000"/>
        </a:ln>
        <a:effectLst/>
      </xdr:spPr>
    </xdr:pic>
    <xdr:clientData/>
  </xdr:twoCellAnchor>
  <xdr:twoCellAnchor>
    <xdr:from>
      <xdr:col>18</xdr:col>
      <xdr:colOff>57150</xdr:colOff>
      <xdr:row>56</xdr:row>
      <xdr:rowOff>76200</xdr:rowOff>
    </xdr:from>
    <xdr:to>
      <xdr:col>18</xdr:col>
      <xdr:colOff>981075</xdr:colOff>
      <xdr:row>56</xdr:row>
      <xdr:rowOff>314325</xdr:rowOff>
    </xdr:to>
    <xdr:pic>
      <xdr:nvPicPr>
        <xdr:cNvPr id="17" name="image11.pdf" descr="image11.pdf"/>
        <xdr:cNvPicPr>
          <a:picLocks noChangeAspect="1"/>
        </xdr:cNvPicPr>
      </xdr:nvPicPr>
      <xdr:blipFill>
        <a:blip r:embed="rId12">
          <a:extLst/>
        </a:blip>
        <a:stretch>
          <a:fillRect/>
        </a:stretch>
      </xdr:blipFill>
      <xdr:spPr>
        <a:xfrm>
          <a:off x="22828250" y="10515600"/>
          <a:ext cx="923925" cy="238125"/>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19049</xdr:colOff>
      <xdr:row>4</xdr:row>
      <xdr:rowOff>1122</xdr:rowOff>
    </xdr:from>
    <xdr:to>
      <xdr:col>7</xdr:col>
      <xdr:colOff>44822</xdr:colOff>
      <xdr:row>8</xdr:row>
      <xdr:rowOff>246528</xdr:rowOff>
    </xdr:to>
    <xdr:sp>
      <xdr:nvSpPr>
        <xdr:cNvPr id="19" name="Rounded Rectangle 5"/>
        <xdr:cNvSpPr/>
      </xdr:nvSpPr>
      <xdr:spPr>
        <a:xfrm>
          <a:off x="260349" y="1591797"/>
          <a:ext cx="7036174" cy="1569382"/>
        </a:xfrm>
        <a:prstGeom prst="roundRect">
          <a:avLst>
            <a:gd name="adj" fmla="val 16667"/>
          </a:avLst>
        </a:prstGeom>
        <a:noFill/>
        <a:ln w="19050" cap="flat">
          <a:solidFill>
            <a:srgbClr val="000000"/>
          </a:solidFill>
          <a:prstDash val="solid"/>
          <a:round/>
        </a:ln>
        <a:effectLst/>
      </xdr:spPr>
      <xdr:txBody>
        <a:bodyPr/>
        <a:lstStyle/>
        <a:p>
          <a:pPr/>
        </a:p>
      </xdr:txBody>
    </xdr:sp>
    <xdr:clientData/>
  </xdr:twoCellAnchor>
  <xdr:twoCellAnchor>
    <xdr:from>
      <xdr:col>2</xdr:col>
      <xdr:colOff>190498</xdr:colOff>
      <xdr:row>9</xdr:row>
      <xdr:rowOff>201705</xdr:rowOff>
    </xdr:from>
    <xdr:to>
      <xdr:col>10</xdr:col>
      <xdr:colOff>44821</xdr:colOff>
      <xdr:row>26</xdr:row>
      <xdr:rowOff>87405</xdr:rowOff>
    </xdr:to>
    <xdr:sp>
      <xdr:nvSpPr>
        <xdr:cNvPr id="20" name="Rounded Rectangle 6"/>
        <xdr:cNvSpPr/>
      </xdr:nvSpPr>
      <xdr:spPr>
        <a:xfrm>
          <a:off x="761998" y="3364005"/>
          <a:ext cx="9506324" cy="2954656"/>
        </a:xfrm>
        <a:prstGeom prst="roundRect">
          <a:avLst>
            <a:gd name="adj" fmla="val 16667"/>
          </a:avLst>
        </a:prstGeom>
        <a:noFill/>
        <a:ln w="19050" cap="flat">
          <a:solidFill>
            <a:srgbClr val="000000"/>
          </a:solidFill>
          <a:prstDash val="solid"/>
          <a:round/>
        </a:ln>
        <a:effectLst/>
      </xdr:spPr>
      <xdr:txBody>
        <a:bodyPr/>
        <a:lstStyle/>
        <a:p>
          <a:pPr/>
        </a:p>
      </xdr:txBody>
    </xdr:sp>
    <xdr:clientData/>
  </xdr:twoCellAnchor>
  <xdr:twoCellAnchor>
    <xdr:from>
      <xdr:col>0</xdr:col>
      <xdr:colOff>209549</xdr:colOff>
      <xdr:row>35</xdr:row>
      <xdr:rowOff>61632</xdr:rowOff>
    </xdr:from>
    <xdr:to>
      <xdr:col>10</xdr:col>
      <xdr:colOff>71436</xdr:colOff>
      <xdr:row>43</xdr:row>
      <xdr:rowOff>23906</xdr:rowOff>
    </xdr:to>
    <xdr:sp>
      <xdr:nvSpPr>
        <xdr:cNvPr id="21" name="Rounded Rectangle 7"/>
        <xdr:cNvSpPr/>
      </xdr:nvSpPr>
      <xdr:spPr>
        <a:xfrm>
          <a:off x="209549" y="8032787"/>
          <a:ext cx="10085388" cy="997325"/>
        </a:xfrm>
        <a:prstGeom prst="roundRect">
          <a:avLst>
            <a:gd name="adj" fmla="val 16667"/>
          </a:avLst>
        </a:prstGeom>
        <a:noFill/>
        <a:ln w="19050" cap="flat">
          <a:solidFill>
            <a:srgbClr val="000000"/>
          </a:solidFill>
          <a:prstDash val="solid"/>
          <a:round/>
        </a:ln>
        <a:effectLst/>
      </xdr:spPr>
      <xdr:txBody>
        <a:bodyPr/>
        <a:lstStyle/>
        <a:p>
          <a:pPr/>
        </a:p>
      </xdr:txBody>
    </xdr:sp>
    <xdr:clientData/>
  </xdr:twoCellAnchor>
  <xdr:twoCellAnchor>
    <xdr:from>
      <xdr:col>0</xdr:col>
      <xdr:colOff>206594</xdr:colOff>
      <xdr:row>46</xdr:row>
      <xdr:rowOff>57150</xdr:rowOff>
    </xdr:from>
    <xdr:to>
      <xdr:col>10</xdr:col>
      <xdr:colOff>95249</xdr:colOff>
      <xdr:row>51</xdr:row>
      <xdr:rowOff>85725</xdr:rowOff>
    </xdr:to>
    <xdr:sp>
      <xdr:nvSpPr>
        <xdr:cNvPr id="22" name="Rounded Rectangle 8"/>
        <xdr:cNvSpPr/>
      </xdr:nvSpPr>
      <xdr:spPr>
        <a:xfrm>
          <a:off x="206594" y="9593580"/>
          <a:ext cx="10112156" cy="981076"/>
        </a:xfrm>
        <a:prstGeom prst="roundRect">
          <a:avLst>
            <a:gd name="adj" fmla="val 16667"/>
          </a:avLst>
        </a:prstGeom>
        <a:noFill/>
        <a:ln w="19050" cap="flat">
          <a:solidFill>
            <a:srgbClr val="000000"/>
          </a:solidFill>
          <a:prstDash val="solid"/>
          <a:round/>
        </a:ln>
        <a:effectLst/>
      </xdr:spPr>
      <xdr:txBody>
        <a:bodyPr/>
        <a:lstStyle/>
        <a:p>
          <a:pPr/>
        </a:p>
      </xdr:txBody>
    </xdr:sp>
    <xdr:clientData/>
  </xdr:twoCellAnchor>
  <xdr:twoCellAnchor>
    <xdr:from>
      <xdr:col>1</xdr:col>
      <xdr:colOff>49081</xdr:colOff>
      <xdr:row>54</xdr:row>
      <xdr:rowOff>109632</xdr:rowOff>
    </xdr:from>
    <xdr:to>
      <xdr:col>10</xdr:col>
      <xdr:colOff>9189</xdr:colOff>
      <xdr:row>56</xdr:row>
      <xdr:rowOff>87788</xdr:rowOff>
    </xdr:to>
    <xdr:sp>
      <xdr:nvSpPr>
        <xdr:cNvPr id="23" name="Text Box 7"/>
        <xdr:cNvSpPr txBox="1"/>
      </xdr:nvSpPr>
      <xdr:spPr>
        <a:xfrm>
          <a:off x="290381" y="11189112"/>
          <a:ext cx="9942309" cy="39725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spAutoFit/>
        </a:bodyPr>
        <a:lstStyle/>
        <a:p>
          <a:pPr marL="0" marR="0" indent="0" algn="just"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Century Gothic"/>
              <a:ea typeface="Century Gothic"/>
              <a:cs typeface="Century Gothic"/>
              <a:sym typeface="Century Gothic"/>
            </a:defRPr>
          </a:pPr>
          <a:r>
            <a:rPr b="0" baseline="0" cap="none" i="0" spc="0" strike="noStrike" sz="800" u="none">
              <a:solidFill>
                <a:srgbClr val="000000"/>
              </a:solidFill>
              <a:uFillTx/>
              <a:latin typeface="Century Gothic"/>
              <a:ea typeface="Century Gothic"/>
              <a:cs typeface="Century Gothic"/>
              <a:sym typeface="Century Gothic"/>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    Formato: MK-CL-FOR-01      Revisión: C1.</a:t>
          </a:r>
        </a:p>
      </xdr:txBody>
    </xdr:sp>
    <xdr:clientData/>
  </xdr:twoCellAnchor>
  <xdr:twoCellAnchor>
    <xdr:from>
      <xdr:col>0</xdr:col>
      <xdr:colOff>175931</xdr:colOff>
      <xdr:row>54</xdr:row>
      <xdr:rowOff>97798</xdr:rowOff>
    </xdr:from>
    <xdr:to>
      <xdr:col>10</xdr:col>
      <xdr:colOff>264784</xdr:colOff>
      <xdr:row>54</xdr:row>
      <xdr:rowOff>97798</xdr:rowOff>
    </xdr:to>
    <xdr:sp>
      <xdr:nvSpPr>
        <xdr:cNvPr id="24" name="Straight Connector 25"/>
        <xdr:cNvSpPr/>
      </xdr:nvSpPr>
      <xdr:spPr>
        <a:xfrm>
          <a:off x="175931" y="11177278"/>
          <a:ext cx="10312354" cy="1"/>
        </a:xfrm>
        <a:prstGeom prst="line">
          <a:avLst/>
        </a:prstGeom>
        <a:noFill/>
        <a:ln w="28575" cap="flat">
          <a:solidFill>
            <a:srgbClr val="000000"/>
          </a:solidFill>
          <a:prstDash val="solid"/>
          <a:round/>
        </a:ln>
        <a:effectLst/>
      </xdr:spPr>
      <xdr:txBody>
        <a:bodyPr/>
        <a:lstStyle/>
        <a:p>
          <a:pPr/>
        </a:p>
      </xdr:txBody>
    </xdr:sp>
    <xdr:clientData/>
  </xdr:twoCellAnchor>
  <xdr:twoCellAnchor>
    <xdr:from>
      <xdr:col>6</xdr:col>
      <xdr:colOff>22411</xdr:colOff>
      <xdr:row>2</xdr:row>
      <xdr:rowOff>52669</xdr:rowOff>
    </xdr:from>
    <xdr:to>
      <xdr:col>10</xdr:col>
      <xdr:colOff>11206</xdr:colOff>
      <xdr:row>2</xdr:row>
      <xdr:rowOff>493060</xdr:rowOff>
    </xdr:to>
    <xdr:sp>
      <xdr:nvSpPr>
        <xdr:cNvPr id="25" name="Rounded Rectangle 5"/>
        <xdr:cNvSpPr/>
      </xdr:nvSpPr>
      <xdr:spPr>
        <a:xfrm>
          <a:off x="5737411" y="795619"/>
          <a:ext cx="4497296" cy="440392"/>
        </a:xfrm>
        <a:prstGeom prst="roundRect">
          <a:avLst>
            <a:gd name="adj" fmla="val 16667"/>
          </a:avLst>
        </a:prstGeom>
        <a:noFill/>
        <a:ln w="19050" cap="flat">
          <a:solidFill>
            <a:srgbClr val="000000"/>
          </a:solidFill>
          <a:prstDash val="solid"/>
          <a:round/>
        </a:ln>
        <a:effectLst/>
      </xdr:spPr>
      <xdr:txBody>
        <a:bodyPr/>
        <a:lstStyle/>
        <a:p>
          <a:pPr/>
        </a:p>
      </xdr:txBody>
    </xdr:sp>
    <xdr:clientData/>
  </xdr:twoCellAnchor>
  <xdr:twoCellAnchor>
    <xdr:from>
      <xdr:col>7</xdr:col>
      <xdr:colOff>118782</xdr:colOff>
      <xdr:row>4</xdr:row>
      <xdr:rowOff>3</xdr:rowOff>
    </xdr:from>
    <xdr:to>
      <xdr:col>10</xdr:col>
      <xdr:colOff>11206</xdr:colOff>
      <xdr:row>9</xdr:row>
      <xdr:rowOff>0</xdr:rowOff>
    </xdr:to>
    <xdr:sp>
      <xdr:nvSpPr>
        <xdr:cNvPr id="26" name="Rounded Rectangle 5"/>
        <xdr:cNvSpPr/>
      </xdr:nvSpPr>
      <xdr:spPr>
        <a:xfrm>
          <a:off x="7370482" y="1590678"/>
          <a:ext cx="2864225" cy="1571623"/>
        </a:xfrm>
        <a:prstGeom prst="roundRect">
          <a:avLst>
            <a:gd name="adj" fmla="val 16667"/>
          </a:avLst>
        </a:prstGeom>
        <a:noFill/>
        <a:ln w="19050" cap="flat">
          <a:solidFill>
            <a:srgbClr val="000000"/>
          </a:solidFill>
          <a:prstDash val="solid"/>
          <a:round/>
        </a:ln>
        <a:effectLst/>
      </xdr:spPr>
      <xdr:txBody>
        <a:bodyPr/>
        <a:lstStyle/>
        <a:p>
          <a:pPr/>
        </a:p>
      </xdr:txBody>
    </xdr:sp>
    <xdr:clientData/>
  </xdr:twoCellAnchor>
  <xdr:twoCellAnchor>
    <xdr:from>
      <xdr:col>2</xdr:col>
      <xdr:colOff>197222</xdr:colOff>
      <xdr:row>27</xdr:row>
      <xdr:rowOff>246529</xdr:rowOff>
    </xdr:from>
    <xdr:to>
      <xdr:col>10</xdr:col>
      <xdr:colOff>51545</xdr:colOff>
      <xdr:row>33</xdr:row>
      <xdr:rowOff>22411</xdr:rowOff>
    </xdr:to>
    <xdr:sp>
      <xdr:nvSpPr>
        <xdr:cNvPr id="27" name="Rounded Rectangle 6"/>
        <xdr:cNvSpPr/>
      </xdr:nvSpPr>
      <xdr:spPr>
        <a:xfrm>
          <a:off x="768722" y="6579384"/>
          <a:ext cx="9506324" cy="1080808"/>
        </a:xfrm>
        <a:prstGeom prst="roundRect">
          <a:avLst>
            <a:gd name="adj" fmla="val 16667"/>
          </a:avLst>
        </a:prstGeom>
        <a:noFill/>
        <a:ln w="19050" cap="flat">
          <a:solidFill>
            <a:srgbClr val="000000"/>
          </a:solidFill>
          <a:prstDash val="solid"/>
          <a:round/>
        </a:ln>
        <a:effectLst/>
      </xdr:spPr>
      <xdr:txBody>
        <a:bodyPr/>
        <a:lstStyle/>
        <a:p>
          <a:pPr/>
        </a:p>
      </xdr:txBody>
    </xdr:sp>
    <xdr:clientData/>
  </xdr:twoCellAnchor>
  <xdr:twoCellAnchor>
    <xdr:from>
      <xdr:col>0</xdr:col>
      <xdr:colOff>138730</xdr:colOff>
      <xdr:row>51</xdr:row>
      <xdr:rowOff>97604</xdr:rowOff>
    </xdr:from>
    <xdr:to>
      <xdr:col>10</xdr:col>
      <xdr:colOff>152623</xdr:colOff>
      <xdr:row>55</xdr:row>
      <xdr:rowOff>34627</xdr:rowOff>
    </xdr:to>
    <xdr:sp>
      <xdr:nvSpPr>
        <xdr:cNvPr id="28" name="CuadroTexto 11"/>
        <xdr:cNvSpPr txBox="1"/>
      </xdr:nvSpPr>
      <xdr:spPr>
        <a:xfrm>
          <a:off x="138730" y="10586534"/>
          <a:ext cx="10237394" cy="73712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ctr"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Century Gothic"/>
              <a:ea typeface="Century Gothic"/>
              <a:cs typeface="Century Gothic"/>
              <a:sym typeface="Century Gothic"/>
            </a:defRPr>
          </a:pPr>
          <a:r>
            <a:rPr b="0" baseline="0" cap="none" i="0" spc="0" strike="noStrike" sz="800" u="none">
              <a:solidFill>
                <a:srgbClr val="000000"/>
              </a:solidFill>
              <a:uFillTx/>
              <a:latin typeface="Century Gothic"/>
              <a:ea typeface="Century Gothic"/>
              <a:cs typeface="Century Gothic"/>
              <a:sym typeface="Century Gothic"/>
            </a:rPr>
            <a:t>Esta calibracion es trazable a los patrones nacionales en el Centro Nacional de Metrologia (CENAM). Las unidades de medicion estan acordes al Sistema Internacional de Unidades  SI. Los resultados de este certificado tienen validez, dentro de las condiciones ambientales encontradas durante el proceso de calibración y son aplicables solamente al item sometido a dicho proceso.  El presente certificado de calibración tiene validez únicamente en su forma integra y original. Esta prohibida la reproducción parcial o total de este  documento.                                    </a:t>
          </a: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28575</xdr:colOff>
      <xdr:row>110</xdr:row>
      <xdr:rowOff>163194</xdr:rowOff>
    </xdr:from>
    <xdr:to>
      <xdr:col>10</xdr:col>
      <xdr:colOff>790575</xdr:colOff>
      <xdr:row>110</xdr:row>
      <xdr:rowOff>163194</xdr:rowOff>
    </xdr:to>
    <xdr:sp>
      <xdr:nvSpPr>
        <xdr:cNvPr id="30" name="Straight Connector 25"/>
        <xdr:cNvSpPr/>
      </xdr:nvSpPr>
      <xdr:spPr>
        <a:xfrm>
          <a:off x="663575" y="20264119"/>
          <a:ext cx="9512301" cy="1"/>
        </a:xfrm>
        <a:prstGeom prst="line">
          <a:avLst/>
        </a:prstGeom>
        <a:noFill/>
        <a:ln w="28575" cap="flat">
          <a:solidFill>
            <a:srgbClr val="000000"/>
          </a:solidFill>
          <a:prstDash val="solid"/>
          <a:round/>
        </a:ln>
        <a:effectLst/>
      </xdr:spPr>
      <xdr:txBody>
        <a:bodyPr/>
        <a:lstStyle/>
        <a:p>
          <a:pPr/>
        </a:p>
      </xdr:txBody>
    </xdr:sp>
    <xdr:clientData/>
  </xdr:twoCellAnchor>
  <xdr:twoCellAnchor>
    <xdr:from>
      <xdr:col>1</xdr:col>
      <xdr:colOff>28575</xdr:colOff>
      <xdr:row>111</xdr:row>
      <xdr:rowOff>114300</xdr:rowOff>
    </xdr:from>
    <xdr:to>
      <xdr:col>2</xdr:col>
      <xdr:colOff>609600</xdr:colOff>
      <xdr:row>115</xdr:row>
      <xdr:rowOff>124384</xdr:rowOff>
    </xdr:to>
    <xdr:pic>
      <xdr:nvPicPr>
        <xdr:cNvPr id="31" name="Picture 14" descr="Picture 14"/>
        <xdr:cNvPicPr>
          <a:picLocks noChangeAspect="1"/>
        </xdr:cNvPicPr>
      </xdr:nvPicPr>
      <xdr:blipFill>
        <a:blip r:embed="rId1">
          <a:extLst/>
        </a:blip>
        <a:stretch>
          <a:fillRect/>
        </a:stretch>
      </xdr:blipFill>
      <xdr:spPr>
        <a:xfrm>
          <a:off x="663575" y="20396200"/>
          <a:ext cx="987425" cy="657785"/>
        </a:xfrm>
        <a:prstGeom prst="rect">
          <a:avLst/>
        </a:prstGeom>
        <a:ln w="12700" cap="flat">
          <a:noFill/>
          <a:miter lim="400000"/>
        </a:ln>
        <a:effectLst/>
      </xdr:spPr>
    </xdr:pic>
    <xdr:clientData/>
  </xdr:twoCellAnchor>
  <xdr:twoCellAnchor>
    <xdr:from>
      <xdr:col>2</xdr:col>
      <xdr:colOff>283845</xdr:colOff>
      <xdr:row>111</xdr:row>
      <xdr:rowOff>63876</xdr:rowOff>
    </xdr:from>
    <xdr:to>
      <xdr:col>6</xdr:col>
      <xdr:colOff>678180</xdr:colOff>
      <xdr:row>115</xdr:row>
      <xdr:rowOff>43289</xdr:rowOff>
    </xdr:to>
    <xdr:sp>
      <xdr:nvSpPr>
        <xdr:cNvPr id="32" name="Text Box 7"/>
        <xdr:cNvSpPr txBox="1"/>
      </xdr:nvSpPr>
      <xdr:spPr>
        <a:xfrm>
          <a:off x="1325244" y="20345776"/>
          <a:ext cx="4661537" cy="62711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spAutoFit/>
        </a:bodyPr>
        <a:lstStyle/>
        <a:p>
          <a:pPr marL="0" marR="0" indent="0" algn="l"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Arial"/>
              <a:ea typeface="Arial"/>
              <a:cs typeface="Arial"/>
              <a:sym typeface="Arial"/>
            </a:defRPr>
          </a:pPr>
          <a:r>
            <a:rPr b="0" baseline="0" cap="none" i="0" spc="0" strike="noStrike" sz="800" u="none">
              <a:solidFill>
                <a:srgbClr val="000000"/>
              </a:solidFill>
              <a:uFillTx/>
              <a:latin typeface="Arial"/>
              <a:ea typeface="Arial"/>
              <a:cs typeface="Arial"/>
              <a:sym typeface="Arial"/>
            </a:rPr>
            <a:t>Laboratorio acreditado por ema para las calibraciones indicadas en el escrito </a:t>
          </a:r>
          <a:endParaRPr b="0" baseline="0" cap="none" i="0" spc="0" strike="noStrike" sz="800" u="none">
            <a:solidFill>
              <a:srgbClr val="000000"/>
            </a:solidFill>
            <a:uFillTx/>
            <a:latin typeface="Arial"/>
            <a:ea typeface="Arial"/>
            <a:cs typeface="Arial"/>
            <a:sym typeface="Arial"/>
          </a:endParaRPr>
        </a:p>
        <a:p>
          <a:pPr marL="0" marR="0" indent="0" algn="l"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Arial"/>
              <a:ea typeface="Arial"/>
              <a:cs typeface="Arial"/>
              <a:sym typeface="Arial"/>
            </a:defRPr>
          </a:pPr>
          <a:r>
            <a:rPr b="0" baseline="0" cap="none" i="0" spc="0" strike="noStrike" sz="800" u="none">
              <a:solidFill>
                <a:srgbClr val="000000"/>
              </a:solidFill>
              <a:uFillTx/>
              <a:latin typeface="Arial"/>
              <a:ea typeface="Arial"/>
              <a:cs typeface="Arial"/>
              <a:sym typeface="Arial"/>
            </a:rPr>
            <a:t>con número de acreditación N° D-97 Acreditado a partir de 2011-10-04</a:t>
          </a:r>
          <a:endParaRPr b="0" baseline="0" cap="none" i="0" spc="0" strike="noStrike" sz="800" u="none">
            <a:solidFill>
              <a:srgbClr val="000000"/>
            </a:solidFill>
            <a:uFillTx/>
            <a:latin typeface="Arial"/>
            <a:ea typeface="Arial"/>
            <a:cs typeface="Arial"/>
            <a:sym typeface="Arial"/>
          </a:endParaRPr>
        </a:p>
        <a:p>
          <a:pPr marL="0" marR="0" indent="0" algn="l"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Arial"/>
              <a:ea typeface="Arial"/>
              <a:cs typeface="Arial"/>
              <a:sym typeface="Arial"/>
            </a:defRPr>
          </a:pPr>
          <a:r>
            <a:rPr b="0" baseline="0" cap="none" i="0" spc="0" strike="noStrike" sz="800" u="none">
              <a:solidFill>
                <a:srgbClr val="000000"/>
              </a:solidFill>
              <a:uFillTx/>
              <a:latin typeface="Arial"/>
              <a:ea typeface="Arial"/>
              <a:cs typeface="Arial"/>
              <a:sym typeface="Arial"/>
            </a:rPr>
            <a:t>“Acreditación otorgada bajo la norma NMX-EC-17025-IMNC-2006                        ISO/IEC 17025:2005 Requisitos generales para la competencia de laboratorios de ensayo y de calibración”</a:t>
          </a:r>
        </a:p>
      </xdr:txBody>
    </xdr:sp>
    <xdr:clientData/>
  </xdr:twoCellAnchor>
  <xdr:twoCellAnchor>
    <xdr:from>
      <xdr:col>7</xdr:col>
      <xdr:colOff>331470</xdr:colOff>
      <xdr:row>111</xdr:row>
      <xdr:rowOff>50292</xdr:rowOff>
    </xdr:from>
    <xdr:to>
      <xdr:col>10</xdr:col>
      <xdr:colOff>1049655</xdr:colOff>
      <xdr:row>115</xdr:row>
      <xdr:rowOff>91948</xdr:rowOff>
    </xdr:to>
    <xdr:sp>
      <xdr:nvSpPr>
        <xdr:cNvPr id="33" name="Text Box 7"/>
        <xdr:cNvSpPr txBox="1"/>
      </xdr:nvSpPr>
      <xdr:spPr>
        <a:xfrm>
          <a:off x="6706869" y="20332192"/>
          <a:ext cx="3728087" cy="68935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spAutoFit/>
        </a:bodyPr>
        <a:lstStyle/>
        <a:p>
          <a:pPr marL="0" marR="0" indent="0" algn="just"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Tahoma"/>
              <a:ea typeface="Tahoma"/>
              <a:cs typeface="Tahoma"/>
              <a:sym typeface="Tahoma"/>
            </a:defRPr>
          </a:pPr>
          <a:r>
            <a:rPr b="0" baseline="0" cap="none" i="0" spc="0" strike="noStrike" sz="800" u="none">
              <a:solidFill>
                <a:srgbClr val="000000"/>
              </a:solidFill>
              <a:uFillTx/>
              <a:latin typeface="Tahoma"/>
              <a:ea typeface="Tahoma"/>
              <a:cs typeface="Tahoma"/>
              <a:sym typeface="Tahoma"/>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a:t>
          </a:r>
        </a:p>
      </xdr:txBody>
    </xdr:sp>
    <xdr:clientData/>
  </xdr:twoCellAnchor>
  <xdr:twoCellAnchor>
    <xdr:from>
      <xdr:col>2</xdr:col>
      <xdr:colOff>673249</xdr:colOff>
      <xdr:row>52</xdr:row>
      <xdr:rowOff>80498</xdr:rowOff>
    </xdr:from>
    <xdr:to>
      <xdr:col>10</xdr:col>
      <xdr:colOff>66339</xdr:colOff>
      <xdr:row>55</xdr:row>
      <xdr:rowOff>4666</xdr:rowOff>
    </xdr:to>
    <xdr:sp>
      <xdr:nvSpPr>
        <xdr:cNvPr id="34" name="Text Box 7"/>
        <xdr:cNvSpPr txBox="1"/>
      </xdr:nvSpPr>
      <xdr:spPr>
        <a:xfrm>
          <a:off x="1714649" y="9856323"/>
          <a:ext cx="7736991" cy="49566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Arial"/>
              <a:ea typeface="Arial"/>
              <a:cs typeface="Arial"/>
              <a:sym typeface="Arial"/>
            </a:defRPr>
          </a:pPr>
          <a:r>
            <a:rPr b="0" baseline="0" cap="none" i="0" spc="0" strike="noStrike" sz="800" u="none">
              <a:solidFill>
                <a:srgbClr val="000000"/>
              </a:solidFill>
              <a:uFillTx/>
              <a:latin typeface="Arial"/>
              <a:ea typeface="Arial"/>
              <a:cs typeface="Arial"/>
              <a:sym typeface="Arial"/>
            </a:rPr>
            <a:t>El tiempo y validez de los resultados informados  en este documento depende de las características propias del equipo, </a:t>
          </a:r>
          <a:endParaRPr b="0" baseline="0" cap="none" i="0" spc="0" strike="noStrike" sz="800" u="none">
            <a:solidFill>
              <a:srgbClr val="000000"/>
            </a:solidFill>
            <a:uFillTx/>
            <a:latin typeface="Arial"/>
            <a:ea typeface="Arial"/>
            <a:cs typeface="Arial"/>
            <a:sym typeface="Arial"/>
          </a:endParaRPr>
        </a:p>
        <a:p>
          <a:pPr marL="0" marR="0" indent="0" algn="ctr"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Arial"/>
              <a:ea typeface="Arial"/>
              <a:cs typeface="Arial"/>
              <a:sym typeface="Arial"/>
            </a:defRPr>
          </a:pPr>
          <a:r>
            <a:rPr b="0" baseline="0" cap="none" i="0" spc="0" strike="noStrike" sz="800" u="none">
              <a:solidFill>
                <a:srgbClr val="000000"/>
              </a:solidFill>
              <a:uFillTx/>
              <a:latin typeface="Arial"/>
              <a:ea typeface="Arial"/>
              <a:cs typeface="Arial"/>
              <a:sym typeface="Arial"/>
            </a:rPr>
            <a:t>de las condiciones de operación y de las prácticas para su buen manejo y uso.</a:t>
          </a:r>
          <a:endParaRPr b="0" baseline="0" cap="none" i="0" spc="0" strike="noStrike" sz="800" u="none">
            <a:solidFill>
              <a:srgbClr val="000000"/>
            </a:solidFill>
            <a:uFillTx/>
            <a:latin typeface="Arial"/>
            <a:ea typeface="Arial"/>
            <a:cs typeface="Arial"/>
            <a:sym typeface="Arial"/>
          </a:endParaRPr>
        </a:p>
      </xdr:txBody>
    </xdr:sp>
    <xdr:clientData/>
  </xdr:twoCellAnchor>
  <xdr:twoCellAnchor>
    <xdr:from>
      <xdr:col>2</xdr:col>
      <xdr:colOff>725354</xdr:colOff>
      <xdr:row>50</xdr:row>
      <xdr:rowOff>179634</xdr:rowOff>
    </xdr:from>
    <xdr:to>
      <xdr:col>10</xdr:col>
      <xdr:colOff>99393</xdr:colOff>
      <xdr:row>52</xdr:row>
      <xdr:rowOff>162858</xdr:rowOff>
    </xdr:to>
    <xdr:sp>
      <xdr:nvSpPr>
        <xdr:cNvPr id="35" name="Text Box 7"/>
        <xdr:cNvSpPr txBox="1"/>
      </xdr:nvSpPr>
      <xdr:spPr>
        <a:xfrm>
          <a:off x="1766754" y="9574459"/>
          <a:ext cx="7717940" cy="36422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spAutoFit/>
        </a:bodyPr>
        <a:lstStyle/>
        <a:p>
          <a:pPr marL="0" marR="0" indent="0" algn="ctr"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Arial"/>
              <a:ea typeface="Arial"/>
              <a:cs typeface="Arial"/>
              <a:sym typeface="Arial"/>
            </a:defRPr>
          </a:pPr>
          <a:r>
            <a:rPr b="0" baseline="0" cap="none" i="0" spc="0" strike="noStrike" sz="800" u="none">
              <a:solidFill>
                <a:srgbClr val="000000"/>
              </a:solidFill>
              <a:uFillTx/>
              <a:latin typeface="Arial"/>
              <a:ea typeface="Arial"/>
              <a:cs typeface="Arial"/>
              <a:sym typeface="Arial"/>
            </a:rPr>
            <a:t>La incertidumbre expandida se obtuvo de multiplicar la incertidumbre estándar combinada por un factor de cobertura de k=2, </a:t>
          </a:r>
          <a:endParaRPr b="0" baseline="0" cap="none" i="0" spc="0" strike="noStrike" sz="800" u="none">
            <a:solidFill>
              <a:srgbClr val="000000"/>
            </a:solidFill>
            <a:uFillTx/>
            <a:latin typeface="Arial"/>
            <a:ea typeface="Arial"/>
            <a:cs typeface="Arial"/>
            <a:sym typeface="Arial"/>
          </a:endParaRPr>
        </a:p>
        <a:p>
          <a:pPr marL="0" marR="0" indent="0" algn="ctr" defTabSz="914400" latinLnBrk="0">
            <a:lnSpc>
              <a:spcPct val="100000"/>
            </a:lnSpc>
            <a:spcBef>
              <a:spcPts val="0"/>
            </a:spcBef>
            <a:spcAft>
              <a:spcPts val="0"/>
            </a:spcAft>
            <a:buClrTx/>
            <a:buSzTx/>
            <a:buFontTx/>
            <a:buNone/>
            <a:defRPr b="0" baseline="0" cap="none" i="0" spc="0" strike="noStrike" sz="800" u="none">
              <a:solidFill>
                <a:srgbClr val="000000"/>
              </a:solidFill>
              <a:uFillTx/>
              <a:latin typeface="Arial"/>
              <a:ea typeface="Arial"/>
              <a:cs typeface="Arial"/>
              <a:sym typeface="Arial"/>
            </a:defRPr>
          </a:pPr>
          <a:r>
            <a:rPr b="0" baseline="0" cap="none" i="0" spc="0" strike="noStrike" sz="800" u="none">
              <a:solidFill>
                <a:srgbClr val="000000"/>
              </a:solidFill>
              <a:uFillTx/>
              <a:latin typeface="Arial"/>
              <a:ea typeface="Arial"/>
              <a:cs typeface="Arial"/>
              <a:sym typeface="Arial"/>
            </a:rPr>
            <a:t>que asegura un nivel de confianza de al menos el 95.45 % aproximadamente.</a:t>
          </a:r>
        </a:p>
      </xdr:txBody>
    </xdr:sp>
    <xdr:clientData/>
  </xdr:twoCellAnchor>
  <xdr:twoCellAnchor>
    <xdr:from>
      <xdr:col>1</xdr:col>
      <xdr:colOff>173741</xdr:colOff>
      <xdr:row>38</xdr:row>
      <xdr:rowOff>180861</xdr:rowOff>
    </xdr:from>
    <xdr:to>
      <xdr:col>2</xdr:col>
      <xdr:colOff>866199</xdr:colOff>
      <xdr:row>44</xdr:row>
      <xdr:rowOff>96081</xdr:rowOff>
    </xdr:to>
    <xdr:pic>
      <xdr:nvPicPr>
        <xdr:cNvPr id="36" name="1 Imagen" descr="1 Imagen"/>
        <xdr:cNvPicPr>
          <a:picLocks noChangeAspect="1"/>
        </xdr:cNvPicPr>
      </xdr:nvPicPr>
      <xdr:blipFill>
        <a:blip r:embed="rId2">
          <a:extLst/>
        </a:blip>
        <a:stretch>
          <a:fillRect/>
        </a:stretch>
      </xdr:blipFill>
      <xdr:spPr>
        <a:xfrm>
          <a:off x="808740" y="7289686"/>
          <a:ext cx="1098860" cy="1058221"/>
        </a:xfrm>
        <a:prstGeom prst="rect">
          <a:avLst/>
        </a:prstGeom>
        <a:ln w="12700" cap="flat">
          <a:noFill/>
          <a:miter lim="400000"/>
        </a:ln>
        <a:effectLst/>
      </xdr:spPr>
    </xdr:pic>
    <xdr:clientData/>
  </xdr:twoCellAnchor>
  <xdr:twoCellAnchor>
    <xdr:from>
      <xdr:col>6</xdr:col>
      <xdr:colOff>330015</xdr:colOff>
      <xdr:row>39</xdr:row>
      <xdr:rowOff>67674</xdr:rowOff>
    </xdr:from>
    <xdr:to>
      <xdr:col>7</xdr:col>
      <xdr:colOff>423895</xdr:colOff>
      <xdr:row>45</xdr:row>
      <xdr:rowOff>160688</xdr:rowOff>
    </xdr:to>
    <xdr:pic>
      <xdr:nvPicPr>
        <xdr:cNvPr id="37" name="2 Imagen" descr="2 Imagen"/>
        <xdr:cNvPicPr>
          <a:picLocks noChangeAspect="1"/>
        </xdr:cNvPicPr>
      </xdr:nvPicPr>
      <xdr:blipFill>
        <a:blip r:embed="rId3">
          <a:extLst/>
        </a:blip>
        <a:stretch>
          <a:fillRect/>
        </a:stretch>
      </xdr:blipFill>
      <xdr:spPr>
        <a:xfrm>
          <a:off x="5638615" y="7366999"/>
          <a:ext cx="1160681" cy="1236015"/>
        </a:xfrm>
        <a:prstGeom prst="rect">
          <a:avLst/>
        </a:prstGeom>
        <a:ln w="12700" cap="flat">
          <a:noFill/>
          <a:miter lim="400000"/>
        </a:ln>
        <a:effectLst/>
      </xdr:spPr>
    </xdr:pic>
    <xdr:clientData/>
  </xdr:twoCellAnchor>
  <xdr:twoCellAnchor>
    <xdr:from>
      <xdr:col>4</xdr:col>
      <xdr:colOff>64839</xdr:colOff>
      <xdr:row>39</xdr:row>
      <xdr:rowOff>43429</xdr:rowOff>
    </xdr:from>
    <xdr:to>
      <xdr:col>5</xdr:col>
      <xdr:colOff>169052</xdr:colOff>
      <xdr:row>44</xdr:row>
      <xdr:rowOff>172118</xdr:rowOff>
    </xdr:to>
    <xdr:pic>
      <xdr:nvPicPr>
        <xdr:cNvPr id="38" name="3 Imagen" descr="3 Imagen"/>
        <xdr:cNvPicPr>
          <a:picLocks noChangeAspect="1"/>
        </xdr:cNvPicPr>
      </xdr:nvPicPr>
      <xdr:blipFill>
        <a:blip r:embed="rId4">
          <a:extLst/>
        </a:blip>
        <a:stretch>
          <a:fillRect/>
        </a:stretch>
      </xdr:blipFill>
      <xdr:spPr>
        <a:xfrm>
          <a:off x="3239839" y="7342754"/>
          <a:ext cx="1171014" cy="1081190"/>
        </a:xfrm>
        <a:prstGeom prst="rect">
          <a:avLst/>
        </a:prstGeom>
        <a:ln w="12700" cap="flat">
          <a:noFill/>
          <a:miter lim="400000"/>
        </a:ln>
        <a:effectLst/>
      </xdr:spPr>
    </xdr:pic>
    <xdr:clientData/>
  </xdr:twoCellAnchor>
  <xdr:twoCellAnchor>
    <xdr:from>
      <xdr:col>5</xdr:col>
      <xdr:colOff>313206</xdr:colOff>
      <xdr:row>15</xdr:row>
      <xdr:rowOff>47625</xdr:rowOff>
    </xdr:from>
    <xdr:to>
      <xdr:col>6</xdr:col>
      <xdr:colOff>699248</xdr:colOff>
      <xdr:row>19</xdr:row>
      <xdr:rowOff>23531</xdr:rowOff>
    </xdr:to>
    <xdr:pic>
      <xdr:nvPicPr>
        <xdr:cNvPr id="39" name="21 Imagen" descr="21 Imagen"/>
        <xdr:cNvPicPr>
          <a:picLocks noChangeAspect="1"/>
        </xdr:cNvPicPr>
      </xdr:nvPicPr>
      <xdr:blipFill>
        <a:blip r:embed="rId5">
          <a:extLst/>
        </a:blip>
        <a:stretch>
          <a:fillRect/>
        </a:stretch>
      </xdr:blipFill>
      <xdr:spPr>
        <a:xfrm>
          <a:off x="4555006" y="3117850"/>
          <a:ext cx="1452843" cy="861732"/>
        </a:xfrm>
        <a:prstGeom prst="rect">
          <a:avLst/>
        </a:prstGeom>
        <a:ln w="12700" cap="flat">
          <a:noFill/>
          <a:miter lim="400000"/>
        </a:ln>
        <a:effectLst/>
      </xdr:spPr>
    </xdr:pic>
    <xdr:clientData/>
  </xdr:twoCellAnchor>
  <xdr:twoCellAnchor>
    <xdr:from>
      <xdr:col>42</xdr:col>
      <xdr:colOff>152400</xdr:colOff>
      <xdr:row>93</xdr:row>
      <xdr:rowOff>66675</xdr:rowOff>
    </xdr:from>
    <xdr:to>
      <xdr:col>43</xdr:col>
      <xdr:colOff>101600</xdr:colOff>
      <xdr:row>94</xdr:row>
      <xdr:rowOff>123825</xdr:rowOff>
    </xdr:to>
    <xdr:pic>
      <xdr:nvPicPr>
        <xdr:cNvPr id="40" name="Picture 1" descr="Picture 1"/>
        <xdr:cNvPicPr>
          <a:picLocks noChangeAspect="1"/>
        </xdr:cNvPicPr>
      </xdr:nvPicPr>
      <xdr:blipFill>
        <a:blip r:embed="rId6">
          <a:extLst/>
        </a:blip>
        <a:stretch>
          <a:fillRect/>
        </a:stretch>
      </xdr:blipFill>
      <xdr:spPr>
        <a:xfrm>
          <a:off x="33210500" y="16681450"/>
          <a:ext cx="647700" cy="219075"/>
        </a:xfrm>
        <a:prstGeom prst="rect">
          <a:avLst/>
        </a:prstGeom>
        <a:ln w="12700" cap="flat">
          <a:noFill/>
          <a:miter lim="400000"/>
        </a:ln>
        <a:effectLst/>
      </xdr:spPr>
    </xdr:pic>
    <xdr:clientData/>
  </xdr:twoCellAnchor>
  <xdr:twoCellAnchor>
    <xdr:from>
      <xdr:col>34</xdr:col>
      <xdr:colOff>209550</xdr:colOff>
      <xdr:row>93</xdr:row>
      <xdr:rowOff>142875</xdr:rowOff>
    </xdr:from>
    <xdr:to>
      <xdr:col>35</xdr:col>
      <xdr:colOff>34925</xdr:colOff>
      <xdr:row>94</xdr:row>
      <xdr:rowOff>9525</xdr:rowOff>
    </xdr:to>
    <xdr:pic>
      <xdr:nvPicPr>
        <xdr:cNvPr id="41" name="image4.pdf" descr="image4.pdf"/>
        <xdr:cNvPicPr>
          <a:picLocks noChangeAspect="1"/>
        </xdr:cNvPicPr>
      </xdr:nvPicPr>
      <xdr:blipFill>
        <a:blip r:embed="rId7">
          <a:extLst/>
        </a:blip>
        <a:stretch>
          <a:fillRect/>
        </a:stretch>
      </xdr:blipFill>
      <xdr:spPr>
        <a:xfrm>
          <a:off x="27679650" y="16757650"/>
          <a:ext cx="523875" cy="28575"/>
        </a:xfrm>
        <a:prstGeom prst="rect">
          <a:avLst/>
        </a:prstGeom>
        <a:ln w="12700" cap="flat">
          <a:noFill/>
          <a:miter lim="400000"/>
        </a:ln>
        <a:effectLst/>
      </xdr:spPr>
    </xdr:pic>
    <xdr:clientData/>
  </xdr:twoCellAnchor>
  <xdr:twoCellAnchor>
    <xdr:from>
      <xdr:col>35</xdr:col>
      <xdr:colOff>171450</xdr:colOff>
      <xdr:row>93</xdr:row>
      <xdr:rowOff>38100</xdr:rowOff>
    </xdr:from>
    <xdr:to>
      <xdr:col>35</xdr:col>
      <xdr:colOff>695325</xdr:colOff>
      <xdr:row>95</xdr:row>
      <xdr:rowOff>38100</xdr:rowOff>
    </xdr:to>
    <xdr:pic>
      <xdr:nvPicPr>
        <xdr:cNvPr id="42" name="image5.pdf" descr="image5.pdf"/>
        <xdr:cNvPicPr>
          <a:picLocks noChangeAspect="1"/>
        </xdr:cNvPicPr>
      </xdr:nvPicPr>
      <xdr:blipFill>
        <a:blip r:embed="rId8">
          <a:extLst/>
        </a:blip>
        <a:stretch>
          <a:fillRect/>
        </a:stretch>
      </xdr:blipFill>
      <xdr:spPr>
        <a:xfrm>
          <a:off x="28340050" y="16652875"/>
          <a:ext cx="523875" cy="323850"/>
        </a:xfrm>
        <a:prstGeom prst="rect">
          <a:avLst/>
        </a:prstGeom>
        <a:ln w="12700" cap="flat">
          <a:noFill/>
          <a:miter lim="400000"/>
        </a:ln>
        <a:effectLst/>
      </xdr:spPr>
    </xdr:pic>
    <xdr:clientData/>
  </xdr:twoCellAnchor>
  <xdr:twoCellAnchor>
    <xdr:from>
      <xdr:col>36</xdr:col>
      <xdr:colOff>228600</xdr:colOff>
      <xdr:row>93</xdr:row>
      <xdr:rowOff>28575</xdr:rowOff>
    </xdr:from>
    <xdr:to>
      <xdr:col>37</xdr:col>
      <xdr:colOff>15875</xdr:colOff>
      <xdr:row>95</xdr:row>
      <xdr:rowOff>38100</xdr:rowOff>
    </xdr:to>
    <xdr:pic>
      <xdr:nvPicPr>
        <xdr:cNvPr id="43" name="image1.pdf" descr="image1.pdf"/>
        <xdr:cNvPicPr>
          <a:picLocks noChangeAspect="1"/>
        </xdr:cNvPicPr>
      </xdr:nvPicPr>
      <xdr:blipFill>
        <a:blip r:embed="rId9">
          <a:extLst/>
        </a:blip>
        <a:stretch>
          <a:fillRect/>
        </a:stretch>
      </xdr:blipFill>
      <xdr:spPr>
        <a:xfrm>
          <a:off x="29095700" y="16643350"/>
          <a:ext cx="485775" cy="333375"/>
        </a:xfrm>
        <a:prstGeom prst="rect">
          <a:avLst/>
        </a:prstGeom>
        <a:ln w="12700" cap="flat">
          <a:noFill/>
          <a:miter lim="400000"/>
        </a:ln>
        <a:effectLst/>
      </xdr:spPr>
    </xdr:pic>
    <xdr:clientData/>
  </xdr:twoCellAnchor>
  <xdr:twoCellAnchor>
    <xdr:from>
      <xdr:col>37</xdr:col>
      <xdr:colOff>238125</xdr:colOff>
      <xdr:row>93</xdr:row>
      <xdr:rowOff>57150</xdr:rowOff>
    </xdr:from>
    <xdr:to>
      <xdr:col>38</xdr:col>
      <xdr:colOff>25400</xdr:colOff>
      <xdr:row>95</xdr:row>
      <xdr:rowOff>28575</xdr:rowOff>
    </xdr:to>
    <xdr:pic>
      <xdr:nvPicPr>
        <xdr:cNvPr id="44" name="image8.pdf" descr="image8.pdf"/>
        <xdr:cNvPicPr>
          <a:picLocks noChangeAspect="1"/>
        </xdr:cNvPicPr>
      </xdr:nvPicPr>
      <xdr:blipFill>
        <a:blip r:embed="rId10">
          <a:extLst/>
        </a:blip>
        <a:stretch>
          <a:fillRect/>
        </a:stretch>
      </xdr:blipFill>
      <xdr:spPr>
        <a:xfrm>
          <a:off x="29803725" y="16671925"/>
          <a:ext cx="485775" cy="295275"/>
        </a:xfrm>
        <a:prstGeom prst="rect">
          <a:avLst/>
        </a:prstGeom>
        <a:ln w="12700" cap="flat">
          <a:noFill/>
          <a:miter lim="400000"/>
        </a:ln>
        <a:effectLst/>
      </xdr:spPr>
    </xdr:pic>
    <xdr:clientData/>
  </xdr:twoCellAnchor>
  <xdr:twoCellAnchor>
    <xdr:from>
      <xdr:col>38</xdr:col>
      <xdr:colOff>152400</xdr:colOff>
      <xdr:row>93</xdr:row>
      <xdr:rowOff>0</xdr:rowOff>
    </xdr:from>
    <xdr:to>
      <xdr:col>39</xdr:col>
      <xdr:colOff>82550</xdr:colOff>
      <xdr:row>95</xdr:row>
      <xdr:rowOff>19050</xdr:rowOff>
    </xdr:to>
    <xdr:pic>
      <xdr:nvPicPr>
        <xdr:cNvPr id="45" name="image2.pdf" descr="image2.pdf"/>
        <xdr:cNvPicPr>
          <a:picLocks noChangeAspect="1"/>
        </xdr:cNvPicPr>
      </xdr:nvPicPr>
      <xdr:blipFill>
        <a:blip r:embed="rId11">
          <a:extLst/>
        </a:blip>
        <a:stretch>
          <a:fillRect/>
        </a:stretch>
      </xdr:blipFill>
      <xdr:spPr>
        <a:xfrm>
          <a:off x="30416500" y="16614775"/>
          <a:ext cx="628650" cy="342900"/>
        </a:xfrm>
        <a:prstGeom prst="rect">
          <a:avLst/>
        </a:prstGeom>
        <a:ln w="12700" cap="flat">
          <a:noFill/>
          <a:miter lim="400000"/>
        </a:ln>
        <a:effectLst/>
      </xdr:spPr>
    </xdr:pic>
    <xdr:clientData/>
  </xdr:twoCellAnchor>
  <xdr:twoCellAnchor>
    <xdr:from>
      <xdr:col>39</xdr:col>
      <xdr:colOff>247650</xdr:colOff>
      <xdr:row>93</xdr:row>
      <xdr:rowOff>47625</xdr:rowOff>
    </xdr:from>
    <xdr:to>
      <xdr:col>40</xdr:col>
      <xdr:colOff>15875</xdr:colOff>
      <xdr:row>95</xdr:row>
      <xdr:rowOff>28575</xdr:rowOff>
    </xdr:to>
    <xdr:pic>
      <xdr:nvPicPr>
        <xdr:cNvPr id="46" name="image6.pdf" descr="image6.pdf"/>
        <xdr:cNvPicPr>
          <a:picLocks noChangeAspect="1"/>
        </xdr:cNvPicPr>
      </xdr:nvPicPr>
      <xdr:blipFill>
        <a:blip r:embed="rId12">
          <a:extLst/>
        </a:blip>
        <a:stretch>
          <a:fillRect/>
        </a:stretch>
      </xdr:blipFill>
      <xdr:spPr>
        <a:xfrm>
          <a:off x="31210250" y="16662400"/>
          <a:ext cx="466725" cy="304800"/>
        </a:xfrm>
        <a:prstGeom prst="rect">
          <a:avLst/>
        </a:prstGeom>
        <a:ln w="12700" cap="flat">
          <a:noFill/>
          <a:miter lim="400000"/>
        </a:ln>
        <a:effectLst/>
      </xdr:spPr>
    </xdr:pic>
    <xdr:clientData/>
  </xdr:twoCellAnchor>
  <xdr:twoCellAnchor>
    <xdr:from>
      <xdr:col>40</xdr:col>
      <xdr:colOff>200025</xdr:colOff>
      <xdr:row>93</xdr:row>
      <xdr:rowOff>38100</xdr:rowOff>
    </xdr:from>
    <xdr:to>
      <xdr:col>40</xdr:col>
      <xdr:colOff>657225</xdr:colOff>
      <xdr:row>95</xdr:row>
      <xdr:rowOff>38100</xdr:rowOff>
    </xdr:to>
    <xdr:pic>
      <xdr:nvPicPr>
        <xdr:cNvPr id="47" name="image3.pdf" descr="image3.pdf"/>
        <xdr:cNvPicPr>
          <a:picLocks noChangeAspect="1"/>
        </xdr:cNvPicPr>
      </xdr:nvPicPr>
      <xdr:blipFill>
        <a:blip r:embed="rId13">
          <a:extLst/>
        </a:blip>
        <a:stretch>
          <a:fillRect/>
        </a:stretch>
      </xdr:blipFill>
      <xdr:spPr>
        <a:xfrm>
          <a:off x="31861125" y="16652875"/>
          <a:ext cx="457200" cy="323850"/>
        </a:xfrm>
        <a:prstGeom prst="rect">
          <a:avLst/>
        </a:prstGeom>
        <a:ln w="12700" cap="flat">
          <a:noFill/>
          <a:miter lim="400000"/>
        </a:ln>
        <a:effectLst/>
      </xdr:spPr>
    </xdr:pic>
    <xdr:clientData/>
  </xdr:twoCellAnchor>
  <xdr:twoCellAnchor>
    <xdr:from>
      <xdr:col>41</xdr:col>
      <xdr:colOff>200025</xdr:colOff>
      <xdr:row>93</xdr:row>
      <xdr:rowOff>19050</xdr:rowOff>
    </xdr:from>
    <xdr:to>
      <xdr:col>42</xdr:col>
      <xdr:colOff>63500</xdr:colOff>
      <xdr:row>94</xdr:row>
      <xdr:rowOff>133350</xdr:rowOff>
    </xdr:to>
    <xdr:pic>
      <xdr:nvPicPr>
        <xdr:cNvPr id="48" name="image7.pdf" descr="image7.pdf"/>
        <xdr:cNvPicPr>
          <a:picLocks noChangeAspect="1"/>
        </xdr:cNvPicPr>
      </xdr:nvPicPr>
      <xdr:blipFill>
        <a:blip r:embed="rId14">
          <a:extLst/>
        </a:blip>
        <a:stretch>
          <a:fillRect/>
        </a:stretch>
      </xdr:blipFill>
      <xdr:spPr>
        <a:xfrm>
          <a:off x="32559625" y="16633825"/>
          <a:ext cx="561975" cy="276225"/>
        </a:xfrm>
        <a:prstGeom prst="rect">
          <a:avLst/>
        </a:prstGeom>
        <a:ln w="12700" cap="flat">
          <a:noFill/>
          <a:miter lim="400000"/>
        </a:ln>
        <a:effectLst/>
      </xdr:spPr>
    </xdr:pic>
    <xdr:clientData/>
  </xdr:twoCellAnchor>
  <xdr:twoCellAnchor>
    <xdr:from>
      <xdr:col>37</xdr:col>
      <xdr:colOff>57150</xdr:colOff>
      <xdr:row>18</xdr:row>
      <xdr:rowOff>47625</xdr:rowOff>
    </xdr:from>
    <xdr:to>
      <xdr:col>38</xdr:col>
      <xdr:colOff>177800</xdr:colOff>
      <xdr:row>20</xdr:row>
      <xdr:rowOff>28575</xdr:rowOff>
    </xdr:to>
    <xdr:pic>
      <xdr:nvPicPr>
        <xdr:cNvPr id="49" name="image9.pdf" descr="image9.pdf"/>
        <xdr:cNvPicPr>
          <a:picLocks noChangeAspect="1"/>
        </xdr:cNvPicPr>
      </xdr:nvPicPr>
      <xdr:blipFill>
        <a:blip r:embed="rId15">
          <a:extLst/>
        </a:blip>
        <a:stretch>
          <a:fillRect/>
        </a:stretch>
      </xdr:blipFill>
      <xdr:spPr>
        <a:xfrm>
          <a:off x="29622750" y="3822700"/>
          <a:ext cx="819150" cy="323850"/>
        </a:xfrm>
        <a:prstGeom prst="rect">
          <a:avLst/>
        </a:prstGeom>
        <a:ln w="12700" cap="flat">
          <a:noFill/>
          <a:miter lim="400000"/>
        </a:ln>
        <a:effectLst/>
      </xdr:spPr>
    </xdr:pic>
    <xdr:clientData/>
  </xdr:twoCellAnchor>
  <xdr:twoCellAnchor>
    <xdr:from>
      <xdr:col>38</xdr:col>
      <xdr:colOff>104775</xdr:colOff>
      <xdr:row>18</xdr:row>
      <xdr:rowOff>19050</xdr:rowOff>
    </xdr:from>
    <xdr:to>
      <xdr:col>39</xdr:col>
      <xdr:colOff>200025</xdr:colOff>
      <xdr:row>20</xdr:row>
      <xdr:rowOff>47625</xdr:rowOff>
    </xdr:to>
    <xdr:grpSp>
      <xdr:nvGrpSpPr>
        <xdr:cNvPr id="52" name="Agrupar"/>
        <xdr:cNvGrpSpPr/>
      </xdr:nvGrpSpPr>
      <xdr:grpSpPr>
        <a:xfrm>
          <a:off x="30368875" y="3794125"/>
          <a:ext cx="793750" cy="371475"/>
          <a:chOff x="0" y="0"/>
          <a:chExt cx="793750" cy="371475"/>
        </a:xfrm>
      </xdr:grpSpPr>
      <xdr:sp>
        <xdr:nvSpPr>
          <xdr:cNvPr id="50" name="Rectángulo"/>
          <xdr:cNvSpPr/>
        </xdr:nvSpPr>
        <xdr:spPr>
          <a:xfrm>
            <a:off x="0" y="0"/>
            <a:ext cx="793750" cy="371475"/>
          </a:xfrm>
          <a:prstGeom prst="rect">
            <a:avLst/>
          </a:prstGeom>
          <a:solidFill>
            <a:srgbClr val="969696"/>
          </a:solidFill>
          <a:ln w="12700" cap="flat">
            <a:noFill/>
            <a:miter lim="400000"/>
          </a:ln>
          <a:effectLst/>
        </xdr:spPr>
        <xdr:txBody>
          <a:bodyPr/>
          <a:lstStyle/>
          <a:p>
            <a:pPr/>
          </a:p>
        </xdr:txBody>
      </xdr:sp>
      <xdr:pic>
        <xdr:nvPicPr>
          <xdr:cNvPr id="51" name="image13.pdf" descr="image13.pdf"/>
          <xdr:cNvPicPr>
            <a:picLocks noChangeAspect="1"/>
          </xdr:cNvPicPr>
        </xdr:nvPicPr>
        <xdr:blipFill>
          <a:blip r:embed="rId16">
            <a:extLst/>
          </a:blip>
          <a:stretch>
            <a:fillRect/>
          </a:stretch>
        </xdr:blipFill>
        <xdr:spPr>
          <a:xfrm>
            <a:off x="0" y="0"/>
            <a:ext cx="793750" cy="371475"/>
          </a:xfrm>
          <a:prstGeom prst="rect">
            <a:avLst/>
          </a:prstGeom>
          <a:ln w="12700" cap="flat">
            <a:noFill/>
            <a:miter lim="400000"/>
          </a:ln>
          <a:effectLst/>
        </xdr:spPr>
      </xdr:pic>
    </xdr:grpSp>
    <xdr:clientData/>
  </xdr:twoCellAnchor>
  <xdr:twoCellAnchor>
    <xdr:from>
      <xdr:col>43</xdr:col>
      <xdr:colOff>304800</xdr:colOff>
      <xdr:row>93</xdr:row>
      <xdr:rowOff>76200</xdr:rowOff>
    </xdr:from>
    <xdr:to>
      <xdr:col>44</xdr:col>
      <xdr:colOff>38100</xdr:colOff>
      <xdr:row>94</xdr:row>
      <xdr:rowOff>114300</xdr:rowOff>
    </xdr:to>
    <xdr:grpSp>
      <xdr:nvGrpSpPr>
        <xdr:cNvPr id="55" name="Agrupar"/>
        <xdr:cNvGrpSpPr/>
      </xdr:nvGrpSpPr>
      <xdr:grpSpPr>
        <a:xfrm>
          <a:off x="34061400" y="16690975"/>
          <a:ext cx="431800" cy="200025"/>
          <a:chOff x="0" y="0"/>
          <a:chExt cx="431800" cy="200025"/>
        </a:xfrm>
      </xdr:grpSpPr>
      <xdr:sp>
        <xdr:nvSpPr>
          <xdr:cNvPr id="53" name="Rectángulo"/>
          <xdr:cNvSpPr/>
        </xdr:nvSpPr>
        <xdr:spPr>
          <a:xfrm>
            <a:off x="0" y="0"/>
            <a:ext cx="431800" cy="200025"/>
          </a:xfrm>
          <a:prstGeom prst="rect">
            <a:avLst/>
          </a:prstGeom>
          <a:solidFill>
            <a:srgbClr val="969696">
              <a:alpha val="74000"/>
            </a:srgbClr>
          </a:solidFill>
          <a:ln w="12700" cap="flat">
            <a:noFill/>
            <a:miter lim="400000"/>
          </a:ln>
          <a:effectLst/>
        </xdr:spPr>
        <xdr:txBody>
          <a:bodyPr/>
          <a:lstStyle/>
          <a:p>
            <a:pPr/>
          </a:p>
        </xdr:txBody>
      </xdr:sp>
      <xdr:pic>
        <xdr:nvPicPr>
          <xdr:cNvPr id="54" name="image14.pdf" descr="image14.pdf"/>
          <xdr:cNvPicPr>
            <a:picLocks noChangeAspect="1"/>
          </xdr:cNvPicPr>
        </xdr:nvPicPr>
        <xdr:blipFill>
          <a:blip r:embed="rId17">
            <a:extLst/>
          </a:blip>
          <a:stretch>
            <a:fillRect/>
          </a:stretch>
        </xdr:blipFill>
        <xdr:spPr>
          <a:xfrm>
            <a:off x="0" y="0"/>
            <a:ext cx="431800" cy="200025"/>
          </a:xfrm>
          <a:prstGeom prst="rect">
            <a:avLst/>
          </a:prstGeom>
          <a:ln w="12700" cap="flat">
            <a:noFill/>
            <a:miter lim="400000"/>
          </a:ln>
          <a:effectLst/>
        </xdr:spPr>
      </xdr:pic>
    </xdr:grpSp>
    <xdr:clientData/>
  </xdr:twoCellAnchor>
  <xdr:twoCellAnchor>
    <xdr:from>
      <xdr:col>44</xdr:col>
      <xdr:colOff>28575</xdr:colOff>
      <xdr:row>93</xdr:row>
      <xdr:rowOff>57150</xdr:rowOff>
    </xdr:from>
    <xdr:to>
      <xdr:col>45</xdr:col>
      <xdr:colOff>247650</xdr:colOff>
      <xdr:row>94</xdr:row>
      <xdr:rowOff>95250</xdr:rowOff>
    </xdr:to>
    <xdr:grpSp>
      <xdr:nvGrpSpPr>
        <xdr:cNvPr id="58" name="Agrupar"/>
        <xdr:cNvGrpSpPr/>
      </xdr:nvGrpSpPr>
      <xdr:grpSpPr>
        <a:xfrm>
          <a:off x="34483675" y="16671925"/>
          <a:ext cx="917575" cy="200025"/>
          <a:chOff x="0" y="0"/>
          <a:chExt cx="917575" cy="200025"/>
        </a:xfrm>
      </xdr:grpSpPr>
      <xdr:sp>
        <xdr:nvSpPr>
          <xdr:cNvPr id="56" name="Rectángulo"/>
          <xdr:cNvSpPr/>
        </xdr:nvSpPr>
        <xdr:spPr>
          <a:xfrm>
            <a:off x="0" y="0"/>
            <a:ext cx="917575" cy="200025"/>
          </a:xfrm>
          <a:prstGeom prst="rect">
            <a:avLst/>
          </a:prstGeom>
          <a:solidFill>
            <a:srgbClr val="969696"/>
          </a:solidFill>
          <a:ln w="12700" cap="flat">
            <a:noFill/>
            <a:miter lim="400000"/>
          </a:ln>
          <a:effectLst/>
        </xdr:spPr>
        <xdr:txBody>
          <a:bodyPr/>
          <a:lstStyle/>
          <a:p>
            <a:pPr/>
          </a:p>
        </xdr:txBody>
      </xdr:sp>
      <xdr:pic>
        <xdr:nvPicPr>
          <xdr:cNvPr id="57" name="image15.pdf" descr="image15.pdf"/>
          <xdr:cNvPicPr>
            <a:picLocks noChangeAspect="1"/>
          </xdr:cNvPicPr>
        </xdr:nvPicPr>
        <xdr:blipFill>
          <a:blip r:embed="rId18">
            <a:extLst/>
          </a:blip>
          <a:stretch>
            <a:fillRect/>
          </a:stretch>
        </xdr:blipFill>
        <xdr:spPr>
          <a:xfrm>
            <a:off x="0" y="0"/>
            <a:ext cx="917575" cy="200025"/>
          </a:xfrm>
          <a:prstGeom prst="rect">
            <a:avLst/>
          </a:prstGeom>
          <a:ln w="9525" cap="flat">
            <a:solidFill>
              <a:srgbClr val="808080"/>
            </a:solidFill>
            <a:prstDash val="solid"/>
            <a:round/>
          </a:ln>
          <a:effectLst/>
        </xdr:spPr>
      </xdr:pic>
    </xdr:grpSp>
    <xdr:clientData/>
  </xdr:twoCellAnchor>
  <xdr:twoCellAnchor>
    <xdr:from>
      <xdr:col>21</xdr:col>
      <xdr:colOff>190500</xdr:colOff>
      <xdr:row>50</xdr:row>
      <xdr:rowOff>9525</xdr:rowOff>
    </xdr:from>
    <xdr:to>
      <xdr:col>26</xdr:col>
      <xdr:colOff>466725</xdr:colOff>
      <xdr:row>59</xdr:row>
      <xdr:rowOff>118219</xdr:rowOff>
    </xdr:to>
    <xdr:pic>
      <xdr:nvPicPr>
        <xdr:cNvPr id="59" name="Imagen 19" descr="Imagen 19"/>
        <xdr:cNvPicPr>
          <a:picLocks noChangeAspect="1"/>
        </xdr:cNvPicPr>
      </xdr:nvPicPr>
      <xdr:blipFill>
        <a:blip r:embed="rId19">
          <a:extLst/>
        </a:blip>
        <a:stretch>
          <a:fillRect/>
        </a:stretch>
      </xdr:blipFill>
      <xdr:spPr>
        <a:xfrm>
          <a:off x="18580100" y="9404350"/>
          <a:ext cx="3768725" cy="1708895"/>
        </a:xfrm>
        <a:prstGeom prst="rect">
          <a:avLst/>
        </a:prstGeom>
        <a:ln w="12700" cap="flat">
          <a:noFill/>
          <a:miter lim="400000"/>
        </a:ln>
        <a:effectLst/>
      </xdr:spPr>
    </xdr:pic>
    <xdr:clientData/>
  </xdr:twoCellAnchor>
  <xdr:twoCellAnchor>
    <xdr:from>
      <xdr:col>6</xdr:col>
      <xdr:colOff>171450</xdr:colOff>
      <xdr:row>38</xdr:row>
      <xdr:rowOff>123825</xdr:rowOff>
    </xdr:from>
    <xdr:to>
      <xdr:col>6</xdr:col>
      <xdr:colOff>809625</xdr:colOff>
      <xdr:row>38</xdr:row>
      <xdr:rowOff>123825</xdr:rowOff>
    </xdr:to>
    <xdr:sp>
      <xdr:nvSpPr>
        <xdr:cNvPr id="60" name="Line 44"/>
        <xdr:cNvSpPr/>
      </xdr:nvSpPr>
      <xdr:spPr>
        <a:xfrm>
          <a:off x="5480050" y="7232650"/>
          <a:ext cx="638176" cy="0"/>
        </a:xfrm>
        <a:prstGeom prst="line">
          <a:avLst/>
        </a:prstGeom>
        <a:noFill/>
        <a:ln w="17145" cap="flat">
          <a:solidFill>
            <a:srgbClr val="C0C0C0"/>
          </a:solidFill>
          <a:prstDash val="solid"/>
          <a:round/>
        </a:ln>
        <a:effectLst/>
      </xdr:spPr>
      <xdr:txBody>
        <a:bodyPr/>
        <a:lstStyle/>
        <a:p>
          <a:pPr/>
        </a:p>
      </xdr:txBody>
    </xdr:sp>
    <xdr:clientData/>
  </xdr:twoCellAnchor>
  <xdr:twoCellAnchor>
    <xdr:from>
      <xdr:col>6</xdr:col>
      <xdr:colOff>266700</xdr:colOff>
      <xdr:row>37</xdr:row>
      <xdr:rowOff>86993</xdr:rowOff>
    </xdr:from>
    <xdr:to>
      <xdr:col>6</xdr:col>
      <xdr:colOff>790575</xdr:colOff>
      <xdr:row>37</xdr:row>
      <xdr:rowOff>86993</xdr:rowOff>
    </xdr:to>
    <xdr:sp>
      <xdr:nvSpPr>
        <xdr:cNvPr id="61" name="Line 46"/>
        <xdr:cNvSpPr/>
      </xdr:nvSpPr>
      <xdr:spPr>
        <a:xfrm>
          <a:off x="5575300" y="7033893"/>
          <a:ext cx="523876" cy="1"/>
        </a:xfrm>
        <a:prstGeom prst="line">
          <a:avLst/>
        </a:prstGeom>
        <a:noFill/>
        <a:ln w="17145" cap="flat">
          <a:solidFill>
            <a:srgbClr val="000000"/>
          </a:solidFill>
          <a:prstDash val="dashDot"/>
          <a:round/>
        </a:ln>
        <a:effectLst/>
      </xdr:spPr>
      <xdr:txBody>
        <a:bodyPr/>
        <a:lstStyle/>
        <a:p>
          <a:pPr/>
        </a:p>
      </xdr:txBody>
    </xdr:sp>
    <xdr:clientData/>
  </xdr:twoCellAnchor>
  <xdr:twoCellAnchor>
    <xdr:from>
      <xdr:col>6</xdr:col>
      <xdr:colOff>529385</xdr:colOff>
      <xdr:row>25</xdr:row>
      <xdr:rowOff>9960</xdr:rowOff>
    </xdr:from>
    <xdr:to>
      <xdr:col>10</xdr:col>
      <xdr:colOff>13111</xdr:colOff>
      <xdr:row>37</xdr:row>
      <xdr:rowOff>3286</xdr:rowOff>
    </xdr:to>
    <xdr:graphicFrame>
      <xdr:nvGraphicFramePr>
        <xdr:cNvPr id="62" name="Chart 12"/>
        <xdr:cNvGraphicFramePr/>
      </xdr:nvGraphicFramePr>
      <xdr:xfrm>
        <a:off x="5837985" y="4956610"/>
        <a:ext cx="3560427" cy="1993577"/>
      </xdr:xfrm>
      <a:graphic xmlns:a="http://schemas.openxmlformats.org/drawingml/2006/main">
        <a:graphicData uri="http://schemas.openxmlformats.org/drawingml/2006/chart">
          <c:chart xmlns:c="http://schemas.openxmlformats.org/drawingml/2006/chart" r:id="rId20"/>
        </a:graphicData>
      </a:graphic>
    </xdr:graphicFrame>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152400</xdr:colOff>
      <xdr:row>1</xdr:row>
      <xdr:rowOff>33098</xdr:rowOff>
    </xdr:from>
    <xdr:to>
      <xdr:col>7</xdr:col>
      <xdr:colOff>419100</xdr:colOff>
      <xdr:row>49</xdr:row>
      <xdr:rowOff>157399</xdr:rowOff>
    </xdr:to>
    <xdr:sp>
      <xdr:nvSpPr>
        <xdr:cNvPr id="64" name="Text Box 4"/>
        <xdr:cNvSpPr txBox="1"/>
      </xdr:nvSpPr>
      <xdr:spPr>
        <a:xfrm>
          <a:off x="152400" y="195023"/>
          <a:ext cx="5321300" cy="7963377"/>
        </a:xfrm>
        <a:prstGeom prst="rect">
          <a:avLst/>
        </a:prstGeom>
        <a:solidFill>
          <a:srgbClr val="FFFFFF"/>
        </a:solidFill>
        <a:ln w="25400" cap="flat">
          <a:solidFill>
            <a:srgbClr val="29297B"/>
          </a:solidFill>
          <a:prstDash val="solid"/>
          <a:round/>
        </a:ln>
        <a:effectLst/>
        <a:extLst>
          <a:ext uri="{C572A759-6A51-4108-AA02-DFA0A04FC94B}">
            <ma14:wrappingTextBoxFlag xmlns:ma14="http://schemas.microsoft.com/office/mac/drawingml/2011/main" val="1"/>
          </a:ext>
        </a:extLst>
      </xdr:spPr>
      <xdr:txBody>
        <a:bodyPr wrap="square" lIns="0" tIns="0" rIns="0" bIns="0" numCol="1" anchor="t">
          <a:noAutofit/>
        </a:bodyPr>
        <a:lstStyle/>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Tahoma"/>
              <a:ea typeface="Tahoma"/>
              <a:cs typeface="Tahoma"/>
              <a:sym typeface="Tahoma"/>
            </a:defRPr>
          </a:pPr>
          <a:r>
            <a:rPr b="0" baseline="0" cap="none" i="0" spc="0" strike="noStrike" sz="1000" u="none">
              <a:solidFill>
                <a:srgbClr val="000000"/>
              </a:solidFill>
              <a:uFillTx/>
              <a:latin typeface="Tahoma"/>
              <a:ea typeface="Tahoma"/>
              <a:cs typeface="Tahoma"/>
              <a:sym typeface="Tahoma"/>
            </a:rPr>
            <a:t>A continuación se describen las pruebas realizadas durante la calibración.</a:t>
          </a:r>
          <a:endParaRPr b="0"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Tahoma"/>
              <a:ea typeface="Tahoma"/>
              <a:cs typeface="Tahoma"/>
              <a:sym typeface="Tahoma"/>
            </a:defRPr>
          </a:pPr>
          <a:endParaRPr b="0"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1" baseline="0" cap="none" i="0" spc="0" strike="noStrike" sz="1000" u="none">
              <a:solidFill>
                <a:srgbClr val="000000"/>
              </a:solidFill>
              <a:uFillTx/>
              <a:latin typeface="Tahoma"/>
              <a:ea typeface="Tahoma"/>
              <a:cs typeface="Tahoma"/>
              <a:sym typeface="Tahoma"/>
            </a:defRPr>
          </a:pPr>
          <a:r>
            <a:rPr b="1" baseline="0" cap="none" i="0" spc="0" strike="noStrike" sz="1000" u="none">
              <a:solidFill>
                <a:srgbClr val="000000"/>
              </a:solidFill>
              <a:uFillTx/>
              <a:latin typeface="Tahoma"/>
              <a:ea typeface="Tahoma"/>
              <a:cs typeface="Tahoma"/>
              <a:sym typeface="Tahoma"/>
            </a:rPr>
            <a:t>Referencias:</a:t>
          </a:r>
          <a:endParaRPr b="1"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Tahoma"/>
              <a:ea typeface="Tahoma"/>
              <a:cs typeface="Tahoma"/>
              <a:sym typeface="Tahoma"/>
            </a:defRPr>
          </a:pPr>
          <a:endParaRPr b="0"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Tahoma"/>
              <a:ea typeface="Tahoma"/>
              <a:cs typeface="Tahoma"/>
              <a:sym typeface="Tahoma"/>
            </a:defRPr>
          </a:pPr>
          <a:r>
            <a:rPr b="0" baseline="0" cap="none" i="0" spc="0" strike="noStrike" sz="1000" u="none">
              <a:solidFill>
                <a:srgbClr val="000000"/>
              </a:solidFill>
              <a:uFillTx/>
              <a:latin typeface="Tahoma"/>
              <a:ea typeface="Tahoma"/>
              <a:cs typeface="Tahoma"/>
              <a:sym typeface="Tahoma"/>
            </a:rPr>
            <a:t>[ISO 12179:2000] Geometrical Product Specifications (GPS)--Surface texture: Profile method -- Calibration of contact ( stylus ) instruments.</a:t>
          </a:r>
          <a:endParaRPr b="0"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Tahoma"/>
              <a:ea typeface="Tahoma"/>
              <a:cs typeface="Tahoma"/>
              <a:sym typeface="Tahoma"/>
            </a:defRPr>
          </a:pPr>
          <a:endParaRPr b="0"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1" baseline="0" cap="none" i="0" spc="0" strike="noStrike" sz="1000" u="none">
              <a:solidFill>
                <a:srgbClr val="000000"/>
              </a:solidFill>
              <a:uFillTx/>
              <a:latin typeface="Tahoma"/>
              <a:ea typeface="Tahoma"/>
              <a:cs typeface="Tahoma"/>
              <a:sym typeface="Tahoma"/>
            </a:defRPr>
          </a:pPr>
          <a:r>
            <a:rPr b="1" baseline="0" cap="none" i="0" spc="0" strike="noStrike" sz="1000" u="none">
              <a:solidFill>
                <a:srgbClr val="000000"/>
              </a:solidFill>
              <a:uFillTx/>
              <a:latin typeface="Tahoma"/>
              <a:ea typeface="Tahoma"/>
              <a:cs typeface="Tahoma"/>
              <a:sym typeface="Tahoma"/>
            </a:rPr>
            <a:t>Método:</a:t>
          </a:r>
          <a:r>
            <a:rPr b="0" baseline="0" cap="none" i="0" spc="0" strike="noStrike" sz="1000" u="none">
              <a:solidFill>
                <a:srgbClr val="000000"/>
              </a:solidFill>
              <a:uFillTx/>
              <a:latin typeface="Tahoma"/>
              <a:ea typeface="Tahoma"/>
              <a:cs typeface="Tahoma"/>
              <a:sym typeface="Tahoma"/>
            </a:rPr>
            <a:t> Comparación directa con patrones de Rugosidad.</a:t>
          </a:r>
          <a:endParaRPr b="1"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1" baseline="0" cap="none" i="0" spc="0" strike="noStrike" sz="1000" u="none">
              <a:solidFill>
                <a:srgbClr val="000000"/>
              </a:solidFill>
              <a:uFillTx/>
              <a:latin typeface="Tahoma"/>
              <a:ea typeface="Tahoma"/>
              <a:cs typeface="Tahoma"/>
              <a:sym typeface="Tahoma"/>
            </a:defRPr>
          </a:pPr>
          <a:endParaRPr b="1"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1" baseline="0" cap="none" i="0" spc="0" strike="noStrike" sz="1000" u="none">
              <a:solidFill>
                <a:srgbClr val="000000"/>
              </a:solidFill>
              <a:uFillTx/>
              <a:latin typeface="Tahoma"/>
              <a:ea typeface="Tahoma"/>
              <a:cs typeface="Tahoma"/>
              <a:sym typeface="Tahoma"/>
            </a:defRPr>
          </a:pPr>
          <a:r>
            <a:rPr b="1" baseline="0" cap="none" i="0" spc="0" strike="noStrike" sz="1000" u="none">
              <a:solidFill>
                <a:srgbClr val="000000"/>
              </a:solidFill>
              <a:uFillTx/>
              <a:latin typeface="Tahoma"/>
              <a:ea typeface="Tahoma"/>
              <a:cs typeface="Tahoma"/>
              <a:sym typeface="Tahoma"/>
            </a:rPr>
            <a:t>Prueba de Calibración total del instrumento</a:t>
          </a:r>
          <a:endParaRPr b="1"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r>
            <a:rPr b="0" baseline="0" cap="none" i="0" spc="0" strike="noStrike" sz="1000" u="none">
              <a:solidFill>
                <a:srgbClr val="000000"/>
              </a:solidFill>
              <a:uFillTx/>
              <a:latin typeface="Arial"/>
              <a:ea typeface="Arial"/>
              <a:cs typeface="Arial"/>
              <a:sym typeface="Arial"/>
            </a:rPr>
            <a:t>Esta prueba evalúa al rugosímetro de manera completa, esto es todos los componentes del mismo están involucrados en esta prueba, esta es la única donde se toman 15 lecturas. Los parámetros evaluados son Ra y Rz.</a:t>
          </a: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1" baseline="0" cap="none" i="0" spc="0" strike="noStrike" sz="1000" u="none">
              <a:solidFill>
                <a:srgbClr val="000000"/>
              </a:solidFill>
              <a:uFillTx/>
              <a:latin typeface="Tahoma"/>
              <a:ea typeface="Tahoma"/>
              <a:cs typeface="Tahoma"/>
              <a:sym typeface="Tahoma"/>
            </a:defRPr>
          </a:pPr>
          <a:r>
            <a:rPr b="1" baseline="0" cap="none" i="0" spc="0" strike="noStrike" sz="1000" u="none">
              <a:solidFill>
                <a:srgbClr val="000000"/>
              </a:solidFill>
              <a:uFillTx/>
              <a:latin typeface="Tahoma"/>
              <a:ea typeface="Tahoma"/>
              <a:cs typeface="Tahoma"/>
              <a:sym typeface="Tahoma"/>
            </a:rPr>
            <a:t>Prueba de</a:t>
          </a:r>
          <a:r>
            <a:rPr b="0" baseline="0" cap="none" i="0" spc="0" strike="noStrike" sz="1000" u="none">
              <a:solidFill>
                <a:srgbClr val="000000"/>
              </a:solidFill>
              <a:uFillTx/>
              <a:latin typeface="Tahoma"/>
              <a:ea typeface="Tahoma"/>
              <a:cs typeface="Tahoma"/>
              <a:sym typeface="Tahoma"/>
            </a:rPr>
            <a:t> </a:t>
          </a:r>
          <a:r>
            <a:rPr b="1" baseline="0" cap="none" i="0" spc="0" strike="noStrike" sz="1000" u="none">
              <a:solidFill>
                <a:srgbClr val="000000"/>
              </a:solidFill>
              <a:uFillTx/>
              <a:latin typeface="Tahoma"/>
              <a:ea typeface="Tahoma"/>
              <a:cs typeface="Tahoma"/>
              <a:sym typeface="Tahoma"/>
            </a:rPr>
            <a:t>Calibración del sistema de coordenadas</a:t>
          </a:r>
          <a:endParaRPr b="1"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r>
            <a:rPr b="0" baseline="0" cap="none" i="0" spc="0" strike="noStrike" sz="1000" u="none">
              <a:solidFill>
                <a:srgbClr val="000000"/>
              </a:solidFill>
              <a:uFillTx/>
              <a:latin typeface="Arial"/>
              <a:ea typeface="Arial"/>
              <a:cs typeface="Arial"/>
              <a:sym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1" baseline="0" cap="none" i="0" spc="0" strike="noStrike" sz="1000" u="none">
              <a:solidFill>
                <a:srgbClr val="000000"/>
              </a:solidFill>
              <a:uFillTx/>
              <a:latin typeface="Tahoma"/>
              <a:ea typeface="Tahoma"/>
              <a:cs typeface="Tahoma"/>
              <a:sym typeface="Tahoma"/>
            </a:defRPr>
          </a:pPr>
          <a:r>
            <a:rPr b="1" baseline="0" cap="none" i="0" spc="0" strike="noStrike" sz="1000" u="none">
              <a:solidFill>
                <a:srgbClr val="000000"/>
              </a:solidFill>
              <a:uFillTx/>
              <a:latin typeface="Tahoma"/>
              <a:ea typeface="Tahoma"/>
              <a:cs typeface="Tahoma"/>
              <a:sym typeface="Tahoma"/>
            </a:rPr>
            <a:t>Prueba de</a:t>
          </a:r>
          <a:r>
            <a:rPr b="0" baseline="0" cap="none" i="0" spc="0" strike="noStrike" sz="1000" u="none">
              <a:solidFill>
                <a:srgbClr val="000000"/>
              </a:solidFill>
              <a:uFillTx/>
              <a:latin typeface="Tahoma"/>
              <a:ea typeface="Tahoma"/>
              <a:cs typeface="Tahoma"/>
              <a:sym typeface="Tahoma"/>
            </a:rPr>
            <a:t> </a:t>
          </a:r>
          <a:r>
            <a:rPr b="1" baseline="0" cap="none" i="0" spc="0" strike="noStrike" sz="1000" u="none">
              <a:solidFill>
                <a:srgbClr val="000000"/>
              </a:solidFill>
              <a:uFillTx/>
              <a:latin typeface="Tahoma"/>
              <a:ea typeface="Tahoma"/>
              <a:cs typeface="Tahoma"/>
              <a:sym typeface="Tahoma"/>
            </a:rPr>
            <a:t>Calibración del error residual</a:t>
          </a:r>
          <a:endParaRPr b="1"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r>
            <a:rPr b="0" baseline="0" cap="none" i="0" spc="0" strike="noStrike" sz="1000" u="none">
              <a:solidFill>
                <a:srgbClr val="000000"/>
              </a:solidFill>
              <a:uFillTx/>
              <a:latin typeface="Arial"/>
              <a:ea typeface="Arial"/>
              <a:cs typeface="Arial"/>
              <a:sym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1" baseline="0" cap="none" i="0" spc="0" strike="noStrike" sz="1000" u="none">
              <a:solidFill>
                <a:srgbClr val="000000"/>
              </a:solidFill>
              <a:uFillTx/>
              <a:latin typeface="Tahoma"/>
              <a:ea typeface="Tahoma"/>
              <a:cs typeface="Tahoma"/>
              <a:sym typeface="Tahoma"/>
            </a:defRPr>
          </a:pPr>
          <a:r>
            <a:rPr b="1" baseline="0" cap="none" i="0" spc="0" strike="noStrike" sz="1000" u="none">
              <a:solidFill>
                <a:srgbClr val="000000"/>
              </a:solidFill>
              <a:uFillTx/>
              <a:latin typeface="Tahoma"/>
              <a:ea typeface="Tahoma"/>
              <a:cs typeface="Tahoma"/>
              <a:sym typeface="Tahoma"/>
            </a:rPr>
            <a:t>Prueba de Calibración de la componente Vertical</a:t>
          </a:r>
          <a:endParaRPr b="1"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r>
            <a:rPr b="0" baseline="0" cap="none" i="0" spc="0" strike="noStrike" sz="1000" u="none">
              <a:solidFill>
                <a:srgbClr val="000000"/>
              </a:solidFill>
              <a:uFillTx/>
              <a:latin typeface="Arial"/>
              <a:ea typeface="Arial"/>
              <a:cs typeface="Arial"/>
              <a:sym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Tahoma"/>
              <a:ea typeface="Tahoma"/>
              <a:cs typeface="Tahoma"/>
              <a:sym typeface="Tahoma"/>
            </a:defRPr>
          </a:pPr>
          <a:r>
            <a:rPr b="1" baseline="0" cap="none" i="0" spc="0" strike="noStrike" sz="1000" u="none">
              <a:solidFill>
                <a:srgbClr val="000000"/>
              </a:solidFill>
              <a:uFillTx/>
              <a:latin typeface="Tahoma"/>
              <a:ea typeface="Tahoma"/>
              <a:cs typeface="Tahoma"/>
              <a:sym typeface="Tahoma"/>
            </a:rPr>
            <a:t>Prueba de Calibración de la componente Horizontal</a:t>
          </a:r>
          <a:endParaRPr b="1" baseline="0" cap="none" i="0" spc="0" strike="noStrike" sz="1000" u="none">
            <a:solidFill>
              <a:srgbClr val="000000"/>
            </a:solidFill>
            <a:uFillTx/>
            <a:latin typeface="Tahoma"/>
            <a:ea typeface="Tahoma"/>
            <a:cs typeface="Tahoma"/>
            <a:sym typeface="Tahoma"/>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endParaRPr b="0" baseline="0" cap="none" i="0" spc="0" strike="noStrike" sz="1000" u="none">
            <a:solidFill>
              <a:srgbClr val="000000"/>
            </a:solidFill>
            <a:uFillTx/>
            <a:latin typeface="Arial"/>
            <a:ea typeface="Arial"/>
            <a:cs typeface="Arial"/>
            <a:sym typeface="Arial"/>
          </a:endParaRPr>
        </a:p>
        <a:p>
          <a:pPr marL="0" marR="0" indent="0" algn="just" defTabSz="914400" latinLnBrk="0">
            <a:lnSpc>
              <a:spcPts val="11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r>
            <a:rPr b="0" baseline="0" cap="none" i="0" spc="0" strike="noStrike" sz="1000" u="none">
              <a:solidFill>
                <a:srgbClr val="000000"/>
              </a:solidFill>
              <a:uFillTx/>
              <a:latin typeface="Arial"/>
              <a:ea typeface="Arial"/>
              <a:cs typeface="Arial"/>
              <a:sym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p>
      </xdr:txBody>
    </xdr:sp>
    <xdr:clientData/>
  </xdr:twoCellAnchor>
  <xdr:twoCellAnchor>
    <xdr:from>
      <xdr:col>1</xdr:col>
      <xdr:colOff>768350</xdr:colOff>
      <xdr:row>0</xdr:row>
      <xdr:rowOff>4286</xdr:rowOff>
    </xdr:from>
    <xdr:to>
      <xdr:col>7</xdr:col>
      <xdr:colOff>361950</xdr:colOff>
      <xdr:row>2</xdr:row>
      <xdr:rowOff>52863</xdr:rowOff>
    </xdr:to>
    <xdr:sp>
      <xdr:nvSpPr>
        <xdr:cNvPr id="65" name="Text Box 5"/>
        <xdr:cNvSpPr txBox="1"/>
      </xdr:nvSpPr>
      <xdr:spPr>
        <a:xfrm>
          <a:off x="1479550" y="4286"/>
          <a:ext cx="3937000" cy="372428"/>
        </a:xfrm>
        <a:prstGeom prst="rect">
          <a:avLst/>
        </a:prstGeom>
        <a:solidFill>
          <a:srgbClr val="FFFFFF"/>
        </a:solidFill>
        <a:ln w="25400" cap="flat">
          <a:solidFill>
            <a:srgbClr val="29297B"/>
          </a:solidFill>
          <a:prstDash val="solid"/>
          <a:round/>
        </a:ln>
        <a:effectLst/>
        <a:extLst>
          <a:ext uri="{C572A759-6A51-4108-AA02-DFA0A04FC94B}">
            <ma14:wrappingTextBoxFlag xmlns:ma14="http://schemas.microsoft.com/office/mac/drawingml/2011/main" val="1"/>
          </a:ext>
        </a:extLst>
      </xdr:spPr>
      <xdr:txBody>
        <a:bodyPr wrap="square" lIns="0" tIns="0" rIns="0" bIns="0" numCol="1" anchor="t">
          <a:noAutofit/>
        </a:bodyPr>
        <a:lstStyle/>
        <a:p>
          <a:pPr marL="0" marR="0" indent="0" algn="l" defTabSz="914400" latinLnBrk="0">
            <a:lnSpc>
              <a:spcPct val="100000"/>
            </a:lnSpc>
            <a:spcBef>
              <a:spcPts val="0"/>
            </a:spcBef>
            <a:spcAft>
              <a:spcPts val="0"/>
            </a:spcAft>
            <a:buClrTx/>
            <a:buSzTx/>
            <a:buFontTx/>
            <a:buNone/>
            <a:defRPr b="1" baseline="0" cap="none" i="0" spc="0" strike="noStrike" sz="1400" u="none">
              <a:solidFill>
                <a:srgbClr val="000000"/>
              </a:solidFill>
              <a:uFillTx/>
              <a:latin typeface="Arial"/>
              <a:ea typeface="Arial"/>
              <a:cs typeface="Arial"/>
              <a:sym typeface="Arial"/>
            </a:defRPr>
          </a:pPr>
          <a:r>
            <a:rPr b="1" baseline="0" cap="none" i="0" spc="0" strike="noStrike" sz="1400" u="none">
              <a:solidFill>
                <a:srgbClr val="000000"/>
              </a:solidFill>
              <a:uFillTx/>
              <a:latin typeface="Arial"/>
              <a:ea typeface="Arial"/>
              <a:cs typeface="Arial"/>
              <a:sym typeface="Arial"/>
            </a:rPr>
            <a:t>Anexo II Descripción de pruebas realizadas</a:t>
          </a:r>
        </a:p>
      </xdr:txBody>
    </xdr:sp>
    <xdr:clientData/>
  </xdr:twoCellAnchor>
  <xdr:twoCellAnchor>
    <xdr:from>
      <xdr:col>0</xdr:col>
      <xdr:colOff>95250</xdr:colOff>
      <xdr:row>0</xdr:row>
      <xdr:rowOff>66675</xdr:rowOff>
    </xdr:from>
    <xdr:to>
      <xdr:col>1</xdr:col>
      <xdr:colOff>476250</xdr:colOff>
      <xdr:row>4</xdr:row>
      <xdr:rowOff>47625</xdr:rowOff>
    </xdr:to>
    <xdr:pic>
      <xdr:nvPicPr>
        <xdr:cNvPr id="66" name="Picture 7" descr="Picture 7"/>
        <xdr:cNvPicPr>
          <a:picLocks noChangeAspect="1"/>
        </xdr:cNvPicPr>
      </xdr:nvPicPr>
      <xdr:blipFill>
        <a:blip r:embed="rId1">
          <a:extLst/>
        </a:blip>
        <a:stretch>
          <a:fillRect/>
        </a:stretch>
      </xdr:blipFill>
      <xdr:spPr>
        <a:xfrm>
          <a:off x="95250" y="66675"/>
          <a:ext cx="1092200" cy="628650"/>
        </a:xfrm>
        <a:prstGeom prst="rect">
          <a:avLst/>
        </a:prstGeom>
        <a:ln w="12700" cap="flat">
          <a:noFill/>
          <a:miter lim="400000"/>
        </a:ln>
        <a:effectLst/>
      </xdr:spPr>
    </xdr:pic>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180975</xdr:colOff>
      <xdr:row>7</xdr:row>
      <xdr:rowOff>9525</xdr:rowOff>
    </xdr:from>
    <xdr:to>
      <xdr:col>1</xdr:col>
      <xdr:colOff>19050</xdr:colOff>
      <xdr:row>8</xdr:row>
      <xdr:rowOff>381768</xdr:rowOff>
    </xdr:to>
    <xdr:pic>
      <xdr:nvPicPr>
        <xdr:cNvPr id="68" name="Imagen 2" descr="Imagen 2"/>
        <xdr:cNvPicPr>
          <a:picLocks noChangeAspect="1"/>
        </xdr:cNvPicPr>
      </xdr:nvPicPr>
      <xdr:blipFill>
        <a:blip r:embed="rId1">
          <a:extLst/>
        </a:blip>
        <a:stretch>
          <a:fillRect/>
        </a:stretch>
      </xdr:blipFill>
      <xdr:spPr>
        <a:xfrm>
          <a:off x="180975" y="2489200"/>
          <a:ext cx="841376" cy="810394"/>
        </a:xfrm>
        <a:prstGeom prst="rect">
          <a:avLst/>
        </a:prstGeom>
        <a:ln w="12700" cap="flat">
          <a:noFill/>
          <a:miter lim="400000"/>
        </a:ln>
        <a:effectLst/>
      </xdr:spPr>
    </xdr:pic>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676275</xdr:colOff>
      <xdr:row>8</xdr:row>
      <xdr:rowOff>1270</xdr:rowOff>
    </xdr:from>
    <xdr:to>
      <xdr:col>1</xdr:col>
      <xdr:colOff>114300</xdr:colOff>
      <xdr:row>8</xdr:row>
      <xdr:rowOff>1270</xdr:rowOff>
    </xdr:to>
    <xdr:sp>
      <xdr:nvSpPr>
        <xdr:cNvPr id="70" name="Line 6"/>
        <xdr:cNvSpPr/>
      </xdr:nvSpPr>
      <xdr:spPr>
        <a:xfrm>
          <a:off x="676275" y="1544320"/>
          <a:ext cx="314326" cy="0"/>
        </a:xfrm>
        <a:prstGeom prst="line">
          <a:avLst/>
        </a:prstGeom>
        <a:noFill/>
        <a:ln w="17145" cap="flat">
          <a:solidFill>
            <a:srgbClr val="0000FF"/>
          </a:solidFill>
          <a:prstDash val="solid"/>
          <a:round/>
        </a:ln>
        <a:effectLst/>
      </xdr:spPr>
      <xdr:txBody>
        <a:bodyPr/>
        <a:lstStyle/>
        <a:p>
          <a:pPr/>
        </a:p>
      </xdr:txBody>
    </xdr:sp>
    <xdr:clientData/>
  </xdr:twoCellAnchor>
  <xdr:twoCellAnchor>
    <xdr:from>
      <xdr:col>0</xdr:col>
      <xdr:colOff>647700</xdr:colOff>
      <xdr:row>13</xdr:row>
      <xdr:rowOff>0</xdr:rowOff>
    </xdr:from>
    <xdr:to>
      <xdr:col>1</xdr:col>
      <xdr:colOff>114300</xdr:colOff>
      <xdr:row>13</xdr:row>
      <xdr:rowOff>0</xdr:rowOff>
    </xdr:to>
    <xdr:sp>
      <xdr:nvSpPr>
        <xdr:cNvPr id="71" name="Line 7"/>
        <xdr:cNvSpPr/>
      </xdr:nvSpPr>
      <xdr:spPr>
        <a:xfrm>
          <a:off x="647700" y="2400300"/>
          <a:ext cx="342901" cy="0"/>
        </a:xfrm>
        <a:prstGeom prst="line">
          <a:avLst/>
        </a:prstGeom>
        <a:noFill/>
        <a:ln w="17145" cap="flat">
          <a:solidFill>
            <a:srgbClr val="0000FF"/>
          </a:solidFill>
          <a:prstDash val="solid"/>
          <a:round/>
        </a:ln>
        <a:effectLst/>
      </xdr:spPr>
      <xdr:txBody>
        <a:bodyPr/>
        <a:lstStyle/>
        <a:p>
          <a:pPr/>
        </a:p>
      </xdr:txBody>
    </xdr:sp>
    <xdr:clientData/>
  </xdr:twoCellAnchor>
  <xdr:twoCellAnchor>
    <xdr:from>
      <xdr:col>0</xdr:col>
      <xdr:colOff>609600</xdr:colOff>
      <xdr:row>17</xdr:row>
      <xdr:rowOff>0</xdr:rowOff>
    </xdr:from>
    <xdr:to>
      <xdr:col>1</xdr:col>
      <xdr:colOff>85725</xdr:colOff>
      <xdr:row>17</xdr:row>
      <xdr:rowOff>0</xdr:rowOff>
    </xdr:to>
    <xdr:sp>
      <xdr:nvSpPr>
        <xdr:cNvPr id="72" name="Line 12"/>
        <xdr:cNvSpPr/>
      </xdr:nvSpPr>
      <xdr:spPr>
        <a:xfrm>
          <a:off x="609600" y="3057525"/>
          <a:ext cx="352426" cy="0"/>
        </a:xfrm>
        <a:prstGeom prst="line">
          <a:avLst/>
        </a:prstGeom>
        <a:noFill/>
        <a:ln w="17145" cap="flat">
          <a:solidFill>
            <a:srgbClr val="0000FF"/>
          </a:solidFill>
          <a:prstDash val="solid"/>
          <a:round/>
        </a:ln>
        <a:effectLst/>
      </xdr:spPr>
      <xdr:txBody>
        <a:bodyPr/>
        <a:lstStyle/>
        <a:p>
          <a:pPr/>
        </a:p>
      </xdr:txBody>
    </xdr:sp>
    <xdr:clientData/>
  </xdr:twoCellAnchor>
  <xdr:twoCellAnchor>
    <xdr:from>
      <xdr:col>2</xdr:col>
      <xdr:colOff>0</xdr:colOff>
      <xdr:row>17</xdr:row>
      <xdr:rowOff>0</xdr:rowOff>
    </xdr:from>
    <xdr:to>
      <xdr:col>4</xdr:col>
      <xdr:colOff>9525</xdr:colOff>
      <xdr:row>17</xdr:row>
      <xdr:rowOff>0</xdr:rowOff>
    </xdr:to>
    <xdr:sp>
      <xdr:nvSpPr>
        <xdr:cNvPr id="73" name="Line 17"/>
        <xdr:cNvSpPr/>
      </xdr:nvSpPr>
      <xdr:spPr>
        <a:xfrm>
          <a:off x="1270000" y="3057525"/>
          <a:ext cx="1876426" cy="0"/>
        </a:xfrm>
        <a:prstGeom prst="line">
          <a:avLst/>
        </a:prstGeom>
        <a:noFill/>
        <a:ln w="9525" cap="flat">
          <a:solidFill>
            <a:srgbClr val="FF0000"/>
          </a:solidFill>
          <a:prstDash val="dash"/>
          <a:round/>
        </a:ln>
        <a:effectLst/>
      </xdr:spPr>
      <xdr:txBody>
        <a:bodyPr/>
        <a:lstStyle/>
        <a:p>
          <a:pPr/>
        </a:p>
      </xdr:txBody>
    </xdr:sp>
    <xdr:clientData/>
  </xdr:twoCellAnchor>
  <xdr:twoCellAnchor>
    <xdr:from>
      <xdr:col>2</xdr:col>
      <xdr:colOff>0</xdr:colOff>
      <xdr:row>20</xdr:row>
      <xdr:rowOff>0</xdr:rowOff>
    </xdr:from>
    <xdr:to>
      <xdr:col>3</xdr:col>
      <xdr:colOff>752475</xdr:colOff>
      <xdr:row>20</xdr:row>
      <xdr:rowOff>0</xdr:rowOff>
    </xdr:to>
    <xdr:sp>
      <xdr:nvSpPr>
        <xdr:cNvPr id="74" name="Line 18"/>
        <xdr:cNvSpPr/>
      </xdr:nvSpPr>
      <xdr:spPr>
        <a:xfrm>
          <a:off x="1270000" y="3552825"/>
          <a:ext cx="1743076" cy="0"/>
        </a:xfrm>
        <a:prstGeom prst="line">
          <a:avLst/>
        </a:prstGeom>
        <a:noFill/>
        <a:ln w="9525" cap="flat">
          <a:solidFill>
            <a:srgbClr val="FF0000"/>
          </a:solidFill>
          <a:prstDash val="dash"/>
          <a:round/>
        </a:ln>
        <a:effectLst/>
      </xdr:spPr>
      <xdr:txBody>
        <a:bodyPr/>
        <a:lstStyle/>
        <a:p>
          <a:pPr/>
        </a:p>
      </xdr:txBody>
    </xdr:sp>
    <xdr:clientData/>
  </xdr:twoCellAnchor>
  <xdr:twoCellAnchor>
    <xdr:from>
      <xdr:col>0</xdr:col>
      <xdr:colOff>619125</xdr:colOff>
      <xdr:row>20</xdr:row>
      <xdr:rowOff>0</xdr:rowOff>
    </xdr:from>
    <xdr:to>
      <xdr:col>1</xdr:col>
      <xdr:colOff>85725</xdr:colOff>
      <xdr:row>20</xdr:row>
      <xdr:rowOff>0</xdr:rowOff>
    </xdr:to>
    <xdr:sp>
      <xdr:nvSpPr>
        <xdr:cNvPr id="75" name="Line 19"/>
        <xdr:cNvSpPr/>
      </xdr:nvSpPr>
      <xdr:spPr>
        <a:xfrm>
          <a:off x="619125" y="3552825"/>
          <a:ext cx="342901" cy="0"/>
        </a:xfrm>
        <a:prstGeom prst="line">
          <a:avLst/>
        </a:prstGeom>
        <a:noFill/>
        <a:ln w="17145" cap="flat">
          <a:solidFill>
            <a:srgbClr val="0000FF"/>
          </a:solidFill>
          <a:prstDash val="solid"/>
          <a:round/>
        </a:ln>
        <a:effectLst/>
      </xdr:spPr>
      <xdr:txBody>
        <a:bodyPr/>
        <a:lstStyle/>
        <a:p>
          <a:pPr/>
        </a:p>
      </xdr:txBody>
    </xdr:sp>
    <xdr:clientData/>
  </xdr:twoCellAnchor>
  <xdr:twoCellAnchor>
    <xdr:from>
      <xdr:col>0</xdr:col>
      <xdr:colOff>609600</xdr:colOff>
      <xdr:row>23</xdr:row>
      <xdr:rowOff>0</xdr:rowOff>
    </xdr:from>
    <xdr:to>
      <xdr:col>1</xdr:col>
      <xdr:colOff>85725</xdr:colOff>
      <xdr:row>23</xdr:row>
      <xdr:rowOff>0</xdr:rowOff>
    </xdr:to>
    <xdr:sp>
      <xdr:nvSpPr>
        <xdr:cNvPr id="76" name="Line 26"/>
        <xdr:cNvSpPr/>
      </xdr:nvSpPr>
      <xdr:spPr>
        <a:xfrm>
          <a:off x="609600" y="4229100"/>
          <a:ext cx="352426" cy="0"/>
        </a:xfrm>
        <a:prstGeom prst="line">
          <a:avLst/>
        </a:prstGeom>
        <a:noFill/>
        <a:ln w="17145" cap="flat">
          <a:solidFill>
            <a:srgbClr val="0000FF"/>
          </a:solidFill>
          <a:prstDash val="solid"/>
          <a:round/>
        </a:ln>
        <a:effectLst/>
      </xdr:spPr>
      <xdr:txBody>
        <a:bodyPr/>
        <a:lstStyle/>
        <a:p>
          <a:pPr/>
        </a:p>
      </xdr:txBody>
    </xdr:sp>
    <xdr:clientData/>
  </xdr:twoCellAnchor>
  <xdr:twoCellAnchor>
    <xdr:from>
      <xdr:col>2</xdr:col>
      <xdr:colOff>0</xdr:colOff>
      <xdr:row>28</xdr:row>
      <xdr:rowOff>130810</xdr:rowOff>
    </xdr:from>
    <xdr:to>
      <xdr:col>2</xdr:col>
      <xdr:colOff>0</xdr:colOff>
      <xdr:row>29</xdr:row>
      <xdr:rowOff>121285</xdr:rowOff>
    </xdr:to>
    <xdr:sp>
      <xdr:nvSpPr>
        <xdr:cNvPr id="77" name="Line 27"/>
        <xdr:cNvSpPr/>
      </xdr:nvSpPr>
      <xdr:spPr>
        <a:xfrm>
          <a:off x="1270000" y="5381625"/>
          <a:ext cx="0" cy="161926"/>
        </a:xfrm>
        <a:prstGeom prst="line">
          <a:avLst/>
        </a:prstGeom>
        <a:noFill/>
        <a:ln w="17145" cap="flat">
          <a:solidFill>
            <a:srgbClr val="0000FF"/>
          </a:solidFill>
          <a:prstDash val="solid"/>
          <a:round/>
        </a:ln>
        <a:effectLst/>
      </xdr:spPr>
      <xdr:txBody>
        <a:bodyPr/>
        <a:lstStyle/>
        <a:p>
          <a:pPr/>
        </a:p>
      </xdr:txBody>
    </xdr:sp>
    <xdr:clientData/>
  </xdr:twoCellAnchor>
  <xdr:twoCellAnchor>
    <xdr:from>
      <xdr:col>2</xdr:col>
      <xdr:colOff>409575</xdr:colOff>
      <xdr:row>28</xdr:row>
      <xdr:rowOff>121285</xdr:rowOff>
    </xdr:from>
    <xdr:to>
      <xdr:col>2</xdr:col>
      <xdr:colOff>409575</xdr:colOff>
      <xdr:row>29</xdr:row>
      <xdr:rowOff>121285</xdr:rowOff>
    </xdr:to>
    <xdr:sp>
      <xdr:nvSpPr>
        <xdr:cNvPr id="78" name="Line 28"/>
        <xdr:cNvSpPr/>
      </xdr:nvSpPr>
      <xdr:spPr>
        <a:xfrm>
          <a:off x="1679575" y="5372100"/>
          <a:ext cx="0" cy="171451"/>
        </a:xfrm>
        <a:prstGeom prst="line">
          <a:avLst/>
        </a:prstGeom>
        <a:noFill/>
        <a:ln w="17145" cap="flat">
          <a:solidFill>
            <a:srgbClr val="0000FF"/>
          </a:solidFill>
          <a:prstDash val="solid"/>
          <a:round/>
        </a:ln>
        <a:effectLst/>
      </xdr:spPr>
      <xdr:txBody>
        <a:bodyPr/>
        <a:lstStyle/>
        <a:p>
          <a:pPr/>
        </a:p>
      </xdr:txBody>
    </xdr:sp>
    <xdr:clientData/>
  </xdr:twoCellAnchor>
  <xdr:twoCellAnchor>
    <xdr:from>
      <xdr:col>3</xdr:col>
      <xdr:colOff>0</xdr:colOff>
      <xdr:row>28</xdr:row>
      <xdr:rowOff>121285</xdr:rowOff>
    </xdr:from>
    <xdr:to>
      <xdr:col>3</xdr:col>
      <xdr:colOff>0</xdr:colOff>
      <xdr:row>29</xdr:row>
      <xdr:rowOff>121285</xdr:rowOff>
    </xdr:to>
    <xdr:sp>
      <xdr:nvSpPr>
        <xdr:cNvPr id="79" name="Line 29"/>
        <xdr:cNvSpPr/>
      </xdr:nvSpPr>
      <xdr:spPr>
        <a:xfrm>
          <a:off x="2260600" y="5372100"/>
          <a:ext cx="0" cy="171451"/>
        </a:xfrm>
        <a:prstGeom prst="line">
          <a:avLst/>
        </a:prstGeom>
        <a:noFill/>
        <a:ln w="17145" cap="flat">
          <a:solidFill>
            <a:srgbClr val="0000FF"/>
          </a:solidFill>
          <a:prstDash val="solid"/>
          <a:round/>
        </a:ln>
        <a:effectLst/>
      </xdr:spPr>
      <xdr:txBody>
        <a:bodyPr/>
        <a:lstStyle/>
        <a:p>
          <a:pPr/>
        </a:p>
      </xdr:txBody>
    </xdr:sp>
    <xdr:clientData/>
  </xdr:twoCellAnchor>
  <xdr:twoCellAnchor>
    <xdr:from>
      <xdr:col>4</xdr:col>
      <xdr:colOff>1270</xdr:colOff>
      <xdr:row>28</xdr:row>
      <xdr:rowOff>121285</xdr:rowOff>
    </xdr:from>
    <xdr:to>
      <xdr:col>4</xdr:col>
      <xdr:colOff>1270</xdr:colOff>
      <xdr:row>29</xdr:row>
      <xdr:rowOff>121285</xdr:rowOff>
    </xdr:to>
    <xdr:sp>
      <xdr:nvSpPr>
        <xdr:cNvPr id="80" name="Line 30"/>
        <xdr:cNvSpPr/>
      </xdr:nvSpPr>
      <xdr:spPr>
        <a:xfrm>
          <a:off x="3138170" y="5372100"/>
          <a:ext cx="1" cy="171451"/>
        </a:xfrm>
        <a:prstGeom prst="line">
          <a:avLst/>
        </a:prstGeom>
        <a:noFill/>
        <a:ln w="17145" cap="flat">
          <a:solidFill>
            <a:srgbClr val="0000FF"/>
          </a:solidFill>
          <a:prstDash val="solid"/>
          <a:round/>
        </a:ln>
        <a:effectLst/>
      </xdr:spPr>
      <xdr:txBody>
        <a:bodyPr/>
        <a:lstStyle/>
        <a:p>
          <a:pPr/>
        </a:p>
      </xdr:txBody>
    </xdr:sp>
    <xdr:clientData/>
  </xdr:twoCellAnchor>
  <xdr:twoCellAnchor>
    <xdr:from>
      <xdr:col>5</xdr:col>
      <xdr:colOff>0</xdr:colOff>
      <xdr:row>28</xdr:row>
      <xdr:rowOff>130810</xdr:rowOff>
    </xdr:from>
    <xdr:to>
      <xdr:col>5</xdr:col>
      <xdr:colOff>0</xdr:colOff>
      <xdr:row>29</xdr:row>
      <xdr:rowOff>121285</xdr:rowOff>
    </xdr:to>
    <xdr:sp>
      <xdr:nvSpPr>
        <xdr:cNvPr id="81" name="Line 31"/>
        <xdr:cNvSpPr/>
      </xdr:nvSpPr>
      <xdr:spPr>
        <a:xfrm>
          <a:off x="4013200" y="5381625"/>
          <a:ext cx="0" cy="161926"/>
        </a:xfrm>
        <a:prstGeom prst="line">
          <a:avLst/>
        </a:prstGeom>
        <a:noFill/>
        <a:ln w="17145" cap="flat">
          <a:solidFill>
            <a:srgbClr val="0000FF"/>
          </a:solidFill>
          <a:prstDash val="solid"/>
          <a:round/>
        </a:ln>
        <a:effectLst/>
      </xdr:spPr>
      <xdr:txBody>
        <a:bodyPr/>
        <a:lstStyle/>
        <a:p>
          <a:pPr/>
        </a:p>
      </xdr:txBody>
    </xdr:sp>
    <xdr:clientData/>
  </xdr:twoCellAnchor>
  <xdr:twoCellAnchor>
    <xdr:from>
      <xdr:col>6</xdr:col>
      <xdr:colOff>0</xdr:colOff>
      <xdr:row>28</xdr:row>
      <xdr:rowOff>121285</xdr:rowOff>
    </xdr:from>
    <xdr:to>
      <xdr:col>6</xdr:col>
      <xdr:colOff>0</xdr:colOff>
      <xdr:row>29</xdr:row>
      <xdr:rowOff>121285</xdr:rowOff>
    </xdr:to>
    <xdr:sp>
      <xdr:nvSpPr>
        <xdr:cNvPr id="82" name="Line 32"/>
        <xdr:cNvSpPr/>
      </xdr:nvSpPr>
      <xdr:spPr>
        <a:xfrm>
          <a:off x="4965700" y="5372100"/>
          <a:ext cx="0" cy="171451"/>
        </a:xfrm>
        <a:prstGeom prst="line">
          <a:avLst/>
        </a:prstGeom>
        <a:noFill/>
        <a:ln w="17145" cap="flat">
          <a:solidFill>
            <a:srgbClr val="0000FF"/>
          </a:solidFill>
          <a:prstDash val="solid"/>
          <a:round/>
        </a:ln>
        <a:effectLst/>
      </xdr:spPr>
      <xdr:txBody>
        <a:bodyPr/>
        <a:lstStyle/>
        <a:p>
          <a:pPr/>
        </a:p>
      </xdr:txBody>
    </xdr:sp>
    <xdr:clientData/>
  </xdr:twoCellAnchor>
  <xdr:twoCellAnchor>
    <xdr:from>
      <xdr:col>0</xdr:col>
      <xdr:colOff>609600</xdr:colOff>
      <xdr:row>25</xdr:row>
      <xdr:rowOff>160020</xdr:rowOff>
    </xdr:from>
    <xdr:to>
      <xdr:col>1</xdr:col>
      <xdr:colOff>104775</xdr:colOff>
      <xdr:row>25</xdr:row>
      <xdr:rowOff>160020</xdr:rowOff>
    </xdr:to>
    <xdr:sp>
      <xdr:nvSpPr>
        <xdr:cNvPr id="83" name="Line 36"/>
        <xdr:cNvSpPr/>
      </xdr:nvSpPr>
      <xdr:spPr>
        <a:xfrm>
          <a:off x="609600" y="4886325"/>
          <a:ext cx="371476" cy="0"/>
        </a:xfrm>
        <a:prstGeom prst="line">
          <a:avLst/>
        </a:prstGeom>
        <a:noFill/>
        <a:ln w="17145" cap="flat">
          <a:solidFill>
            <a:srgbClr val="0000FF"/>
          </a:solidFill>
          <a:prstDash val="solid"/>
          <a:round/>
        </a:ln>
        <a:effectLst/>
      </xdr:spPr>
      <xdr:txBody>
        <a:bodyPr/>
        <a:lstStyle/>
        <a:p>
          <a:pPr/>
        </a:p>
      </xdr:txBody>
    </xdr:sp>
    <xdr:clientData/>
  </xdr:twoCellAnchor>
  <xdr:twoCellAnchor>
    <xdr:from>
      <xdr:col>2</xdr:col>
      <xdr:colOff>0</xdr:colOff>
      <xdr:row>23</xdr:row>
      <xdr:rowOff>0</xdr:rowOff>
    </xdr:from>
    <xdr:to>
      <xdr:col>7</xdr:col>
      <xdr:colOff>0</xdr:colOff>
      <xdr:row>23</xdr:row>
      <xdr:rowOff>0</xdr:rowOff>
    </xdr:to>
    <xdr:sp>
      <xdr:nvSpPr>
        <xdr:cNvPr id="84" name="Line 41"/>
        <xdr:cNvSpPr/>
      </xdr:nvSpPr>
      <xdr:spPr>
        <a:xfrm>
          <a:off x="1270000" y="4229100"/>
          <a:ext cx="5003801" cy="0"/>
        </a:xfrm>
        <a:prstGeom prst="line">
          <a:avLst/>
        </a:prstGeom>
        <a:noFill/>
        <a:ln w="9525" cap="flat">
          <a:solidFill>
            <a:srgbClr val="FF0000"/>
          </a:solidFill>
          <a:prstDash val="dash"/>
          <a:round/>
        </a:ln>
        <a:effectLst/>
      </xdr:spPr>
      <xdr:txBody>
        <a:bodyPr/>
        <a:lstStyle/>
        <a:p>
          <a:pPr/>
        </a:p>
      </xdr:txBody>
    </xdr:sp>
    <xdr:clientData/>
  </xdr:twoCellAnchor>
  <xdr:twoCellAnchor>
    <xdr:from>
      <xdr:col>2</xdr:col>
      <xdr:colOff>0</xdr:colOff>
      <xdr:row>25</xdr:row>
      <xdr:rowOff>160020</xdr:rowOff>
    </xdr:from>
    <xdr:to>
      <xdr:col>7</xdr:col>
      <xdr:colOff>0</xdr:colOff>
      <xdr:row>25</xdr:row>
      <xdr:rowOff>160020</xdr:rowOff>
    </xdr:to>
    <xdr:sp>
      <xdr:nvSpPr>
        <xdr:cNvPr id="85" name="Line 42"/>
        <xdr:cNvSpPr/>
      </xdr:nvSpPr>
      <xdr:spPr>
        <a:xfrm>
          <a:off x="1270000" y="4886325"/>
          <a:ext cx="5003801" cy="0"/>
        </a:xfrm>
        <a:prstGeom prst="line">
          <a:avLst/>
        </a:prstGeom>
        <a:noFill/>
        <a:ln w="9525" cap="flat">
          <a:solidFill>
            <a:srgbClr val="FF0000"/>
          </a:solidFill>
          <a:prstDash val="dash"/>
          <a:round/>
        </a:ln>
        <a:effectLst/>
      </xdr:spPr>
      <xdr:txBody>
        <a:bodyPr/>
        <a:lstStyle/>
        <a:p>
          <a:pPr/>
        </a:p>
      </xdr:txBody>
    </xdr:sp>
    <xdr:clientData/>
  </xdr:twoCellAnchor>
  <xdr:twoCellAnchor>
    <xdr:from>
      <xdr:col>0</xdr:col>
      <xdr:colOff>647700</xdr:colOff>
      <xdr:row>27</xdr:row>
      <xdr:rowOff>132715</xdr:rowOff>
    </xdr:from>
    <xdr:to>
      <xdr:col>1</xdr:col>
      <xdr:colOff>104775</xdr:colOff>
      <xdr:row>27</xdr:row>
      <xdr:rowOff>132715</xdr:rowOff>
    </xdr:to>
    <xdr:sp>
      <xdr:nvSpPr>
        <xdr:cNvPr id="86" name="Line 43"/>
        <xdr:cNvSpPr/>
      </xdr:nvSpPr>
      <xdr:spPr>
        <a:xfrm>
          <a:off x="647700" y="5210175"/>
          <a:ext cx="333376" cy="0"/>
        </a:xfrm>
        <a:prstGeom prst="line">
          <a:avLst/>
        </a:prstGeom>
        <a:noFill/>
        <a:ln w="17145" cap="flat">
          <a:solidFill>
            <a:srgbClr val="0000FF"/>
          </a:solidFill>
          <a:prstDash val="solid"/>
          <a:round/>
        </a:ln>
        <a:effectLst/>
      </xdr:spPr>
      <xdr:txBody>
        <a:bodyPr/>
        <a:lstStyle/>
        <a:p>
          <a:pPr/>
        </a:p>
      </xdr:txBody>
    </xdr:sp>
    <xdr:clientData/>
  </xdr:twoCellAnchor>
  <xdr:twoCellAnchor>
    <xdr:from>
      <xdr:col>7</xdr:col>
      <xdr:colOff>0</xdr:colOff>
      <xdr:row>28</xdr:row>
      <xdr:rowOff>121285</xdr:rowOff>
    </xdr:from>
    <xdr:to>
      <xdr:col>7</xdr:col>
      <xdr:colOff>0</xdr:colOff>
      <xdr:row>29</xdr:row>
      <xdr:rowOff>121285</xdr:rowOff>
    </xdr:to>
    <xdr:sp>
      <xdr:nvSpPr>
        <xdr:cNvPr id="87" name="Line 44"/>
        <xdr:cNvSpPr/>
      </xdr:nvSpPr>
      <xdr:spPr>
        <a:xfrm>
          <a:off x="6273800" y="5372100"/>
          <a:ext cx="0" cy="171451"/>
        </a:xfrm>
        <a:prstGeom prst="line">
          <a:avLst/>
        </a:prstGeom>
        <a:noFill/>
        <a:ln w="17145" cap="flat">
          <a:solidFill>
            <a:srgbClr val="0000FF"/>
          </a:solidFill>
          <a:prstDash val="solid"/>
          <a:round/>
        </a:ln>
        <a:effectLst/>
      </xdr:spPr>
      <xdr:txBody>
        <a:bodyPr/>
        <a:lstStyle/>
        <a:p>
          <a:pPr/>
        </a:p>
      </xdr:txBody>
    </xdr:sp>
    <xdr:clientData/>
  </xdr:twoCellAnchor>
  <xdr:twoCellAnchor>
    <xdr:from>
      <xdr:col>9</xdr:col>
      <xdr:colOff>0</xdr:colOff>
      <xdr:row>28</xdr:row>
      <xdr:rowOff>45085</xdr:rowOff>
    </xdr:from>
    <xdr:to>
      <xdr:col>9</xdr:col>
      <xdr:colOff>0</xdr:colOff>
      <xdr:row>29</xdr:row>
      <xdr:rowOff>121285</xdr:rowOff>
    </xdr:to>
    <xdr:sp>
      <xdr:nvSpPr>
        <xdr:cNvPr id="88" name="Line 45"/>
        <xdr:cNvSpPr/>
      </xdr:nvSpPr>
      <xdr:spPr>
        <a:xfrm>
          <a:off x="8001000" y="5295900"/>
          <a:ext cx="0" cy="247651"/>
        </a:xfrm>
        <a:prstGeom prst="line">
          <a:avLst/>
        </a:prstGeom>
        <a:noFill/>
        <a:ln w="17145" cap="flat">
          <a:solidFill>
            <a:srgbClr val="0000FF"/>
          </a:solidFill>
          <a:prstDash val="solid"/>
          <a:round/>
        </a:ln>
        <a:effectLst/>
      </xdr:spPr>
      <xdr:txBody>
        <a:bodyPr/>
        <a:lstStyle/>
        <a:p>
          <a:pPr/>
        </a:p>
      </xdr:txBody>
    </xdr:sp>
    <xdr:clientData/>
  </xdr:twoCellAnchor>
  <xdr:twoCellAnchor>
    <xdr:from>
      <xdr:col>0</xdr:col>
      <xdr:colOff>752475</xdr:colOff>
      <xdr:row>4</xdr:row>
      <xdr:rowOff>0</xdr:rowOff>
    </xdr:from>
    <xdr:to>
      <xdr:col>9</xdr:col>
      <xdr:colOff>0</xdr:colOff>
      <xdr:row>4</xdr:row>
      <xdr:rowOff>0</xdr:rowOff>
    </xdr:to>
    <xdr:sp>
      <xdr:nvSpPr>
        <xdr:cNvPr id="89" name="Line 46"/>
        <xdr:cNvSpPr/>
      </xdr:nvSpPr>
      <xdr:spPr>
        <a:xfrm>
          <a:off x="752475" y="647700"/>
          <a:ext cx="7248526" cy="0"/>
        </a:xfrm>
        <a:prstGeom prst="line">
          <a:avLst/>
        </a:prstGeom>
        <a:noFill/>
        <a:ln w="9525" cap="flat">
          <a:solidFill>
            <a:srgbClr val="FF0000"/>
          </a:solidFill>
          <a:prstDash val="dash"/>
          <a:round/>
        </a:ln>
        <a:effectLst/>
      </xdr:spPr>
      <xdr:txBody>
        <a:bodyPr/>
        <a:lstStyle/>
        <a:p>
          <a:pPr/>
        </a:p>
      </xdr:txBody>
    </xdr:sp>
    <xdr:clientData/>
  </xdr:twoCellAnchor>
  <xdr:twoCellAnchor>
    <xdr:from>
      <xdr:col>8</xdr:col>
      <xdr:colOff>876300</xdr:colOff>
      <xdr:row>4</xdr:row>
      <xdr:rowOff>0</xdr:rowOff>
    </xdr:from>
    <xdr:to>
      <xdr:col>9</xdr:col>
      <xdr:colOff>0</xdr:colOff>
      <xdr:row>28</xdr:row>
      <xdr:rowOff>64135</xdr:rowOff>
    </xdr:to>
    <xdr:sp>
      <xdr:nvSpPr>
        <xdr:cNvPr id="90" name="Line 47"/>
        <xdr:cNvSpPr/>
      </xdr:nvSpPr>
      <xdr:spPr>
        <a:xfrm flipH="1">
          <a:off x="8000999" y="647700"/>
          <a:ext cx="1" cy="4667251"/>
        </a:xfrm>
        <a:prstGeom prst="line">
          <a:avLst/>
        </a:prstGeom>
        <a:noFill/>
        <a:ln w="9525" cap="flat">
          <a:solidFill>
            <a:srgbClr val="FF0000"/>
          </a:solidFill>
          <a:prstDash val="dash"/>
          <a:round/>
        </a:ln>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s>

</file>

<file path=xl/worksheets/_rels/sheet7.xml.rels><?xml version="1.0" encoding="UTF-8"?>
<Relationships xmlns="http://schemas.openxmlformats.org/package/2006/relationships"><Relationship Id="rId1" Type="http://schemas.openxmlformats.org/officeDocument/2006/relationships/drawing" Target="../drawings/drawing7.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dimension ref="A1:AB119"/>
  <sheetViews>
    <sheetView workbookViewId="0" showGridLines="0" defaultGridColor="1"/>
  </sheetViews>
  <sheetFormatPr defaultColWidth="9.16667" defaultRowHeight="12.75" customHeight="1" outlineLevelRow="0" outlineLevelCol="0"/>
  <cols>
    <col min="1" max="1" width="9.17188" style="1" customWidth="1"/>
    <col min="2" max="2" width="16.3516" style="1" customWidth="1"/>
    <col min="3" max="3" width="19.5" style="1" customWidth="1"/>
    <col min="4" max="4" width="16.6719" style="1" customWidth="1"/>
    <col min="5" max="5" width="18.6719" style="1" customWidth="1"/>
    <col min="6" max="6" width="19" style="1" customWidth="1"/>
    <col min="7" max="7" width="14.6719" style="1" customWidth="1"/>
    <col min="8" max="8" width="18.5" style="1" customWidth="1"/>
    <col min="9" max="9" width="16.3516" style="1" customWidth="1"/>
    <col min="10" max="10" width="16.6719" style="1" customWidth="1"/>
    <col min="11" max="11" width="15.6719" style="1" customWidth="1"/>
    <col min="12" max="12" width="16.1719" style="1" customWidth="1"/>
    <col min="13" max="13" width="15.6719" style="1" customWidth="1"/>
    <col min="14" max="14" width="15.8516" style="1" customWidth="1"/>
    <col min="15" max="15" width="16.3516" style="1" customWidth="1"/>
    <col min="16" max="16" width="15" style="1" customWidth="1"/>
    <col min="17" max="17" width="22" style="1" customWidth="1"/>
    <col min="18" max="18" width="16.6719" style="1" customWidth="1"/>
    <col min="19" max="19" width="16.3516" style="1" customWidth="1"/>
    <col min="20" max="20" width="14.5" style="1" customWidth="1"/>
    <col min="21" max="21" width="16.1719" style="1" customWidth="1"/>
    <col min="22" max="22" width="17.6719" style="1" customWidth="1"/>
    <col min="23" max="23" width="16.5" style="1" customWidth="1"/>
    <col min="24" max="24" width="18.5" style="1" customWidth="1"/>
    <col min="25" max="25" width="18.1719" style="1" customWidth="1"/>
    <col min="26" max="26" width="16.5" style="1" customWidth="1"/>
    <col min="27" max="27" width="14.8516" style="1" customWidth="1"/>
    <col min="28" max="28" width="14.5" style="1" customWidth="1"/>
    <col min="29" max="16384" width="9.17188" style="1" customWidth="1"/>
  </cols>
  <sheetData>
    <row r="1" ht="18.75" customHeight="1">
      <c r="A1" s="2"/>
      <c r="B1" s="2"/>
      <c r="C1" t="s" s="3">
        <v>0</v>
      </c>
      <c r="D1" s="2"/>
      <c r="E1" s="2"/>
      <c r="F1" s="2"/>
      <c r="G1" s="2"/>
      <c r="H1" s="2"/>
      <c r="I1" s="2"/>
      <c r="J1" s="2"/>
      <c r="K1" s="2"/>
      <c r="L1" s="2"/>
      <c r="M1" s="2"/>
      <c r="N1" s="2"/>
      <c r="O1" s="2"/>
      <c r="P1" s="2"/>
      <c r="Q1" s="2"/>
      <c r="R1" s="2"/>
      <c r="S1" s="2"/>
      <c r="T1" s="2"/>
      <c r="U1" s="2"/>
      <c r="V1" s="2"/>
      <c r="W1" s="2"/>
      <c r="X1" s="2"/>
      <c r="Y1" s="2"/>
      <c r="Z1" s="2"/>
      <c r="AA1" s="2"/>
      <c r="AB1" s="2"/>
    </row>
    <row r="2" ht="12.75" customHeight="1">
      <c r="A2" s="2"/>
      <c r="B2" s="2"/>
      <c r="C2" s="2"/>
      <c r="D2" s="4"/>
      <c r="E2" s="2"/>
      <c r="F2" s="2"/>
      <c r="G2" s="2"/>
      <c r="H2" s="2"/>
      <c r="I2" s="2"/>
      <c r="J2" s="2"/>
      <c r="K2" s="2"/>
      <c r="L2" s="2"/>
      <c r="M2" s="2"/>
      <c r="N2" s="2"/>
      <c r="O2" s="2"/>
      <c r="P2" s="2"/>
      <c r="Q2" s="2"/>
      <c r="R2" s="2"/>
      <c r="S2" s="2"/>
      <c r="T2" s="2"/>
      <c r="U2" s="2"/>
      <c r="V2" s="2"/>
      <c r="W2" s="2"/>
      <c r="X2" s="2"/>
      <c r="Y2" s="2"/>
      <c r="Z2" s="2"/>
      <c r="AA2" s="2"/>
      <c r="AB2" s="2"/>
    </row>
    <row r="3" ht="16.5" customHeight="1">
      <c r="A3" t="s" s="5">
        <v>1</v>
      </c>
      <c r="B3" s="2"/>
      <c r="C3" s="6"/>
      <c r="D3" s="7"/>
      <c r="E3" t="s" s="8">
        <v>2</v>
      </c>
      <c r="F3" s="2"/>
      <c r="G3" s="2"/>
      <c r="H3" s="2"/>
      <c r="I3" s="2"/>
      <c r="J3" s="2"/>
      <c r="K3" s="2"/>
      <c r="L3" s="2"/>
      <c r="M3" s="2"/>
      <c r="N3" s="2"/>
      <c r="O3" s="2"/>
      <c r="P3" s="2"/>
      <c r="Q3" s="2"/>
      <c r="R3" s="2"/>
      <c r="S3" s="2"/>
      <c r="T3" s="2"/>
      <c r="U3" s="2"/>
      <c r="V3" s="2"/>
      <c r="W3" s="2"/>
      <c r="X3" s="2"/>
      <c r="Y3" s="2"/>
      <c r="Z3" s="2"/>
      <c r="AA3" s="2"/>
      <c r="AB3" s="2"/>
    </row>
    <row r="4" ht="16.5" customHeight="1">
      <c r="A4" s="9"/>
      <c r="B4" s="2"/>
      <c r="C4" s="6"/>
      <c r="D4" s="10"/>
      <c r="E4" t="s" s="8">
        <v>3</v>
      </c>
      <c r="F4" s="2"/>
      <c r="G4" s="2"/>
      <c r="H4" s="2"/>
      <c r="I4" s="2"/>
      <c r="J4" s="2"/>
      <c r="K4" s="2"/>
      <c r="L4" s="2"/>
      <c r="M4" s="2"/>
      <c r="N4" s="2"/>
      <c r="O4" s="2"/>
      <c r="P4" s="2"/>
      <c r="Q4" s="2"/>
      <c r="R4" s="2"/>
      <c r="S4" s="2"/>
      <c r="T4" s="2"/>
      <c r="U4" s="2"/>
      <c r="V4" s="2"/>
      <c r="W4" s="2"/>
      <c r="X4" s="2"/>
      <c r="Y4" s="2"/>
      <c r="Z4" s="2"/>
      <c r="AA4" s="2"/>
      <c r="AB4" s="2"/>
    </row>
    <row r="5" ht="12.75" customHeight="1">
      <c r="A5" t="s" s="11">
        <v>4</v>
      </c>
      <c r="B5" t="s" s="11">
        <v>5</v>
      </c>
      <c r="C5" t="s" s="11">
        <v>6</v>
      </c>
      <c r="D5" t="s" s="12">
        <v>7</v>
      </c>
      <c r="E5" t="s" s="11">
        <v>8</v>
      </c>
      <c r="F5" t="s" s="11">
        <v>9</v>
      </c>
      <c r="G5" t="s" s="11">
        <v>10</v>
      </c>
      <c r="H5" t="s" s="11">
        <v>11</v>
      </c>
      <c r="I5" t="s" s="11">
        <v>12</v>
      </c>
      <c r="J5" t="s" s="11">
        <v>13</v>
      </c>
      <c r="K5" t="s" s="11">
        <v>14</v>
      </c>
      <c r="L5" t="s" s="11">
        <v>15</v>
      </c>
      <c r="M5" t="s" s="11">
        <v>16</v>
      </c>
      <c r="N5" t="s" s="11">
        <v>17</v>
      </c>
      <c r="O5" s="13"/>
      <c r="P5" s="2"/>
      <c r="Q5" s="2"/>
      <c r="R5" s="2"/>
      <c r="S5" s="2"/>
      <c r="T5" s="2"/>
      <c r="U5" s="2"/>
      <c r="V5" s="2"/>
      <c r="W5" s="2"/>
      <c r="X5" s="2"/>
      <c r="Y5" s="2"/>
      <c r="Z5" s="2"/>
      <c r="AA5" s="2"/>
      <c r="AB5" s="2"/>
    </row>
    <row r="6" ht="12.75" customHeight="1">
      <c r="A6" t="str" s="14" cm="1">
        <f t="array" ref="A6">'Certificado'!A1</f>
        <v>M-MK-0497/26</v>
      </c>
      <c r="B6" s="2"/>
      <c r="C6" s="2"/>
      <c r="D6" s="2"/>
      <c r="E6" t="str" s="14" cm="1">
        <f t="array" ref="E6">'Certificado'!B1</f>
        <v>BALANZA DIGITAL DE 1 220 g</v>
      </c>
      <c r="F6" t="s" s="15">
        <v>20</v>
      </c>
      <c r="G6" t="str" s="14" cm="1">
        <f t="array" ref="G6">'Certificado'!C1</f>
        <v>AND</v>
      </c>
      <c r="H6" t="str" s="14" cm="1">
        <f t="array" ref="H6">'Certificado'!D1</f>
        <v>GF-1202A</v>
      </c>
      <c r="I6" t="s" s="16">
        <v>23</v>
      </c>
      <c r="J6" t="s" s="16">
        <v>24</v>
      </c>
      <c r="K6" s="17">
        <v>44308</v>
      </c>
      <c r="L6" s="17">
        <v>44308</v>
      </c>
      <c r="M6" s="17">
        <v>44673</v>
      </c>
      <c r="N6" s="17">
        <v>44308</v>
      </c>
      <c r="O6" t="s" s="16">
        <v>25</v>
      </c>
      <c r="P6" t="str" s="18" cm="1">
        <f t="array" ref="P6">IF(M6&lt;(NOW()+20),"vencido","vigente")</f>
        <v>vencido</v>
      </c>
      <c r="Q6" t="s" s="16">
        <v>27</v>
      </c>
      <c r="R6" t="s" s="15">
        <v>28</v>
      </c>
      <c r="S6" s="2"/>
      <c r="T6" s="2"/>
      <c r="U6" s="2"/>
      <c r="V6" s="2"/>
      <c r="W6" s="2"/>
      <c r="X6" s="2"/>
      <c r="Y6" s="2"/>
      <c r="Z6" s="2"/>
      <c r="AA6" s="2"/>
      <c r="AB6" s="2"/>
    </row>
    <row r="7" ht="12.75" customHeight="1">
      <c r="A7" s="13"/>
      <c r="B7" s="2"/>
      <c r="C7" s="2"/>
      <c r="D7" s="2"/>
      <c r="E7" s="2"/>
      <c r="F7" s="2"/>
      <c r="G7" s="2"/>
      <c r="H7" s="2"/>
      <c r="I7" s="4"/>
      <c r="J7" s="4"/>
      <c r="K7" s="4"/>
      <c r="L7" s="4"/>
      <c r="M7" s="4"/>
      <c r="N7" s="4"/>
      <c r="O7" s="4"/>
      <c r="P7" s="2"/>
      <c r="Q7" s="2"/>
      <c r="R7" s="2"/>
      <c r="S7" s="2"/>
      <c r="T7" s="2"/>
      <c r="U7" s="2"/>
      <c r="V7" s="2"/>
      <c r="W7" s="2"/>
      <c r="X7" s="2"/>
      <c r="Y7" s="2"/>
      <c r="Z7" s="2"/>
      <c r="AA7" s="2"/>
      <c r="AB7" s="2"/>
    </row>
    <row r="8" ht="12.75" customHeight="1">
      <c r="A8" s="18"/>
      <c r="B8" s="18"/>
      <c r="C8" s="18"/>
      <c r="D8" s="18"/>
      <c r="E8" s="18"/>
      <c r="F8" s="18"/>
      <c r="G8" s="19"/>
      <c r="H8" s="20"/>
      <c r="I8" t="s" s="21">
        <v>29</v>
      </c>
      <c r="J8" s="22"/>
      <c r="K8" s="22"/>
      <c r="L8" s="22"/>
      <c r="M8" s="22"/>
      <c r="N8" s="22"/>
      <c r="O8" s="23"/>
      <c r="P8" s="24"/>
      <c r="Q8" s="2"/>
      <c r="R8" s="25"/>
      <c r="S8" s="25"/>
      <c r="T8" s="2"/>
      <c r="U8" s="2"/>
      <c r="V8" s="2"/>
      <c r="W8" s="2"/>
      <c r="X8" s="2"/>
      <c r="Y8" s="2"/>
      <c r="Z8" s="2"/>
      <c r="AA8" s="2"/>
      <c r="AB8" s="2"/>
    </row>
    <row r="9" ht="13.5" customHeight="1">
      <c r="A9" s="24"/>
      <c r="B9" s="2"/>
      <c r="C9" s="2"/>
      <c r="D9" s="2"/>
      <c r="E9" s="2"/>
      <c r="F9" s="26"/>
      <c r="G9" t="s" s="27">
        <v>30</v>
      </c>
      <c r="H9" s="28"/>
      <c r="I9" s="29"/>
      <c r="J9" s="30"/>
      <c r="K9" s="30"/>
      <c r="L9" s="30"/>
      <c r="M9" s="30"/>
      <c r="N9" s="30"/>
      <c r="O9" s="31"/>
      <c r="P9" s="24"/>
      <c r="Q9" s="32"/>
      <c r="R9" s="33"/>
      <c r="S9" s="34"/>
      <c r="T9" s="2"/>
      <c r="U9" s="2"/>
      <c r="V9" s="2"/>
      <c r="W9" s="2"/>
      <c r="X9" s="2"/>
      <c r="Y9" s="2"/>
      <c r="Z9" s="2"/>
      <c r="AA9" s="2"/>
      <c r="AB9" s="2"/>
    </row>
    <row r="10" ht="19.5" customHeight="1">
      <c r="A10" t="s" s="35">
        <v>31</v>
      </c>
      <c r="B10" s="36"/>
      <c r="C10" s="36"/>
      <c r="D10" s="36"/>
      <c r="E10" s="36"/>
      <c r="F10" s="37"/>
      <c r="G10" s="38" cm="1">
        <f t="array" ref="G10">IF(((YEAR(M$6)-YEAR(L$6))*12)+(MONTH(M$6)-MONTH(L$6))&lt;=0,"ERROR ",((YEAR(M$6)-YEAR(L$6))*12)+(MONTH(M$6)-MONTH(L$6)))</f>
        <v>12</v>
      </c>
      <c r="H10" t="s" s="39">
        <v>32</v>
      </c>
      <c r="I10" t="s" s="40">
        <v>33</v>
      </c>
      <c r="J10" t="s" s="41">
        <v>34</v>
      </c>
      <c r="K10" t="s" s="41">
        <v>35</v>
      </c>
      <c r="L10" t="s" s="40">
        <v>36</v>
      </c>
      <c r="M10" t="s" s="40">
        <v>37</v>
      </c>
      <c r="N10" t="s" s="40">
        <v>38</v>
      </c>
      <c r="O10" t="s" s="40">
        <v>39</v>
      </c>
      <c r="P10" s="42"/>
      <c r="Q10" t="s" s="43">
        <v>40</v>
      </c>
      <c r="R10" s="44"/>
      <c r="S10" s="45"/>
      <c r="T10" s="24"/>
      <c r="U10" s="2"/>
      <c r="V10" s="2"/>
      <c r="W10" s="2"/>
      <c r="X10" s="2"/>
      <c r="Y10" s="2"/>
      <c r="Z10" s="2"/>
      <c r="AA10" s="2"/>
      <c r="AB10" s="2"/>
    </row>
    <row r="11" ht="12.75" customHeight="1">
      <c r="A11" t="s" s="46">
        <v>41</v>
      </c>
      <c r="B11" s="47"/>
      <c r="C11" t="s" s="46">
        <v>42</v>
      </c>
      <c r="D11" t="s" s="46">
        <v>43</v>
      </c>
      <c r="E11" t="s" s="46">
        <v>44</v>
      </c>
      <c r="F11" t="s" s="46">
        <v>45</v>
      </c>
      <c r="G11" s="48"/>
      <c r="H11" s="6"/>
      <c r="I11" s="49"/>
      <c r="J11" s="50"/>
      <c r="K11" s="50"/>
      <c r="L11" s="49"/>
      <c r="M11" s="49"/>
      <c r="N11" s="51"/>
      <c r="O11" s="49"/>
      <c r="P11" s="42"/>
      <c r="Q11" t="s" s="52">
        <v>46</v>
      </c>
      <c r="R11" s="53" cm="1">
        <f t="array" ref="R11">AVERAGE(J13:K13)</f>
        <v>24.9</v>
      </c>
      <c r="S11" t="s" s="54">
        <v>47</v>
      </c>
      <c r="T11" s="24"/>
      <c r="U11" s="2"/>
      <c r="V11" s="2"/>
      <c r="W11" s="2"/>
      <c r="X11" s="2"/>
      <c r="Y11" s="2"/>
      <c r="Z11" s="2"/>
      <c r="AA11" s="2"/>
      <c r="AB11" s="2"/>
    </row>
    <row r="12" ht="16.5" customHeight="1">
      <c r="A12" t="s" s="55">
        <v>48</v>
      </c>
      <c r="B12" s="56"/>
      <c r="C12" t="s" s="55">
        <v>49</v>
      </c>
      <c r="D12" t="s" s="55">
        <v>50</v>
      </c>
      <c r="E12" t="s" s="55">
        <v>51</v>
      </c>
      <c r="F12" s="57">
        <v>46025</v>
      </c>
      <c r="G12" s="58"/>
      <c r="H12" s="6"/>
      <c r="I12" s="59"/>
      <c r="J12" s="60"/>
      <c r="K12" s="60"/>
      <c r="L12" s="59"/>
      <c r="M12" s="59"/>
      <c r="N12" s="61"/>
      <c r="O12" s="59"/>
      <c r="P12" s="42"/>
      <c r="Q12" t="s" s="62">
        <v>52</v>
      </c>
      <c r="R12" s="63" cm="1">
        <f t="array" ref="R12">AVERAGE(J14:K14)</f>
        <v>48.5</v>
      </c>
      <c r="S12" t="s" s="64">
        <v>53</v>
      </c>
      <c r="T12" s="24"/>
      <c r="U12" s="2"/>
      <c r="V12" s="2"/>
      <c r="W12" s="2"/>
      <c r="X12" s="2"/>
      <c r="Y12" s="2"/>
      <c r="Z12" s="2"/>
      <c r="AA12" s="2"/>
      <c r="AB12" s="2"/>
    </row>
    <row r="13" ht="15.75" customHeight="1">
      <c r="A13" t="s" s="55">
        <v>54</v>
      </c>
      <c r="B13" s="56"/>
      <c r="C13" t="s" s="65">
        <v>55</v>
      </c>
      <c r="D13" t="s" s="66">
        <v>56</v>
      </c>
      <c r="E13" t="s" s="55">
        <v>57</v>
      </c>
      <c r="F13" s="67">
        <v>46102</v>
      </c>
      <c r="G13" s="58"/>
      <c r="H13" s="6"/>
      <c r="I13" t="s" s="68">
        <v>58</v>
      </c>
      <c r="J13" s="69">
        <v>24.7</v>
      </c>
      <c r="K13" s="69">
        <v>25.1</v>
      </c>
      <c r="L13" s="70">
        <v>0.1</v>
      </c>
      <c r="M13" s="70">
        <v>0.1</v>
      </c>
      <c r="N13" s="70">
        <v>0.21</v>
      </c>
      <c r="O13" t="s" s="71">
        <v>59</v>
      </c>
      <c r="P13" s="42"/>
      <c r="Q13" t="s" s="62">
        <v>60</v>
      </c>
      <c r="R13" s="63" cm="1">
        <f t="array" ref="R13">AVERAGE(J15:K15)</f>
        <v>912</v>
      </c>
      <c r="S13" t="s" s="64">
        <v>61</v>
      </c>
      <c r="T13" s="24"/>
      <c r="U13" s="2"/>
      <c r="V13" s="2"/>
      <c r="W13" s="2"/>
      <c r="X13" s="2"/>
      <c r="Y13" s="2"/>
      <c r="Z13" s="2"/>
      <c r="AA13" s="2"/>
      <c r="AB13" s="2"/>
    </row>
    <row r="14" ht="15.75" customHeight="1">
      <c r="A14" t="s" s="55">
        <v>62</v>
      </c>
      <c r="B14" s="56"/>
      <c r="C14" t="s" s="55">
        <v>63</v>
      </c>
      <c r="D14" t="s" s="72">
        <v>64</v>
      </c>
      <c r="E14" t="s" s="55">
        <v>65</v>
      </c>
      <c r="F14" s="73">
        <v>46102</v>
      </c>
      <c r="G14" s="58"/>
      <c r="H14" s="6"/>
      <c r="I14" t="s" s="74">
        <v>66</v>
      </c>
      <c r="J14" s="75">
        <v>49</v>
      </c>
      <c r="K14" s="75">
        <v>48</v>
      </c>
      <c r="L14" s="76">
        <v>1</v>
      </c>
      <c r="M14" s="76">
        <v>0.7</v>
      </c>
      <c r="N14" s="76">
        <v>1.8</v>
      </c>
      <c r="O14" t="s" s="77">
        <v>53</v>
      </c>
      <c r="P14" s="42"/>
      <c r="Q14" t="s" s="62">
        <v>67</v>
      </c>
      <c r="R14" s="78" cm="1">
        <f t="array" ref="R14">R11</f>
        <v>24.9</v>
      </c>
      <c r="S14" t="s" s="64">
        <v>47</v>
      </c>
      <c r="T14" s="24"/>
      <c r="U14" s="2"/>
      <c r="V14" s="2"/>
      <c r="W14" s="2"/>
      <c r="X14" s="2"/>
      <c r="Y14" s="2"/>
      <c r="Z14" s="2"/>
      <c r="AA14" s="2"/>
      <c r="AB14" s="2"/>
    </row>
    <row r="15" ht="16.5" customHeight="1">
      <c r="A15" s="79"/>
      <c r="B15" s="80"/>
      <c r="C15" s="80"/>
      <c r="D15" s="80"/>
      <c r="E15" s="81"/>
      <c r="F15" s="82"/>
      <c r="G15" s="83"/>
      <c r="H15" s="20"/>
      <c r="I15" t="s" s="84">
        <v>68</v>
      </c>
      <c r="J15" s="85">
        <v>912</v>
      </c>
      <c r="K15" s="85">
        <v>912</v>
      </c>
      <c r="L15" s="86">
        <v>1</v>
      </c>
      <c r="M15" s="86">
        <v>-1.1</v>
      </c>
      <c r="N15" s="86">
        <v>0.082</v>
      </c>
      <c r="O15" t="s" s="87">
        <v>61</v>
      </c>
      <c r="P15" s="42"/>
      <c r="Q15" t="s" s="62">
        <v>69</v>
      </c>
      <c r="R15" t="s" s="88">
        <v>70</v>
      </c>
      <c r="S15" t="s" s="64">
        <v>71</v>
      </c>
      <c r="T15" s="24"/>
      <c r="U15" s="2"/>
      <c r="V15" s="2"/>
      <c r="W15" s="2"/>
      <c r="X15" s="2"/>
      <c r="Y15" s="2"/>
      <c r="Z15" s="2"/>
      <c r="AA15" s="2"/>
      <c r="AB15" s="2"/>
    </row>
    <row r="16" ht="16.5" customHeight="1">
      <c r="A16" s="89"/>
      <c r="B16" s="18"/>
      <c r="C16" s="14"/>
      <c r="D16" s="90"/>
      <c r="E16" s="91"/>
      <c r="F16" s="2"/>
      <c r="G16" s="83"/>
      <c r="H16" s="14"/>
      <c r="I16" s="92"/>
      <c r="J16" s="92"/>
      <c r="K16" s="93"/>
      <c r="L16" s="93"/>
      <c r="M16" s="94"/>
      <c r="N16" s="94"/>
      <c r="O16" s="94"/>
      <c r="P16" s="6"/>
      <c r="Q16" t="s" s="95">
        <v>72</v>
      </c>
      <c r="R16" s="96" cm="1">
        <f t="array" ref="R16">ABS(R11-R14)</f>
        <v>0</v>
      </c>
      <c r="S16" t="s" s="97">
        <v>47</v>
      </c>
      <c r="T16" s="24"/>
      <c r="U16" s="2"/>
      <c r="V16" s="2"/>
      <c r="W16" s="2"/>
      <c r="X16" s="2"/>
      <c r="Y16" s="2"/>
      <c r="Z16" s="2"/>
      <c r="AA16" s="2"/>
      <c r="AB16" s="2"/>
    </row>
    <row r="17" ht="15.75" customHeight="1">
      <c r="A17" s="18"/>
      <c r="B17" s="2"/>
      <c r="C17" s="14"/>
      <c r="D17" s="2"/>
      <c r="E17" s="98"/>
      <c r="F17" s="2"/>
      <c r="G17" s="83"/>
      <c r="H17" s="14"/>
      <c r="I17" s="18"/>
      <c r="J17" s="2"/>
      <c r="K17" s="2"/>
      <c r="L17" s="2"/>
      <c r="M17" s="2"/>
      <c r="N17" s="14"/>
      <c r="O17" s="14"/>
      <c r="P17" s="2"/>
      <c r="Q17" s="99"/>
      <c r="R17" s="99"/>
      <c r="S17" s="100"/>
      <c r="T17" s="2"/>
      <c r="U17" s="2"/>
      <c r="V17" s="2"/>
      <c r="W17" s="2"/>
      <c r="X17" s="2"/>
      <c r="Y17" s="2"/>
      <c r="Z17" s="2"/>
      <c r="AA17" s="2"/>
      <c r="AB17" s="2"/>
    </row>
    <row r="18" ht="12.75" customHeight="1">
      <c r="A18" s="18"/>
      <c r="B18" s="18"/>
      <c r="C18" s="101"/>
      <c r="D18" s="18"/>
      <c r="E18" s="18"/>
      <c r="F18" s="18"/>
      <c r="G18" t="b" s="102">
        <v>0</v>
      </c>
      <c r="H18" s="14"/>
      <c r="I18" s="18"/>
      <c r="J18" s="2"/>
      <c r="K18" s="2"/>
      <c r="L18" s="2"/>
      <c r="M18" s="103"/>
      <c r="N18" s="104"/>
      <c r="O18" s="98"/>
      <c r="P18" s="2"/>
      <c r="Q18" s="105"/>
      <c r="R18" s="105"/>
      <c r="S18" s="106"/>
      <c r="T18" s="2"/>
      <c r="U18" s="2"/>
      <c r="V18" s="2"/>
      <c r="W18" s="2"/>
      <c r="X18" s="2"/>
      <c r="Y18" s="2"/>
      <c r="Z18" s="2"/>
      <c r="AA18" s="2"/>
      <c r="AB18" s="2"/>
    </row>
    <row r="19" ht="12.75" customHeight="1">
      <c r="A19" s="18"/>
      <c r="B19" s="18"/>
      <c r="C19" s="18"/>
      <c r="D19" s="107"/>
      <c r="E19" s="18"/>
      <c r="F19" s="108"/>
      <c r="G19" t="s" s="109">
        <v>73</v>
      </c>
      <c r="H19" s="110"/>
      <c r="I19" s="18"/>
      <c r="J19" s="2"/>
      <c r="K19" s="2"/>
      <c r="L19" s="2"/>
      <c r="M19" s="2"/>
      <c r="N19" s="111"/>
      <c r="O19" s="2"/>
      <c r="P19" s="2"/>
      <c r="Q19" s="25"/>
      <c r="R19" s="25"/>
      <c r="S19" s="112"/>
      <c r="T19" s="2"/>
      <c r="U19" s="2"/>
      <c r="V19" s="2"/>
      <c r="W19" s="2"/>
      <c r="X19" s="2"/>
      <c r="Y19" s="2"/>
      <c r="Z19" s="2"/>
      <c r="AA19" s="2"/>
      <c r="AB19" s="2"/>
    </row>
    <row r="20" ht="16.5" customHeight="1">
      <c r="A20" s="113"/>
      <c r="B20" s="113"/>
      <c r="C20" s="2"/>
      <c r="D20" s="18"/>
      <c r="E20" s="18"/>
      <c r="F20" s="18"/>
      <c r="G20" t="s" s="114">
        <v>74</v>
      </c>
      <c r="H20" s="2"/>
      <c r="I20" s="18"/>
      <c r="J20" s="14"/>
      <c r="K20" s="4"/>
      <c r="L20" s="4"/>
      <c r="M20" s="4"/>
      <c r="N20" s="115"/>
      <c r="O20" s="115"/>
      <c r="P20" s="2"/>
      <c r="Q20" s="105"/>
      <c r="R20" s="105"/>
      <c r="S20" s="106"/>
      <c r="T20" s="105"/>
      <c r="U20" s="14"/>
      <c r="V20" s="2"/>
      <c r="W20" s="2"/>
      <c r="X20" s="2"/>
      <c r="Y20" s="2"/>
      <c r="Z20" s="2"/>
      <c r="AA20" s="2"/>
      <c r="AB20" s="2"/>
    </row>
    <row r="21" ht="12.75" customHeight="1">
      <c r="A21" s="113"/>
      <c r="B21" s="116"/>
      <c r="C21" s="2"/>
      <c r="D21" s="2"/>
      <c r="E21" s="2"/>
      <c r="F21" s="2"/>
      <c r="G21" s="2"/>
      <c r="H21" s="2"/>
      <c r="I21" s="2"/>
      <c r="J21" s="6"/>
      <c r="K21" t="s" s="43">
        <v>75</v>
      </c>
      <c r="L21" s="44"/>
      <c r="M21" s="44"/>
      <c r="N21" s="44"/>
      <c r="O21" s="45"/>
      <c r="P21" s="24"/>
      <c r="Q21" s="25"/>
      <c r="R21" s="25"/>
      <c r="S21" s="112"/>
      <c r="T21" s="105"/>
      <c r="U21" s="14"/>
      <c r="V21" s="2"/>
      <c r="W21" s="2"/>
      <c r="X21" s="2"/>
      <c r="Y21" s="2"/>
      <c r="Z21" s="2"/>
      <c r="AA21" s="2"/>
      <c r="AB21" s="2"/>
    </row>
    <row r="22" ht="12.75" customHeight="1">
      <c r="A22" s="2"/>
      <c r="B22" s="2"/>
      <c r="C22" s="2"/>
      <c r="D22" s="2"/>
      <c r="E22" s="2"/>
      <c r="F22" s="2"/>
      <c r="G22" s="2"/>
      <c r="H22" s="2"/>
      <c r="I22" s="2"/>
      <c r="J22" s="20"/>
      <c r="K22" s="117"/>
      <c r="L22" t="s" s="118">
        <v>76</v>
      </c>
      <c r="M22" t="s" s="119">
        <v>77</v>
      </c>
      <c r="N22" s="120"/>
      <c r="O22" t="s" s="121">
        <v>78</v>
      </c>
      <c r="P22" s="24"/>
      <c r="Q22" s="105"/>
      <c r="R22" s="105"/>
      <c r="S22" s="106"/>
      <c r="T22" s="105"/>
      <c r="U22" s="122"/>
      <c r="V22" s="2"/>
      <c r="W22" s="2"/>
      <c r="X22" s="2"/>
      <c r="Y22" s="2"/>
      <c r="Z22" s="2"/>
      <c r="AA22" s="2"/>
      <c r="AB22" s="2"/>
    </row>
    <row r="23" ht="12.75" customHeight="1">
      <c r="A23" s="2"/>
      <c r="B23" s="2"/>
      <c r="C23" s="2"/>
      <c r="D23" s="2"/>
      <c r="E23" s="2"/>
      <c r="F23" s="2"/>
      <c r="G23" s="2"/>
      <c r="H23" s="2"/>
      <c r="I23" s="2"/>
      <c r="J23" s="6"/>
      <c r="K23" t="s" s="123">
        <v>79</v>
      </c>
      <c r="L23" t="str" s="124" cm="1">
        <f t="array" ref="L23">F27</f>
        <v>g</v>
      </c>
      <c r="M23" t="s" s="125">
        <v>81</v>
      </c>
      <c r="N23" s="126"/>
      <c r="O23" s="127"/>
      <c r="P23" s="24"/>
      <c r="Q23" s="25"/>
      <c r="R23" s="25"/>
      <c r="S23" s="112"/>
      <c r="T23" s="128"/>
      <c r="U23" s="128"/>
      <c r="V23" s="2"/>
      <c r="W23" s="2"/>
      <c r="X23" s="2"/>
      <c r="Y23" s="2"/>
      <c r="Z23" s="2"/>
      <c r="AA23" s="2"/>
      <c r="AB23" s="2"/>
    </row>
    <row r="24" ht="14.25" customHeight="1">
      <c r="A24" s="2"/>
      <c r="B24" s="4"/>
      <c r="C24" s="2"/>
      <c r="D24" s="2"/>
      <c r="E24" s="4"/>
      <c r="F24" s="2"/>
      <c r="G24" s="2"/>
      <c r="H24" s="2"/>
      <c r="I24" s="2"/>
      <c r="J24" s="20"/>
      <c r="K24" s="129">
        <v>1</v>
      </c>
      <c r="L24" s="130">
        <v>15</v>
      </c>
      <c r="M24" s="131">
        <v>5</v>
      </c>
      <c r="N24" s="132"/>
      <c r="O24" t="s" s="133">
        <v>81</v>
      </c>
      <c r="P24" s="24"/>
      <c r="Q24" s="105"/>
      <c r="R24" s="105"/>
      <c r="S24" s="106"/>
      <c r="T24" s="134"/>
      <c r="U24" s="2"/>
      <c r="V24" s="2"/>
      <c r="W24" s="2"/>
      <c r="X24" s="2"/>
      <c r="Y24" s="2"/>
      <c r="Z24" s="2"/>
      <c r="AA24" s="2"/>
      <c r="AB24" s="2"/>
    </row>
    <row r="25" ht="13.5" customHeight="1">
      <c r="A25" t="s" s="135">
        <v>82</v>
      </c>
      <c r="B25" t="str" s="136" cm="1">
        <f t="array" ref="B25">IF(E25&lt;=1000,"Ordinaria",IF(E25&lt;=10000,"Media",IF(E25&lt;=100000,"Alta","Especial")))</f>
        <v>Especial</v>
      </c>
      <c r="C25" s="24"/>
      <c r="D25" t="s" s="137">
        <v>84</v>
      </c>
      <c r="E25" s="138" cm="1">
        <f t="array" ref="E25">E27/E30</f>
        <v>120000</v>
      </c>
      <c r="F25" t="s" s="139">
        <v>85</v>
      </c>
      <c r="G25" s="140"/>
      <c r="H25" s="2"/>
      <c r="I25" s="2"/>
      <c r="J25" s="6"/>
      <c r="K25" s="129">
        <v>2</v>
      </c>
      <c r="L25" s="141"/>
      <c r="M25" s="131">
        <v>5</v>
      </c>
      <c r="N25" s="132"/>
      <c r="O25" t="s" s="133">
        <v>81</v>
      </c>
      <c r="P25" s="24"/>
      <c r="Q25" s="25"/>
      <c r="R25" s="25"/>
      <c r="S25" s="112"/>
      <c r="T25" s="134"/>
      <c r="U25" s="142"/>
      <c r="V25" s="2"/>
      <c r="W25" s="2"/>
      <c r="X25" s="2"/>
      <c r="Y25" s="2"/>
      <c r="Z25" s="2"/>
      <c r="AA25" s="2"/>
      <c r="AB25" s="2"/>
    </row>
    <row r="26" ht="12.75" customHeight="1">
      <c r="A26" s="2"/>
      <c r="B26" s="48"/>
      <c r="C26" s="2"/>
      <c r="D26" s="2"/>
      <c r="E26" s="143"/>
      <c r="F26" s="144"/>
      <c r="G26" s="145"/>
      <c r="H26" s="145"/>
      <c r="I26" s="2"/>
      <c r="J26" s="20"/>
      <c r="K26" s="129">
        <v>3</v>
      </c>
      <c r="L26" s="141"/>
      <c r="M26" s="131">
        <v>5</v>
      </c>
      <c r="N26" s="132"/>
      <c r="O26" t="s" s="133">
        <v>81</v>
      </c>
      <c r="P26" s="24"/>
      <c r="Q26" s="105"/>
      <c r="R26" s="105"/>
      <c r="S26" s="106"/>
      <c r="T26" s="134"/>
      <c r="U26" s="142"/>
      <c r="V26" s="2"/>
      <c r="W26" s="2"/>
      <c r="X26" s="2"/>
      <c r="Y26" s="2"/>
      <c r="Z26" s="2"/>
      <c r="AA26" s="2"/>
      <c r="AB26" s="2"/>
    </row>
    <row r="27" ht="12.75" customHeight="1">
      <c r="A27" s="146"/>
      <c r="B27" s="128"/>
      <c r="C27" s="2"/>
      <c r="D27" s="20"/>
      <c r="E27" s="147">
        <v>1200</v>
      </c>
      <c r="F27" t="s" s="148">
        <v>86</v>
      </c>
      <c r="G27" s="149"/>
      <c r="H27" s="150"/>
      <c r="I27" s="2"/>
      <c r="J27" s="6"/>
      <c r="K27" s="151"/>
      <c r="L27" t="s" s="152">
        <v>87</v>
      </c>
      <c r="M27" s="153" cm="1">
        <f t="array" ref="M27">MAX(M24:N26)*2</f>
        <v>10</v>
      </c>
      <c r="N27" s="154"/>
      <c r="O27" t="s" s="155">
        <v>81</v>
      </c>
      <c r="P27" s="24"/>
      <c r="Q27" s="25"/>
      <c r="R27" s="25"/>
      <c r="S27" s="112"/>
      <c r="T27" s="134"/>
      <c r="U27" s="142"/>
      <c r="V27" s="2"/>
      <c r="W27" s="2"/>
      <c r="X27" s="2"/>
      <c r="Y27" s="2"/>
      <c r="Z27" s="2"/>
      <c r="AA27" s="2"/>
      <c r="AB27" s="2"/>
    </row>
    <row r="28" ht="12.75" customHeight="1">
      <c r="A28" s="2"/>
      <c r="B28" s="2"/>
      <c r="C28" s="2"/>
      <c r="D28" s="2"/>
      <c r="E28" s="143"/>
      <c r="F28" s="156"/>
      <c r="G28" s="18"/>
      <c r="H28" s="2"/>
      <c r="I28" s="2"/>
      <c r="J28" s="2"/>
      <c r="K28" s="48"/>
      <c r="L28" s="48"/>
      <c r="M28" s="94"/>
      <c r="N28" s="48"/>
      <c r="O28" s="48"/>
      <c r="P28" s="2"/>
      <c r="Q28" s="105"/>
      <c r="R28" s="105"/>
      <c r="S28" s="106"/>
      <c r="T28" s="134"/>
      <c r="U28" s="142"/>
      <c r="V28" s="2"/>
      <c r="W28" s="2"/>
      <c r="X28" s="2"/>
      <c r="Y28" s="2"/>
      <c r="Z28" s="2"/>
      <c r="AA28" s="2"/>
      <c r="AB28" s="2"/>
    </row>
    <row r="29" ht="12.75" customHeight="1">
      <c r="A29" s="2"/>
      <c r="B29" s="146"/>
      <c r="C29" s="2"/>
      <c r="D29" t="s" s="135">
        <v>88</v>
      </c>
      <c r="E29" s="157">
        <v>0.01</v>
      </c>
      <c r="F29" t="str" s="158" cm="1">
        <f t="array" ref="F29">F27</f>
        <v>g</v>
      </c>
      <c r="G29" s="18"/>
      <c r="H29" s="2"/>
      <c r="I29" s="2"/>
      <c r="J29" s="2"/>
      <c r="K29" s="2"/>
      <c r="L29" s="2"/>
      <c r="M29" s="14"/>
      <c r="N29" s="2"/>
      <c r="O29" s="2"/>
      <c r="P29" s="2"/>
      <c r="Q29" s="25"/>
      <c r="R29" s="25"/>
      <c r="S29" s="112"/>
      <c r="T29" s="134"/>
      <c r="U29" s="142"/>
      <c r="V29" s="2"/>
      <c r="W29" s="2"/>
      <c r="X29" s="2"/>
      <c r="Y29" s="2"/>
      <c r="Z29" s="2"/>
      <c r="AA29" s="2"/>
      <c r="AB29" s="2"/>
    </row>
    <row r="30" ht="13.5" customHeight="1">
      <c r="A30" s="25"/>
      <c r="B30" s="25"/>
      <c r="C30" s="128"/>
      <c r="D30" t="s" s="135">
        <v>89</v>
      </c>
      <c r="E30" s="159">
        <v>0.01</v>
      </c>
      <c r="F30" t="str" s="160" cm="1">
        <f t="array" ref="F30">F27</f>
        <v>g</v>
      </c>
      <c r="G30" s="13"/>
      <c r="H30" s="128"/>
      <c r="I30" s="128"/>
      <c r="J30" s="2"/>
      <c r="K30" s="128"/>
      <c r="L30" s="128"/>
      <c r="M30" s="128"/>
      <c r="N30" s="128"/>
      <c r="O30" s="2"/>
      <c r="P30" s="2"/>
      <c r="Q30" s="105"/>
      <c r="R30" s="105"/>
      <c r="S30" s="106"/>
      <c r="T30" s="134"/>
      <c r="U30" s="142"/>
      <c r="V30" s="2"/>
      <c r="W30" s="2"/>
      <c r="X30" s="2"/>
      <c r="Y30" s="2"/>
      <c r="Z30" s="2"/>
      <c r="AA30" s="2"/>
      <c r="AB30" s="2"/>
    </row>
    <row r="31" ht="12.75" customHeight="1">
      <c r="A31" s="25"/>
      <c r="B31" s="25"/>
      <c r="C31" s="128"/>
      <c r="D31" s="2"/>
      <c r="E31" s="48"/>
      <c r="F31" s="2"/>
      <c r="G31" s="128"/>
      <c r="H31" s="128"/>
      <c r="I31" s="128"/>
      <c r="J31" s="2"/>
      <c r="K31" s="128"/>
      <c r="L31" s="128"/>
      <c r="M31" s="128"/>
      <c r="N31" s="128"/>
      <c r="O31" s="2"/>
      <c r="P31" s="2"/>
      <c r="Q31" s="25"/>
      <c r="R31" s="25"/>
      <c r="S31" s="112"/>
      <c r="T31" s="134"/>
      <c r="U31" s="142"/>
      <c r="V31" s="2"/>
      <c r="W31" s="2"/>
      <c r="X31" s="2"/>
      <c r="Y31" s="2"/>
      <c r="Z31" s="2"/>
      <c r="AA31" s="2"/>
      <c r="AB31" s="2"/>
    </row>
    <row r="32" ht="12.75" customHeight="1">
      <c r="A32" s="25"/>
      <c r="B32" s="25"/>
      <c r="C32" s="128"/>
      <c r="D32" s="128"/>
      <c r="E32" s="2"/>
      <c r="F32" s="128"/>
      <c r="G32" s="128"/>
      <c r="H32" s="128"/>
      <c r="I32" s="128"/>
      <c r="J32" s="2"/>
      <c r="K32" s="128"/>
      <c r="L32" s="128"/>
      <c r="M32" s="128"/>
      <c r="N32" s="128"/>
      <c r="O32" s="2"/>
      <c r="P32" s="2"/>
      <c r="Q32" s="105"/>
      <c r="R32" s="105"/>
      <c r="S32" s="106"/>
      <c r="T32" s="2"/>
      <c r="U32" s="2"/>
      <c r="V32" s="2"/>
      <c r="W32" s="2"/>
      <c r="X32" s="2"/>
      <c r="Y32" s="2"/>
      <c r="Z32" s="2"/>
      <c r="AA32" s="2"/>
      <c r="AB32" s="2"/>
    </row>
    <row r="33" ht="13.5" customHeight="1">
      <c r="A33" s="4"/>
      <c r="B33" s="4"/>
      <c r="C33" s="4"/>
      <c r="D33" s="4"/>
      <c r="E33" s="2"/>
      <c r="F33" s="2"/>
      <c r="G33" s="2"/>
      <c r="H33" s="2"/>
      <c r="I33" s="2"/>
      <c r="J33" s="2"/>
      <c r="K33" s="2"/>
      <c r="L33" s="2"/>
      <c r="M33" s="2"/>
      <c r="N33" s="2"/>
      <c r="O33" s="2"/>
      <c r="P33" s="2"/>
      <c r="Q33" s="2"/>
      <c r="R33" s="2"/>
      <c r="S33" s="2"/>
      <c r="T33" s="2"/>
      <c r="U33" s="2"/>
      <c r="V33" s="2"/>
      <c r="W33" s="2"/>
      <c r="X33" s="2"/>
      <c r="Y33" s="2"/>
      <c r="Z33" s="2"/>
      <c r="AA33" s="2"/>
      <c r="AB33" s="2"/>
    </row>
    <row r="34" ht="16.5" customHeight="1">
      <c r="A34" t="s" s="161">
        <v>90</v>
      </c>
      <c r="B34" s="162"/>
      <c r="C34" s="163"/>
      <c r="D34" s="164"/>
      <c r="E34" s="24"/>
      <c r="F34" s="2"/>
      <c r="G34" s="4"/>
      <c r="H34" s="4"/>
      <c r="I34" s="4"/>
      <c r="J34" s="4"/>
      <c r="K34" s="4"/>
      <c r="L34" s="14"/>
      <c r="M34" s="4"/>
      <c r="N34" s="4"/>
      <c r="O34" s="4"/>
      <c r="P34" s="4"/>
      <c r="Q34" s="4"/>
      <c r="R34" s="2"/>
      <c r="S34" s="2"/>
      <c r="T34" s="2"/>
      <c r="U34" s="2"/>
      <c r="V34" s="2"/>
      <c r="W34" s="2"/>
      <c r="X34" s="2"/>
      <c r="Y34" s="2"/>
      <c r="Z34" s="2"/>
      <c r="AA34" s="2"/>
      <c r="AB34" s="2"/>
    </row>
    <row r="35" ht="16.5" customHeight="1">
      <c r="A35" t="s" s="165">
        <v>91</v>
      </c>
      <c r="B35" s="166"/>
      <c r="C35" s="167">
        <v>500</v>
      </c>
      <c r="D35" t="s" s="168">
        <v>86</v>
      </c>
      <c r="E35" s="169"/>
      <c r="F35" s="170"/>
      <c r="G35" t="s" s="171">
        <v>92</v>
      </c>
      <c r="H35" s="172"/>
      <c r="I35" s="172"/>
      <c r="J35" s="172"/>
      <c r="K35" s="173"/>
      <c r="L35" s="42"/>
      <c r="M35" t="s" s="171">
        <v>93</v>
      </c>
      <c r="N35" s="172"/>
      <c r="O35" s="172"/>
      <c r="P35" s="172"/>
      <c r="Q35" s="173"/>
      <c r="R35" s="24"/>
      <c r="S35" s="2"/>
      <c r="T35" s="2"/>
      <c r="U35" s="2"/>
      <c r="V35" s="2"/>
      <c r="W35" s="2"/>
      <c r="X35" s="2"/>
      <c r="Y35" s="2"/>
      <c r="Z35" s="2"/>
      <c r="AA35" s="2"/>
      <c r="AB35" s="2"/>
    </row>
    <row r="36" ht="16.5" customHeight="1">
      <c r="A36" s="174"/>
      <c r="B36" s="175"/>
      <c r="C36" s="175"/>
      <c r="D36" s="176"/>
      <c r="E36" s="169"/>
      <c r="F36" s="6"/>
      <c r="G36" s="177"/>
      <c r="H36" s="178"/>
      <c r="I36" s="178"/>
      <c r="J36" s="178"/>
      <c r="K36" s="179"/>
      <c r="L36" s="180"/>
      <c r="M36" s="177"/>
      <c r="N36" s="178"/>
      <c r="O36" s="178"/>
      <c r="P36" s="178"/>
      <c r="Q36" s="179"/>
      <c r="R36" s="24"/>
      <c r="S36" s="2"/>
      <c r="T36" s="2"/>
      <c r="U36" s="2"/>
      <c r="V36" s="2"/>
      <c r="W36" s="2"/>
      <c r="X36" s="2"/>
      <c r="Y36" s="2"/>
      <c r="Z36" s="2"/>
      <c r="AA36" s="2"/>
      <c r="AB36" s="2"/>
    </row>
    <row r="37" ht="15" customHeight="1">
      <c r="A37" t="s" s="181">
        <v>94</v>
      </c>
      <c r="B37" t="s" s="182">
        <v>95</v>
      </c>
      <c r="C37" t="s" s="182">
        <v>96</v>
      </c>
      <c r="D37" t="s" s="182">
        <v>97</v>
      </c>
      <c r="E37" s="169"/>
      <c r="F37" s="183"/>
      <c r="G37" t="s" s="184">
        <v>91</v>
      </c>
      <c r="H37" s="185"/>
      <c r="I37" s="186">
        <v>500</v>
      </c>
      <c r="J37" t="str" s="187" cm="1">
        <f t="array" ref="J37">F27</f>
        <v>g</v>
      </c>
      <c r="K37" s="166"/>
      <c r="L37" s="180"/>
      <c r="M37" t="s" s="188">
        <v>91</v>
      </c>
      <c r="N37" s="189"/>
      <c r="O37" s="167">
        <v>1000</v>
      </c>
      <c r="P37" t="str" s="190" cm="1">
        <f t="array" ref="P37">F27</f>
        <v>g</v>
      </c>
      <c r="Q37" s="190"/>
      <c r="R37" s="24"/>
      <c r="S37" s="2"/>
      <c r="T37" s="2"/>
      <c r="U37" s="2"/>
      <c r="V37" s="2"/>
      <c r="W37" s="2"/>
      <c r="X37" s="2"/>
      <c r="Y37" s="2"/>
      <c r="Z37" s="2"/>
      <c r="AA37" s="2"/>
      <c r="AB37" s="2"/>
    </row>
    <row r="38" ht="13.5" customHeight="1">
      <c r="A38" s="191"/>
      <c r="B38" t="str" s="192" cm="1">
        <f t="array" ref="B38">F27</f>
        <v>g</v>
      </c>
      <c r="C38" t="str" s="192" cm="1">
        <f t="array" ref="C38">B38</f>
        <v>g</v>
      </c>
      <c r="D38" t="str" s="192" cm="1">
        <f t="array" ref="D38">B38</f>
        <v>g</v>
      </c>
      <c r="E38" s="169"/>
      <c r="F38" s="183"/>
      <c r="G38" t="s" s="193">
        <v>99</v>
      </c>
      <c r="H38" s="194"/>
      <c r="I38" s="195"/>
      <c r="J38" t="s" s="196">
        <v>95</v>
      </c>
      <c r="K38" s="197"/>
      <c r="L38" s="198"/>
      <c r="M38" t="s" s="193">
        <v>99</v>
      </c>
      <c r="N38" t="s" s="199">
        <v>100</v>
      </c>
      <c r="O38" s="195"/>
      <c r="P38" t="s" s="196">
        <v>95</v>
      </c>
      <c r="Q38" s="197"/>
      <c r="R38" s="24"/>
      <c r="S38" s="2"/>
      <c r="T38" s="2"/>
      <c r="U38" s="2"/>
      <c r="V38" s="2"/>
      <c r="W38" s="2"/>
      <c r="X38" s="2"/>
      <c r="Y38" s="2"/>
      <c r="Z38" s="2"/>
      <c r="AA38" s="2"/>
      <c r="AB38" s="2"/>
    </row>
    <row r="39" ht="13.5" customHeight="1">
      <c r="A39" s="200">
        <v>1</v>
      </c>
      <c r="B39" s="201">
        <v>500.01</v>
      </c>
      <c r="C39" s="202"/>
      <c r="D39" s="203"/>
      <c r="E39" s="204"/>
      <c r="F39" s="183"/>
      <c r="G39" s="192"/>
      <c r="H39" s="205"/>
      <c r="I39" s="33"/>
      <c r="J39" s="33"/>
      <c r="K39" s="206"/>
      <c r="L39" s="198"/>
      <c r="M39" s="192"/>
      <c r="N39" s="205"/>
      <c r="O39" s="33"/>
      <c r="P39" s="33"/>
      <c r="Q39" s="206"/>
      <c r="R39" s="24"/>
      <c r="S39" s="2"/>
      <c r="T39" s="2"/>
      <c r="U39" s="2"/>
      <c r="V39" s="2"/>
      <c r="W39" s="2"/>
      <c r="X39" s="2"/>
      <c r="Y39" s="2"/>
      <c r="Z39" s="2"/>
      <c r="AA39" s="2"/>
      <c r="AB39" s="2"/>
    </row>
    <row r="40" ht="15.75" customHeight="1">
      <c r="A40" s="207">
        <v>2</v>
      </c>
      <c r="B40" s="201">
        <v>500.02</v>
      </c>
      <c r="C40" s="208" cm="1">
        <f t="array" ref="C40">B40-$B$39</f>
        <v>0.01</v>
      </c>
      <c r="D40" s="209" cm="1">
        <f t="array" ref="D40">ABS(C40)</f>
        <v>0.01</v>
      </c>
      <c r="E40" s="204"/>
      <c r="F40" s="183"/>
      <c r="G40" s="210">
        <v>1</v>
      </c>
      <c r="H40" s="211">
        <v>0</v>
      </c>
      <c r="I40" s="212"/>
      <c r="J40" s="213">
        <v>500</v>
      </c>
      <c r="K40" s="214"/>
      <c r="L40" s="49"/>
      <c r="M40" s="210">
        <v>1</v>
      </c>
      <c r="N40" s="211">
        <v>0</v>
      </c>
      <c r="O40" s="212"/>
      <c r="P40" s="213">
        <v>1000.03</v>
      </c>
      <c r="Q40" s="214"/>
      <c r="R40" s="24"/>
      <c r="S40" s="2"/>
      <c r="T40" s="2"/>
      <c r="U40" s="2"/>
      <c r="V40" s="2"/>
      <c r="W40" s="2"/>
      <c r="X40" s="2"/>
      <c r="Y40" s="2"/>
      <c r="Z40" s="2"/>
      <c r="AA40" s="2"/>
      <c r="AB40" s="2"/>
    </row>
    <row r="41" ht="14.25" customHeight="1">
      <c r="A41" s="207">
        <v>3</v>
      </c>
      <c r="B41" s="201">
        <v>500.01</v>
      </c>
      <c r="C41" s="208" cm="1">
        <f t="array" ref="C41">B41-$B$39</f>
        <v>0</v>
      </c>
      <c r="D41" s="209" cm="1">
        <f t="array" ref="D41">ABS(C41)</f>
        <v>0</v>
      </c>
      <c r="E41" s="204"/>
      <c r="F41" s="183"/>
      <c r="G41" s="215">
        <v>2</v>
      </c>
      <c r="H41" s="216">
        <v>0</v>
      </c>
      <c r="I41" s="217"/>
      <c r="J41" s="213">
        <v>500.01</v>
      </c>
      <c r="K41" s="214"/>
      <c r="L41" s="49"/>
      <c r="M41" s="215">
        <v>2</v>
      </c>
      <c r="N41" s="216">
        <v>0</v>
      </c>
      <c r="O41" s="217"/>
      <c r="P41" s="213">
        <v>1000.04</v>
      </c>
      <c r="Q41" s="214"/>
      <c r="R41" s="24"/>
      <c r="S41" s="2"/>
      <c r="T41" s="2"/>
      <c r="U41" s="2"/>
      <c r="V41" s="2"/>
      <c r="W41" s="2"/>
      <c r="X41" s="2"/>
      <c r="Y41" s="2"/>
      <c r="Z41" s="2"/>
      <c r="AA41" s="2"/>
      <c r="AB41" s="2"/>
    </row>
    <row r="42" ht="15.75" customHeight="1">
      <c r="A42" s="207">
        <v>4</v>
      </c>
      <c r="B42" s="201">
        <v>500.02</v>
      </c>
      <c r="C42" s="208" cm="1">
        <f t="array" ref="C42">B42-$B$39</f>
        <v>0.01</v>
      </c>
      <c r="D42" s="209" cm="1">
        <f t="array" ref="D42">ABS(C42)</f>
        <v>0.01</v>
      </c>
      <c r="E42" s="204"/>
      <c r="F42" s="183"/>
      <c r="G42" s="215">
        <v>3</v>
      </c>
      <c r="H42" s="216">
        <v>0</v>
      </c>
      <c r="I42" s="217"/>
      <c r="J42" s="213">
        <v>500.01</v>
      </c>
      <c r="K42" s="214"/>
      <c r="L42" s="218"/>
      <c r="M42" s="215">
        <v>3</v>
      </c>
      <c r="N42" s="216">
        <v>0</v>
      </c>
      <c r="O42" s="217"/>
      <c r="P42" s="213">
        <v>1000.04</v>
      </c>
      <c r="Q42" s="214"/>
      <c r="R42" s="24"/>
      <c r="S42" s="2"/>
      <c r="T42" s="2"/>
      <c r="U42" s="2"/>
      <c r="V42" s="2"/>
      <c r="W42" s="2"/>
      <c r="X42" s="2"/>
      <c r="Y42" s="2"/>
      <c r="Z42" s="2"/>
      <c r="AA42" s="2"/>
      <c r="AB42" s="2"/>
    </row>
    <row r="43" ht="15.75" customHeight="1">
      <c r="A43" s="219">
        <v>5</v>
      </c>
      <c r="B43" s="201">
        <v>500.02</v>
      </c>
      <c r="C43" s="220" cm="1">
        <f t="array" ref="C43">B43-$B$39</f>
        <v>0.01</v>
      </c>
      <c r="D43" s="221" cm="1">
        <f t="array" ref="D43">ABS(C43)</f>
        <v>0.01</v>
      </c>
      <c r="E43" s="204"/>
      <c r="F43" s="183"/>
      <c r="G43" s="215">
        <v>4</v>
      </c>
      <c r="H43" s="216">
        <v>0</v>
      </c>
      <c r="I43" s="217"/>
      <c r="J43" s="213">
        <v>500.01</v>
      </c>
      <c r="K43" s="214"/>
      <c r="L43" s="218"/>
      <c r="M43" s="215">
        <v>4</v>
      </c>
      <c r="N43" s="216">
        <v>0</v>
      </c>
      <c r="O43" s="217"/>
      <c r="P43" s="213">
        <v>1000.03</v>
      </c>
      <c r="Q43" s="214"/>
      <c r="R43" s="24"/>
      <c r="S43" s="2"/>
      <c r="T43" s="2"/>
      <c r="U43" s="2"/>
      <c r="V43" s="2"/>
      <c r="W43" s="2"/>
      <c r="X43" s="2"/>
      <c r="Y43" s="2"/>
      <c r="Z43" s="2"/>
      <c r="AA43" s="2"/>
      <c r="AB43" s="2"/>
    </row>
    <row r="44" ht="15.75" customHeight="1">
      <c r="A44" t="s" s="222">
        <v>101</v>
      </c>
      <c r="B44" s="223"/>
      <c r="C44" s="224" cm="1">
        <f t="array" ref="C44">MAX(D40:D43)</f>
        <v>0.01</v>
      </c>
      <c r="D44" t="str" s="225" cm="1">
        <f t="array" ref="D44">B38</f>
        <v>g</v>
      </c>
      <c r="E44" s="24"/>
      <c r="F44" s="183"/>
      <c r="G44" s="226">
        <v>5</v>
      </c>
      <c r="H44" s="227">
        <v>0</v>
      </c>
      <c r="I44" s="228"/>
      <c r="J44" s="213">
        <v>500.02</v>
      </c>
      <c r="K44" s="214"/>
      <c r="L44" s="218"/>
      <c r="M44" s="226">
        <v>5</v>
      </c>
      <c r="N44" s="227">
        <v>0</v>
      </c>
      <c r="O44" s="228"/>
      <c r="P44" s="213">
        <v>1000.04</v>
      </c>
      <c r="Q44" s="214"/>
      <c r="R44" s="24"/>
      <c r="S44" s="2"/>
      <c r="T44" s="2"/>
      <c r="U44" s="2"/>
      <c r="V44" s="2"/>
      <c r="W44" s="2"/>
      <c r="X44" s="2"/>
      <c r="Y44" s="2"/>
      <c r="Z44" s="2"/>
      <c r="AA44" s="2"/>
      <c r="AB44" s="2"/>
    </row>
    <row r="45" ht="15.75" customHeight="1">
      <c r="A45" t="s" s="229">
        <v>102</v>
      </c>
      <c r="B45" s="230" cm="1">
        <f t="array" ref="B45">C44/(2*C35*SQRT(3))</f>
        <v>5.77350269189626e-06</v>
      </c>
      <c r="C45" t="s" s="229">
        <v>103</v>
      </c>
      <c r="D45" s="225"/>
      <c r="E45" s="24"/>
      <c r="F45" s="183"/>
      <c r="G45" s="231"/>
      <c r="H45" t="s" s="232">
        <v>104</v>
      </c>
      <c r="I45" s="233"/>
      <c r="J45" s="234" cm="1">
        <f t="array" ref="J45">STDEV(J40:K44)</f>
        <v>0.00707106781186548</v>
      </c>
      <c r="K45" s="235"/>
      <c r="L45" s="218"/>
      <c r="M45" s="231"/>
      <c r="N45" t="s" s="232">
        <v>104</v>
      </c>
      <c r="O45" s="233"/>
      <c r="P45" s="236">
        <v>0</v>
      </c>
      <c r="Q45" s="235"/>
      <c r="R45" s="24"/>
      <c r="S45" s="2"/>
      <c r="T45" s="2"/>
      <c r="U45" s="2"/>
      <c r="V45" s="2"/>
      <c r="W45" s="2"/>
      <c r="X45" s="2"/>
      <c r="Y45" s="2"/>
      <c r="Z45" s="2"/>
      <c r="AA45" s="2"/>
      <c r="AB45" s="2"/>
    </row>
    <row r="46" ht="12.75" customHeight="1">
      <c r="A46" s="48"/>
      <c r="B46" s="48"/>
      <c r="C46" s="48"/>
      <c r="D46" s="48"/>
      <c r="E46" s="2"/>
      <c r="F46" s="183"/>
      <c r="G46" t="s" s="237">
        <v>105</v>
      </c>
      <c r="H46" t="s" s="238">
        <v>106</v>
      </c>
      <c r="I46" s="239"/>
      <c r="J46" s="240"/>
      <c r="K46" s="241"/>
      <c r="L46" s="218"/>
      <c r="M46" t="s" s="237">
        <v>105</v>
      </c>
      <c r="N46" t="s" s="238">
        <v>106</v>
      </c>
      <c r="O46" s="239"/>
      <c r="P46" s="240"/>
      <c r="Q46" s="241"/>
      <c r="R46" s="24"/>
      <c r="S46" s="2"/>
      <c r="T46" s="2"/>
      <c r="U46" s="2"/>
      <c r="V46" s="2"/>
      <c r="W46" s="2"/>
      <c r="X46" s="2"/>
      <c r="Y46" s="2"/>
      <c r="Z46" s="2"/>
      <c r="AA46" s="2"/>
      <c r="AB46" s="2"/>
    </row>
    <row r="47" ht="12.75" customHeight="1">
      <c r="A47" s="242"/>
      <c r="B47" s="2"/>
      <c r="C47" s="142"/>
      <c r="D47" s="2"/>
      <c r="E47" s="2"/>
      <c r="F47" s="183"/>
      <c r="G47" s="24"/>
      <c r="H47" t="s" s="243">
        <v>107</v>
      </c>
      <c r="I47" s="244"/>
      <c r="J47" s="244"/>
      <c r="K47" s="245"/>
      <c r="L47" s="246"/>
      <c r="M47" s="24"/>
      <c r="N47" t="s" s="243">
        <v>107</v>
      </c>
      <c r="O47" s="244"/>
      <c r="P47" s="244"/>
      <c r="Q47" s="245"/>
      <c r="R47" s="24"/>
      <c r="S47" s="2"/>
      <c r="T47" s="2"/>
      <c r="U47" s="2"/>
      <c r="V47" s="2"/>
      <c r="W47" s="2"/>
      <c r="X47" s="2"/>
      <c r="Y47" s="2"/>
      <c r="Z47" s="2"/>
      <c r="AA47" s="2"/>
      <c r="AB47" s="2"/>
    </row>
    <row r="48" ht="12.75" customHeight="1">
      <c r="A48" s="242"/>
      <c r="B48" s="2"/>
      <c r="C48" s="2"/>
      <c r="D48" s="2"/>
      <c r="E48" s="2"/>
      <c r="F48" s="183"/>
      <c r="G48" s="247"/>
      <c r="H48" t="s" s="248">
        <v>108</v>
      </c>
      <c r="I48" s="249"/>
      <c r="J48" s="249"/>
      <c r="K48" s="250"/>
      <c r="L48" s="246"/>
      <c r="M48" s="247"/>
      <c r="N48" t="s" s="248">
        <v>108</v>
      </c>
      <c r="O48" s="249"/>
      <c r="P48" s="249"/>
      <c r="Q48" s="250"/>
      <c r="R48" s="24"/>
      <c r="S48" s="2"/>
      <c r="T48" s="2"/>
      <c r="U48" s="2"/>
      <c r="V48" s="2"/>
      <c r="W48" s="2"/>
      <c r="X48" s="2"/>
      <c r="Y48" s="2"/>
      <c r="Z48" s="2"/>
      <c r="AA48" s="2"/>
      <c r="AB48" s="2"/>
    </row>
    <row r="49" ht="12.75" customHeight="1">
      <c r="A49" s="251"/>
      <c r="B49" s="2"/>
      <c r="C49" s="2"/>
      <c r="D49" s="2"/>
      <c r="E49" s="2"/>
      <c r="F49" s="252"/>
      <c r="G49" s="253"/>
      <c r="H49" t="s" s="254">
        <v>109</v>
      </c>
      <c r="I49" s="255" cm="1">
        <f t="array" ref="I49">MAX(J45:P45)</f>
        <v>0.00707106781186548</v>
      </c>
      <c r="J49" s="256"/>
      <c r="K49" s="257"/>
      <c r="L49" s="258"/>
      <c r="M49" s="259"/>
      <c r="N49" s="259"/>
      <c r="O49" s="260"/>
      <c r="P49" s="261"/>
      <c r="Q49" s="48"/>
      <c r="R49" s="2"/>
      <c r="S49" s="2"/>
      <c r="T49" s="2"/>
      <c r="U49" s="2"/>
      <c r="V49" s="2"/>
      <c r="W49" s="2"/>
      <c r="X49" s="2"/>
      <c r="Y49" s="2"/>
      <c r="Z49" s="2"/>
      <c r="AA49" s="2"/>
      <c r="AB49" s="2"/>
    </row>
    <row r="50" ht="12.75" customHeight="1">
      <c r="A50" s="262"/>
      <c r="B50" s="2"/>
      <c r="C50" s="2"/>
      <c r="D50" s="2"/>
      <c r="E50" s="2"/>
      <c r="F50" s="252"/>
      <c r="G50" s="258"/>
      <c r="H50" s="263"/>
      <c r="I50" s="264"/>
      <c r="J50" s="2"/>
      <c r="K50" s="252"/>
      <c r="L50" s="258"/>
      <c r="M50" s="258"/>
      <c r="N50" s="258"/>
      <c r="O50" s="2"/>
      <c r="P50" s="2"/>
      <c r="Q50" s="2"/>
      <c r="R50" s="2"/>
      <c r="S50" s="2"/>
      <c r="T50" s="2"/>
      <c r="U50" s="2"/>
      <c r="V50" s="2"/>
      <c r="W50" s="2"/>
      <c r="X50" s="2"/>
      <c r="Y50" s="2"/>
      <c r="Z50" s="2"/>
      <c r="AA50" s="2"/>
      <c r="AB50" s="2"/>
    </row>
    <row r="51" ht="12.75" customHeight="1">
      <c r="A51" s="262"/>
      <c r="B51" s="2"/>
      <c r="C51" s="2"/>
      <c r="D51" s="2"/>
      <c r="E51" s="2"/>
      <c r="F51" s="252"/>
      <c r="G51" s="258"/>
      <c r="H51" s="265"/>
      <c r="I51" s="258"/>
      <c r="J51" s="2"/>
      <c r="K51" s="252"/>
      <c r="L51" s="258"/>
      <c r="M51" s="265"/>
      <c r="N51" s="258"/>
      <c r="O51" s="13"/>
      <c r="P51" s="2"/>
      <c r="Q51" s="2"/>
      <c r="R51" s="2"/>
      <c r="S51" s="2"/>
      <c r="T51" s="2"/>
      <c r="U51" s="2"/>
      <c r="V51" s="2"/>
      <c r="W51" s="2"/>
      <c r="X51" s="2"/>
      <c r="Y51" s="2"/>
      <c r="Z51" s="2"/>
      <c r="AA51" s="2"/>
      <c r="AB51" s="2"/>
    </row>
    <row r="52" ht="12.75" customHeight="1">
      <c r="A52" s="262"/>
      <c r="B52" s="112"/>
      <c r="C52" s="112"/>
      <c r="D52" s="266"/>
      <c r="E52" s="267"/>
      <c r="F52" s="2"/>
      <c r="G52" s="2"/>
      <c r="H52" s="2"/>
      <c r="I52" s="2"/>
      <c r="J52" s="2"/>
      <c r="K52" s="14"/>
      <c r="L52" s="14"/>
      <c r="M52" s="2"/>
      <c r="N52" s="2"/>
      <c r="O52" s="2"/>
      <c r="P52" s="2"/>
      <c r="Q52" s="2"/>
      <c r="R52" s="2"/>
      <c r="S52" s="2"/>
      <c r="T52" s="2"/>
      <c r="U52" s="2"/>
      <c r="V52" s="2"/>
      <c r="W52" s="2"/>
      <c r="X52" s="2"/>
      <c r="Y52" s="2"/>
      <c r="Z52" s="2"/>
      <c r="AA52" s="268"/>
      <c r="AB52" s="2"/>
    </row>
    <row r="53" ht="12.75" customHeight="1">
      <c r="A53" s="262"/>
      <c r="B53" s="112"/>
      <c r="C53" s="112"/>
      <c r="D53" s="266"/>
      <c r="E53" s="266"/>
      <c r="F53" s="2"/>
      <c r="G53" s="2"/>
      <c r="H53" s="2"/>
      <c r="I53" s="269"/>
      <c r="J53" s="269"/>
      <c r="K53" s="270"/>
      <c r="L53" s="270"/>
      <c r="M53" s="269"/>
      <c r="N53" s="269"/>
      <c r="O53" s="269"/>
      <c r="P53" s="269"/>
      <c r="Q53" s="269"/>
      <c r="R53" s="269"/>
      <c r="S53" s="269"/>
      <c r="T53" s="271"/>
      <c r="U53" s="2"/>
      <c r="V53" s="2"/>
      <c r="W53" s="2"/>
      <c r="X53" s="272"/>
      <c r="Y53" s="273"/>
      <c r="Z53" s="273"/>
      <c r="AA53" s="272"/>
      <c r="AB53" s="2"/>
    </row>
    <row r="54" ht="12.75" customHeight="1">
      <c r="A54" s="2"/>
      <c r="B54" s="2"/>
      <c r="C54" s="2"/>
      <c r="D54" s="2"/>
      <c r="E54" s="2"/>
      <c r="F54" s="2"/>
      <c r="G54" s="274"/>
      <c r="H54" s="275"/>
      <c r="I54" t="s" s="276">
        <v>110</v>
      </c>
      <c r="J54" s="277"/>
      <c r="K54" s="277"/>
      <c r="L54" s="277"/>
      <c r="M54" s="277"/>
      <c r="N54" s="277"/>
      <c r="O54" s="277"/>
      <c r="P54" s="277"/>
      <c r="Q54" s="277"/>
      <c r="R54" s="277"/>
      <c r="S54" s="278"/>
      <c r="T54" s="279"/>
      <c r="U54" s="2"/>
      <c r="V54" s="2"/>
      <c r="W54" s="2"/>
      <c r="X54" s="2"/>
      <c r="Y54" s="2"/>
      <c r="Z54" s="2"/>
      <c r="AA54" s="2"/>
      <c r="AB54" s="2"/>
    </row>
    <row r="55" ht="13.5" customHeight="1">
      <c r="A55" s="2"/>
      <c r="B55" s="4"/>
      <c r="C55" s="4"/>
      <c r="D55" s="4"/>
      <c r="E55" s="4"/>
      <c r="F55" s="280"/>
      <c r="G55" s="281"/>
      <c r="H55" s="282"/>
      <c r="I55" s="283"/>
      <c r="J55" s="284"/>
      <c r="K55" s="284"/>
      <c r="L55" s="284"/>
      <c r="M55" s="284"/>
      <c r="N55" s="284"/>
      <c r="O55" s="284"/>
      <c r="P55" s="284"/>
      <c r="Q55" s="284"/>
      <c r="R55" s="284"/>
      <c r="S55" s="285"/>
      <c r="T55" s="286"/>
      <c r="U55" s="2"/>
      <c r="V55" s="2"/>
      <c r="W55" s="2"/>
      <c r="X55" s="2"/>
      <c r="Y55" s="128"/>
      <c r="Z55" s="2"/>
      <c r="AA55" s="2"/>
      <c r="AB55" s="2"/>
    </row>
    <row r="56" ht="39.75" customHeight="1">
      <c r="A56" s="20"/>
      <c r="B56" t="s" s="287">
        <v>111</v>
      </c>
      <c r="C56" s="288"/>
      <c r="D56" s="164"/>
      <c r="E56" t="s" s="182">
        <v>112</v>
      </c>
      <c r="F56" t="s" s="289">
        <v>113</v>
      </c>
      <c r="G56" s="290"/>
      <c r="H56" s="291"/>
      <c r="I56" t="s" s="292">
        <v>114</v>
      </c>
      <c r="J56" t="s" s="193">
        <v>115</v>
      </c>
      <c r="K56" t="s" s="193">
        <v>116</v>
      </c>
      <c r="L56" t="s" s="193">
        <v>117</v>
      </c>
      <c r="M56" t="s" s="193">
        <v>118</v>
      </c>
      <c r="N56" t="s" s="293">
        <v>119</v>
      </c>
      <c r="O56" t="s" s="193">
        <v>120</v>
      </c>
      <c r="P56" t="s" s="193">
        <v>121</v>
      </c>
      <c r="Q56" t="s" s="193">
        <v>122</v>
      </c>
      <c r="R56" t="s" s="294">
        <v>123</v>
      </c>
      <c r="S56" t="s" s="295">
        <v>124</v>
      </c>
      <c r="T56" s="24"/>
      <c r="U56" s="128"/>
      <c r="V56" s="128"/>
      <c r="W56" s="128"/>
      <c r="X56" s="128"/>
      <c r="Y56" s="128"/>
      <c r="Z56" s="2"/>
      <c r="AA56" s="2"/>
      <c r="AB56" s="2"/>
    </row>
    <row r="57" ht="26.25" customHeight="1">
      <c r="A57" s="20"/>
      <c r="B57" t="s" s="289">
        <v>76</v>
      </c>
      <c r="C57" t="s" s="296">
        <v>125</v>
      </c>
      <c r="D57" t="s" s="297">
        <v>95</v>
      </c>
      <c r="E57" t="s" s="289">
        <v>126</v>
      </c>
      <c r="F57" t="s" s="298">
        <v>127</v>
      </c>
      <c r="G57" t="s" s="298">
        <v>128</v>
      </c>
      <c r="H57" t="s" s="299">
        <v>129</v>
      </c>
      <c r="I57" s="300"/>
      <c r="J57" s="301"/>
      <c r="K57" s="301"/>
      <c r="L57" s="301"/>
      <c r="M57" s="301"/>
      <c r="N57" s="301"/>
      <c r="O57" s="301"/>
      <c r="P57" s="301"/>
      <c r="Q57" s="302"/>
      <c r="R57" s="302"/>
      <c r="S57" s="301"/>
      <c r="T57" s="24"/>
      <c r="U57" s="128"/>
      <c r="V57" s="128"/>
      <c r="W57" s="128"/>
      <c r="X57" s="128"/>
      <c r="Y57" s="128"/>
      <c r="Z57" s="2"/>
      <c r="AA57" s="2"/>
      <c r="AB57" s="2"/>
    </row>
    <row r="58" ht="18" customHeight="1">
      <c r="A58" s="20"/>
      <c r="B58" t="s" s="303">
        <v>130</v>
      </c>
      <c r="C58" s="304"/>
      <c r="D58" s="305"/>
      <c r="E58" t="s" s="303">
        <v>131</v>
      </c>
      <c r="F58" t="s" s="303">
        <v>131</v>
      </c>
      <c r="G58" s="306"/>
      <c r="H58" t="s" s="307">
        <v>131</v>
      </c>
      <c r="I58" t="s" s="308">
        <v>131</v>
      </c>
      <c r="J58" t="s" s="303">
        <v>131</v>
      </c>
      <c r="K58" t="s" s="303">
        <v>131</v>
      </c>
      <c r="L58" t="s" s="303">
        <v>131</v>
      </c>
      <c r="M58" t="s" s="303">
        <v>131</v>
      </c>
      <c r="N58" t="s" s="303">
        <v>131</v>
      </c>
      <c r="O58" t="s" s="303">
        <v>131</v>
      </c>
      <c r="P58" t="s" s="303">
        <v>131</v>
      </c>
      <c r="Q58" t="s" s="303">
        <v>131</v>
      </c>
      <c r="R58" t="s" s="303">
        <v>131</v>
      </c>
      <c r="S58" t="s" s="303">
        <v>131</v>
      </c>
      <c r="T58" s="24"/>
      <c r="U58" s="128"/>
      <c r="V58" s="128"/>
      <c r="W58" s="128"/>
      <c r="X58" s="128"/>
      <c r="Y58" s="128"/>
      <c r="Z58" s="2"/>
      <c r="AA58" s="2"/>
      <c r="AB58" s="2"/>
    </row>
    <row r="59" ht="12.75" customHeight="1">
      <c r="A59" s="20"/>
      <c r="B59" s="309">
        <v>5</v>
      </c>
      <c r="C59" s="310">
        <v>0</v>
      </c>
      <c r="D59" s="311">
        <v>5</v>
      </c>
      <c r="E59" s="312" cm="1">
        <f t="array" ref="E59">H88</f>
        <v>6e-06</v>
      </c>
      <c r="F59" s="310" cm="1">
        <f t="array" ref="F59">IF(EXACT(T(B$25),"Ordinaria"),IF(G59&lt;=50,E$30*0.5,IF(G59&lt;=200,E$30*1,E$30*1.5)),IF(EXACT(T(B$25),"Media"),IF(G59&lt;=500,E$30*0.5,IF(G59&lt;=2000,E$30*1,E$30*1.5)),IF(EXACT(T(B$25),"Alta"),IF(G59&lt;=5000,E$30*0.5,IF(G59&lt;=20000,E$30*1,E$30*1.5)),IF(E$30&lt;0.001,IF(G59&lt;=50000,0.001,IF(G59&lt;=200000,0.002,0.003)),IF(G59&lt;=50000,E$30*0.5,IF(G59&lt;=200000,E$30*1,E$30*1.5))))))</f>
        <v>0.005</v>
      </c>
      <c r="G59" s="313" cm="1">
        <f t="array" ref="G59">B59/E$30</f>
        <v>500</v>
      </c>
      <c r="H59" s="314" cm="1">
        <f t="array" ref="H59">J88</f>
        <v>5e-06</v>
      </c>
      <c r="I59" s="315" cm="1">
        <f t="array" ref="I59">I49/SQRT(5)</f>
        <v>0.00316227766016838</v>
      </c>
      <c r="J59" s="316" cm="1">
        <f t="array" ref="J59">H59</f>
        <v>5e-06</v>
      </c>
      <c r="K59" s="317" cm="1">
        <f t="array" ref="K59">((2*H59)/(SQRT(3)))</f>
        <v>5.77350269189626e-06</v>
      </c>
      <c r="L59" s="318" cm="1">
        <f t="array" ref="L59">(E29/(2*SQRT(3)))</f>
        <v>0.00288675134594813</v>
      </c>
      <c r="M59" s="318" cm="1">
        <f t="array" ref="M59">(E29/(2*SQRT(3)))</f>
        <v>0.00288675134594813</v>
      </c>
      <c r="N59" s="319" cm="1">
        <f t="array" ref="N59">Q103</f>
        <v>4.33012701892219e-06</v>
      </c>
      <c r="O59" s="317" cm="1">
        <f t="array" ref="O59">R81</f>
        <v>0</v>
      </c>
      <c r="P59" s="320" cm="1">
        <f t="array" ref="P59">$B$45*D59</f>
        <v>2.88675134594813e-05</v>
      </c>
      <c r="Q59" s="321" cm="1">
        <f t="array" ref="Q59">(D59)-(B59+E59)</f>
        <v>-6e-06</v>
      </c>
      <c r="R59" s="320" cm="1">
        <f t="array" ref="R59">SQRT(SUM(I59^2+H59^2+K59^2+L59^2+M59^2+N59^2+O59^2+P59^2))</f>
        <v>0.00516406594490556</v>
      </c>
      <c r="S59" s="322" cm="1">
        <f t="array" ref="S59">R59*2</f>
        <v>0.0103281318898111</v>
      </c>
      <c r="T59" s="24"/>
      <c r="U59" s="323"/>
      <c r="V59" s="324"/>
      <c r="W59" s="324"/>
      <c r="X59" s="325"/>
      <c r="Y59" s="134"/>
      <c r="Z59" s="326" cm="1">
        <f t="array" ref="Z59">0.08+0.001*AA59</f>
        <v>0.08</v>
      </c>
      <c r="AA59" s="327"/>
      <c r="AB59" s="2"/>
    </row>
    <row r="60" ht="12.75" customHeight="1">
      <c r="A60" s="20"/>
      <c r="B60" s="328">
        <v>10</v>
      </c>
      <c r="C60" s="329">
        <v>0</v>
      </c>
      <c r="D60" s="330">
        <v>10</v>
      </c>
      <c r="E60" s="331" cm="1">
        <f t="array" ref="E60">H89</f>
        <v>-3.9e-05</v>
      </c>
      <c r="F60" s="329" cm="1">
        <f t="array" ref="F60">IF(EXACT(T(B$25),"Ordinaria"),IF(G60&lt;=50,E$30*0.5,IF(G60&lt;=200,E$30*1,E$30*1.5)),IF(EXACT(T(B$25),"Media"),IF(G60&lt;=500,E$30*0.5,IF(G60&lt;=2000,E$30*1,E$30*1.5)),IF(EXACT(T(B$25),"Alta"),IF(G60&lt;=5000,E$30*0.5,IF(G60&lt;=20000,E$30*1,E$30*1.5)),IF(E$30&lt;0.001,IF(G60&lt;=50000,0.001,IF(G60&lt;=200000,0.002,0.003)),IF(G60&lt;=50000,E$30*0.5,IF(G60&lt;=200000,E$30*1,E$30*1.5))))))</f>
        <v>0.005</v>
      </c>
      <c r="G60" s="63" cm="1">
        <f t="array" ref="G60">B60/E$30</f>
        <v>1000</v>
      </c>
      <c r="H60" s="332" cm="1">
        <f t="array" ref="H60">J89</f>
        <v>2.66666666666667e-05</v>
      </c>
      <c r="I60" s="333" cm="1">
        <f t="array" ref="I60">I49/SQRT(5)</f>
        <v>0.00316227766016838</v>
      </c>
      <c r="J60" s="334" cm="1">
        <f t="array" ref="J60">H60</f>
        <v>2.66666666666667e-05</v>
      </c>
      <c r="K60" s="335" cm="1">
        <f t="array" ref="K60">((2*H60)/(SQRT(3)))</f>
        <v>3.07920143567801e-05</v>
      </c>
      <c r="L60" s="336" cm="1">
        <f t="array" ref="L60">(E29/(2*SQRT(3)))</f>
        <v>0.00288675134594813</v>
      </c>
      <c r="M60" s="336" cm="1">
        <f t="array" ref="M60">(E29/(2*SQRT(3)))</f>
        <v>0.00288675134594813</v>
      </c>
      <c r="N60" s="337" cm="1">
        <f t="array" ref="N60">Q104</f>
        <v>2.3094010767585e-05</v>
      </c>
      <c r="O60" s="335" cm="1">
        <f t="array" ref="O60">R82</f>
        <v>0</v>
      </c>
      <c r="P60" s="338" cm="1">
        <f t="array" ref="P60">$B$45*D60</f>
        <v>5.77350269189626e-05</v>
      </c>
      <c r="Q60" s="339" cm="1">
        <f t="array" ref="Q60">(D60)-(B60+E60)</f>
        <v>3.9e-05</v>
      </c>
      <c r="R60" s="338" cm="1">
        <f t="array" ref="R60">SQRT(SUM(I60^2+H60^2+K60^2+L60^2+M60^2+N60^2+O60^2+P60^2))</f>
        <v>0.00516451281270485</v>
      </c>
      <c r="S60" s="340" cm="1">
        <f t="array" ref="S60">R60*2</f>
        <v>0.0103290256254097</v>
      </c>
      <c r="T60" s="24"/>
      <c r="U60" s="323"/>
      <c r="V60" s="324"/>
      <c r="W60" s="324"/>
      <c r="X60" s="325"/>
      <c r="Y60" s="134"/>
      <c r="Z60" s="326" cm="1">
        <f t="array" ref="Z60">0.08+0.001*AA60</f>
        <v>0.08</v>
      </c>
      <c r="AA60" s="327"/>
      <c r="AB60" s="2"/>
    </row>
    <row r="61" ht="12.75" customHeight="1">
      <c r="A61" s="20"/>
      <c r="B61" s="328">
        <v>15</v>
      </c>
      <c r="C61" s="329">
        <v>0</v>
      </c>
      <c r="D61" s="330">
        <v>15</v>
      </c>
      <c r="E61" s="331" cm="1">
        <f t="array" ref="E61">H90</f>
        <v>6.1e-05</v>
      </c>
      <c r="F61" s="329" cm="1">
        <f t="array" ref="F61">IF(EXACT(T(B$25),"Ordinaria"),IF(G61&lt;=50,E$30*0.5,IF(G61&lt;=200,E$30*1,E$30*1.5)),IF(EXACT(T(B$25),"Media"),IF(G61&lt;=500,E$30*0.5,IF(G61&lt;=2000,E$30*1,E$30*1.5)),IF(EXACT(T(B$25),"Alta"),IF(G61&lt;=5000,E$30*0.5,IF(G61&lt;=20000,E$30*1,E$30*1.5)),IF(E$30&lt;0.001,IF(G61&lt;=50000,0.001,IF(G61&lt;=200000,0.002,0.003)),IF(G61&lt;=50000,E$30*0.5,IF(G61&lt;=200000,E$30*1,E$30*1.5))))))</f>
        <v>0.005</v>
      </c>
      <c r="G61" s="63" cm="1">
        <f t="array" ref="G61">B61/E$30</f>
        <v>1500</v>
      </c>
      <c r="H61" s="332" cm="1">
        <f t="array" ref="H61">J90</f>
        <v>7.66666666666667e-05</v>
      </c>
      <c r="I61" s="333" cm="1">
        <f t="array" ref="I61">I49/SQRT(5)</f>
        <v>0.00316227766016838</v>
      </c>
      <c r="J61" s="334" cm="1">
        <f t="array" ref="J61">H61</f>
        <v>7.66666666666667e-05</v>
      </c>
      <c r="K61" s="335" cm="1">
        <f t="array" ref="K61">((2*H61)/(SQRT(3)))</f>
        <v>8.85270412757427e-05</v>
      </c>
      <c r="L61" s="336" cm="1">
        <f t="array" ref="L61">(E29/(2*SQRT(3)))</f>
        <v>0.00288675134594813</v>
      </c>
      <c r="M61" s="336" cm="1">
        <f t="array" ref="M61">(E29/(2*SQRT(3)))</f>
        <v>0.00288675134594813</v>
      </c>
      <c r="N61" s="337" cm="1">
        <f t="array" ref="N61">Q105</f>
        <v>6.6395280956807e-05</v>
      </c>
      <c r="O61" s="335" cm="1">
        <f t="array" ref="O61">R83</f>
        <v>0</v>
      </c>
      <c r="P61" s="338" cm="1">
        <f t="array" ref="P61">$B$45*D61</f>
        <v>8.66025403784439e-05</v>
      </c>
      <c r="Q61" s="339" cm="1">
        <f t="array" ref="Q61">(D61)-(B61+E61)</f>
        <v>-6.1e-05</v>
      </c>
      <c r="R61" s="338" cm="1">
        <f t="array" ref="R61">SQRT(SUM(I61^2+H61^2+K61^2+L61^2+M61^2+N61^2+O61^2+P61^2))</f>
        <v>0.0051664581499142</v>
      </c>
      <c r="S61" s="340" cm="1">
        <f t="array" ref="S61">R61*2</f>
        <v>0.0103329162998284</v>
      </c>
      <c r="T61" s="24"/>
      <c r="U61" s="323"/>
      <c r="V61" s="324"/>
      <c r="W61" s="324"/>
      <c r="X61" s="325"/>
      <c r="Y61" s="134"/>
      <c r="Z61" s="326" cm="1">
        <f t="array" ref="Z61">0.08+0.001*AA61</f>
        <v>0.08</v>
      </c>
      <c r="AA61" s="327"/>
      <c r="AB61" s="2"/>
    </row>
    <row r="62" ht="12.75" customHeight="1">
      <c r="A62" s="20"/>
      <c r="B62" s="328">
        <v>100</v>
      </c>
      <c r="C62" s="329">
        <v>0</v>
      </c>
      <c r="D62" s="330">
        <v>99.98999999999999</v>
      </c>
      <c r="E62" s="331" cm="1">
        <f t="array" ref="E62">H91</f>
        <v>8.000000000000001e-05</v>
      </c>
      <c r="F62" s="329" cm="1">
        <f t="array" ref="F62">IF(EXACT(T(B$25),"Ordinaria"),IF(G62&lt;=50,E$30*0.5,IF(G62&lt;=200,E$30*1,E$30*1.5)),IF(EXACT(T(B$25),"Media"),IF(G62&lt;=500,E$30*0.5,IF(G62&lt;=2000,E$30*1,E$30*1.5)),IF(EXACT(T(B$25),"Alta"),IF(G62&lt;=5000,E$30*0.5,IF(G62&lt;=20000,E$30*1,E$30*1.5)),IF(E$30&lt;0.001,IF(G62&lt;=50000,0.001,IF(G62&lt;=200000,0.002,0.003)),IF(G62&lt;=50000,E$30*0.5,IF(G62&lt;=200000,E$30*1,E$30*1.5))))))</f>
        <v>0.005</v>
      </c>
      <c r="G62" s="63" cm="1">
        <f t="array" ref="G62">B62/E$30</f>
        <v>10000</v>
      </c>
      <c r="H62" s="332" cm="1">
        <f t="array" ref="H62">J91</f>
        <v>0.000103333333333333</v>
      </c>
      <c r="I62" s="333" cm="1">
        <f t="array" ref="I62">I49/SQRT(5)</f>
        <v>0.00316227766016838</v>
      </c>
      <c r="J62" s="334" cm="1">
        <f t="array" ref="J62">H62</f>
        <v>0.000103333333333333</v>
      </c>
      <c r="K62" s="335" cm="1">
        <f t="array" ref="K62">((2*H62)/(SQRT(3)))</f>
        <v>0.000119319055632522</v>
      </c>
      <c r="L62" s="336" cm="1">
        <f t="array" ref="L62">(E29/(2*SQRT(3)))</f>
        <v>0.00288675134594813</v>
      </c>
      <c r="M62" s="336" cm="1">
        <f t="array" ref="M62">(E29/(2*SQRT(3)))</f>
        <v>0.00288675134594813</v>
      </c>
      <c r="N62" s="337" cm="1">
        <f t="array" ref="N62">Q106</f>
        <v>8.948929172439199e-05</v>
      </c>
      <c r="O62" s="335" cm="1">
        <f t="array" ref="O62">R84</f>
        <v>0</v>
      </c>
      <c r="P62" s="338" cm="1">
        <f t="array" ref="P62">$B$45*D62</f>
        <v>0.000577292534162707</v>
      </c>
      <c r="Q62" s="339" cm="1">
        <f t="array" ref="Q62">(D62)-(B62+E62)</f>
        <v>-0.01008</v>
      </c>
      <c r="R62" s="338" cm="1">
        <f t="array" ref="R62">SQRT(SUM(I62^2+H62^2+K62^2+L62^2+M62^2+N62^2+O62^2+P62^2))</f>
        <v>0.00519931307816858</v>
      </c>
      <c r="S62" s="340" cm="1">
        <f t="array" ref="S62">R62*2</f>
        <v>0.0103986261563372</v>
      </c>
      <c r="T62" s="24"/>
      <c r="U62" s="323"/>
      <c r="V62" s="324"/>
      <c r="W62" s="324"/>
      <c r="X62" s="325"/>
      <c r="Y62" s="134"/>
      <c r="Z62" s="326" cm="1">
        <f t="array" ref="Z62">0.08+0.001*AA62</f>
        <v>0.08</v>
      </c>
      <c r="AA62" s="327"/>
      <c r="AB62" s="2"/>
    </row>
    <row r="63" ht="12.75" customHeight="1">
      <c r="A63" s="20"/>
      <c r="B63" s="328">
        <v>150</v>
      </c>
      <c r="C63" s="329">
        <v>0</v>
      </c>
      <c r="D63" s="330">
        <v>149.99</v>
      </c>
      <c r="E63" s="331" cm="1">
        <f t="array" ref="E63">H92</f>
        <v>-4e-05</v>
      </c>
      <c r="F63" s="329" cm="1">
        <f t="array" ref="F63">IF(EXACT(T(B$25),"Ordinaria"),IF(G63&lt;=50,E$30*0.5,IF(G63&lt;=200,E$30*1,E$30*1.5)),IF(EXACT(T(B$25),"Media"),IF(G63&lt;=500,E$30*0.5,IF(G63&lt;=2000,E$30*1,E$30*1.5)),IF(EXACT(T(B$25),"Alta"),IF(G63&lt;=5000,E$30*0.5,IF(G63&lt;=20000,E$30*1,E$30*1.5)),IF(E$30&lt;0.001,IF(G63&lt;=50000,0.001,IF(G63&lt;=200000,0.002,0.003)),IF(G63&lt;=50000,E$30*0.5,IF(G63&lt;=200000,E$30*1,E$30*1.5))))))</f>
        <v>0.005</v>
      </c>
      <c r="G63" s="63" cm="1">
        <f t="array" ref="G63">B63/E$30</f>
        <v>15000</v>
      </c>
      <c r="H63" s="332" cm="1">
        <f t="array" ref="H63">J92</f>
        <v>0.000133333333333333</v>
      </c>
      <c r="I63" s="333" cm="1">
        <f t="array" ref="I63">I49/SQRT(5)</f>
        <v>0.00316227766016838</v>
      </c>
      <c r="J63" s="334" cm="1">
        <f t="array" ref="J63">H63</f>
        <v>0.000133333333333333</v>
      </c>
      <c r="K63" s="335" cm="1">
        <f t="array" ref="K63">((2*H63)/(SQRT(3)))</f>
        <v>0.0001539600717839</v>
      </c>
      <c r="L63" s="336" cm="1">
        <f t="array" ref="L63">(E29/(2*SQRT(3)))</f>
        <v>0.00288675134594813</v>
      </c>
      <c r="M63" s="336" cm="1">
        <f t="array" ref="M63">(E29/(2*SQRT(3)))</f>
        <v>0.00288675134594813</v>
      </c>
      <c r="N63" s="337" cm="1">
        <f t="array" ref="N63">Q107</f>
        <v>0.000115470053837925</v>
      </c>
      <c r="O63" s="335" cm="1">
        <f t="array" ref="O63">R85</f>
        <v>0</v>
      </c>
      <c r="P63" s="338" cm="1">
        <f t="array" ref="P63">$B$45*D63</f>
        <v>0.00086596766875752</v>
      </c>
      <c r="Q63" s="339" cm="1">
        <f t="array" ref="Q63">(D63)-(B63+E63)</f>
        <v>-0.00996</v>
      </c>
      <c r="R63" s="338" cm="1">
        <f t="array" ref="R63">SQRT(SUM(I63^2+H63^2+K63^2+L63^2+M63^2+N63^2+O63^2+P63^2))</f>
        <v>0.00524131486220918</v>
      </c>
      <c r="S63" s="340" cm="1">
        <f t="array" ref="S63">R63*2</f>
        <v>0.0104826297244184</v>
      </c>
      <c r="T63" s="24"/>
      <c r="U63" s="323"/>
      <c r="V63" s="324"/>
      <c r="W63" s="324"/>
      <c r="X63" s="325"/>
      <c r="Y63" s="134"/>
      <c r="Z63" s="326" cm="1">
        <f t="array" ref="Z63">0.08+0.001*AA63</f>
        <v>0.08</v>
      </c>
      <c r="AA63" s="327"/>
      <c r="AB63" s="2"/>
    </row>
    <row r="64" ht="12.75" customHeight="1">
      <c r="A64" s="20"/>
      <c r="B64" s="328">
        <v>500</v>
      </c>
      <c r="C64" s="329">
        <v>0</v>
      </c>
      <c r="D64" s="330">
        <v>500.01</v>
      </c>
      <c r="E64" s="331" cm="1">
        <f t="array" ref="E64">H93</f>
        <v>-7.9e-05</v>
      </c>
      <c r="F64" s="329" cm="1">
        <f t="array" ref="F64">IF(EXACT(T(B$25),"Ordinaria"),IF(G64&lt;=50,E$30*0.5,IF(G64&lt;=200,E$30*1,E$30*1.5)),IF(EXACT(T(B$25),"Media"),IF(G64&lt;=500,E$30*0.5,IF(G64&lt;=2000,E$30*1,E$30*1.5)),IF(EXACT(T(B$25),"Alta"),IF(G64&lt;=5000,E$30*0.5,IF(G64&lt;=20000,E$30*1,E$30*1.5)),IF(E$30&lt;0.001,IF(G64&lt;=50000,0.001,IF(G64&lt;=200000,0.002,0.003)),IF(G64&lt;=50000,E$30*0.5,IF(G64&lt;=200000,E$30*1,E$30*1.5))))))</f>
        <v>0.005</v>
      </c>
      <c r="G64" s="341" cm="1">
        <f t="array" ref="G64">B64/E$30</f>
        <v>50000</v>
      </c>
      <c r="H64" s="332" cm="1">
        <f t="array" ref="H64">J93</f>
        <v>0.00016</v>
      </c>
      <c r="I64" s="333" cm="1">
        <f t="array" ref="I64">I49/SQRT(5)</f>
        <v>0.00316227766016838</v>
      </c>
      <c r="J64" s="334" cm="1">
        <f t="array" ref="J64">H64</f>
        <v>0.00016</v>
      </c>
      <c r="K64" s="335" cm="1">
        <f t="array" ref="K64">((2*H64)/(SQRT(3)))</f>
        <v>0.00018475208614068</v>
      </c>
      <c r="L64" s="336" cm="1">
        <f t="array" ref="L64">(E29/(2*SQRT(3)))</f>
        <v>0.00288675134594813</v>
      </c>
      <c r="M64" s="336" cm="1">
        <f t="array" ref="M64">(E29/(2*SQRT(3)))</f>
        <v>0.00288675134594813</v>
      </c>
      <c r="N64" s="337" cm="1">
        <f t="array" ref="N64">Q108</f>
        <v>0.00013856406460551</v>
      </c>
      <c r="O64" s="335" cm="1">
        <f t="array" ref="O64">R86</f>
        <v>0</v>
      </c>
      <c r="P64" s="338" cm="1">
        <f t="array" ref="P64">$B$45*D64</f>
        <v>0.00288680908097505</v>
      </c>
      <c r="Q64" s="339" cm="1">
        <f t="array" ref="Q64">(D64)-(B64+E64)</f>
        <v>0.010079</v>
      </c>
      <c r="R64" s="338" cm="1">
        <f t="array" ref="R64">SQRT(SUM(I64^2+H64^2+K64^2+L64^2+M64^2+N64^2+O64^2+P64^2))</f>
        <v>0.0059227752506743</v>
      </c>
      <c r="S64" s="340" cm="1">
        <f t="array" ref="S64">R64*2</f>
        <v>0.0118455505013486</v>
      </c>
      <c r="T64" s="24"/>
      <c r="U64" s="323"/>
      <c r="V64" s="324"/>
      <c r="W64" s="324"/>
      <c r="X64" s="325"/>
      <c r="Y64" s="134"/>
      <c r="Z64" s="326" cm="1">
        <f t="array" ref="Z64">0.08+0.001*AA64</f>
        <v>0.08</v>
      </c>
      <c r="AA64" s="327"/>
      <c r="AB64" s="2"/>
    </row>
    <row r="65" ht="12.75" customHeight="1">
      <c r="A65" s="20"/>
      <c r="B65" s="328">
        <v>800</v>
      </c>
      <c r="C65" s="329">
        <v>0</v>
      </c>
      <c r="D65" s="330">
        <v>800.03</v>
      </c>
      <c r="E65" s="331" cm="1">
        <f t="array" ref="E65">H94</f>
        <v>-0.000118</v>
      </c>
      <c r="F65" s="329" cm="1">
        <f t="array" ref="F65">IF(EXACT(T(B$25),"Ordinaria"),IF(G65&lt;=50,E$30*0.5,IF(G65&lt;=200,E$30*1,E$30*1.5)),IF(EXACT(T(B$25),"Media"),IF(G65&lt;=500,E$30*0.5,IF(G65&lt;=2000,E$30*1,E$30*1.5)),IF(EXACT(T(B$25),"Alta"),IF(G65&lt;=5000,E$30*0.5,IF(G65&lt;=20000,E$30*1,E$30*1.5)),IF(E$30&lt;0.001,IF(G65&lt;=50000,0.001,IF(G65&lt;=200000,0.002,0.003)),IF(G65&lt;=50000,E$30*0.5,IF(G65&lt;=200000,E$30*1,E$30*1.5))))))</f>
        <v>0.01</v>
      </c>
      <c r="G65" s="341" cm="1">
        <f t="array" ref="G65">B65/E$30</f>
        <v>80000</v>
      </c>
      <c r="H65" s="332" cm="1">
        <f t="array" ref="H65">J94</f>
        <v>0.000183333333333333</v>
      </c>
      <c r="I65" s="333" cm="1">
        <f t="array" ref="I65">I49/SQRT(5)</f>
        <v>0.00316227766016838</v>
      </c>
      <c r="J65" s="334" cm="1">
        <f t="array" ref="J65">H65</f>
        <v>0.000183333333333333</v>
      </c>
      <c r="K65" s="335" cm="1">
        <f t="array" ref="K65">((2*H65)/(SQRT(3)))</f>
        <v>0.000211695098702862</v>
      </c>
      <c r="L65" s="336" cm="1">
        <f t="array" ref="L65">(E29/(2*SQRT(3)))</f>
        <v>0.00288675134594813</v>
      </c>
      <c r="M65" s="336" cm="1">
        <f t="array" ref="M65">(E29/(2*SQRT(3)))</f>
        <v>0.00288675134594813</v>
      </c>
      <c r="N65" s="337" cm="1">
        <f t="array" ref="N65">Q109</f>
        <v>0.000158771324027147</v>
      </c>
      <c r="O65" s="335" cm="1">
        <f t="array" ref="O65">R87</f>
        <v>0</v>
      </c>
      <c r="P65" s="338" cm="1">
        <f t="array" ref="P65">$B$45*D65</f>
        <v>0.00461897535859776</v>
      </c>
      <c r="Q65" s="339" cm="1">
        <f t="array" ref="Q65">(D65)-(B65+E65)</f>
        <v>0.030118</v>
      </c>
      <c r="R65" s="338" cm="1">
        <f t="array" ref="R65">SQRT(SUM(I65^2+H65^2+K65^2+L65^2+M65^2+N65^2+O65^2+P65^2))</f>
        <v>0.00693579370290519</v>
      </c>
      <c r="S65" s="340" cm="1">
        <f t="array" ref="S65">R65*2</f>
        <v>0.0138715874058104</v>
      </c>
      <c r="T65" s="24"/>
      <c r="U65" s="323"/>
      <c r="V65" s="324"/>
      <c r="W65" s="324"/>
      <c r="X65" s="325"/>
      <c r="Y65" s="134"/>
      <c r="Z65" s="326" cm="1">
        <f t="array" ref="Z65">0.08+0.001*AA65</f>
        <v>0.08</v>
      </c>
      <c r="AA65" s="327"/>
      <c r="AB65" s="2"/>
    </row>
    <row r="66" ht="12.75" customHeight="1">
      <c r="A66" s="20"/>
      <c r="B66" s="328">
        <v>900</v>
      </c>
      <c r="C66" s="329">
        <v>0</v>
      </c>
      <c r="D66" s="330">
        <v>900.02</v>
      </c>
      <c r="E66" s="331" cm="1">
        <f t="array" ref="E66">H95</f>
        <v>4e-05</v>
      </c>
      <c r="F66" s="329" cm="1">
        <f t="array" ref="F66">IF(EXACT(T(B$25),"Ordinaria"),IF(G66&lt;=50,E$30*0.5,IF(G66&lt;=200,E$30*1,E$30*1.5)),IF(EXACT(T(B$25),"Media"),IF(G66&lt;=500,E$30*0.5,IF(G66&lt;=2000,E$30*1,E$30*1.5)),IF(EXACT(T(B$25),"Alta"),IF(G66&lt;=5000,E$30*0.5,IF(G66&lt;=20000,E$30*1,E$30*1.5)),IF(E$30&lt;0.001,IF(G66&lt;=50000,0.001,IF(G66&lt;=200000,0.002,0.003)),IF(G66&lt;=50000,E$30*0.5,IF(G66&lt;=200000,E$30*1,E$30*1.5))))))</f>
        <v>0.01</v>
      </c>
      <c r="G66" s="341" cm="1">
        <f t="array" ref="G66">B66/E$30</f>
        <v>90000</v>
      </c>
      <c r="H66" s="332" cm="1">
        <f t="array" ref="H66">J95</f>
        <v>0.000233333333333333</v>
      </c>
      <c r="I66" s="333" cm="1">
        <f t="array" ref="I66">I49/SQRT(5)</f>
        <v>0.00316227766016838</v>
      </c>
      <c r="J66" s="334" cm="1">
        <f t="array" ref="J66">H66</f>
        <v>0.000233333333333333</v>
      </c>
      <c r="K66" s="335" cm="1">
        <f t="array" ref="K66">((2*H66)/(SQRT(3)))</f>
        <v>0.000269430125621825</v>
      </c>
      <c r="L66" s="336" cm="1">
        <f t="array" ref="L66">(E29/(2*SQRT(3)))</f>
        <v>0.00288675134594813</v>
      </c>
      <c r="M66" s="336" cm="1">
        <f t="array" ref="M66">(E29/(2*SQRT(3)))</f>
        <v>0.00288675134594813</v>
      </c>
      <c r="N66" s="337" cm="1">
        <f t="array" ref="N66">Q110</f>
        <v>0.000202072594216369</v>
      </c>
      <c r="O66" s="335" cm="1">
        <f t="array" ref="O66">R88</f>
        <v>0</v>
      </c>
      <c r="P66" s="338" cm="1">
        <f t="array" ref="P66">$B$45*D66</f>
        <v>0.00519626789276047</v>
      </c>
      <c r="Q66" s="339" cm="1">
        <f t="array" ref="Q66">(D66)-(B66+E66)</f>
        <v>0.01996</v>
      </c>
      <c r="R66" s="338" cm="1">
        <f t="array" ref="R66">SQRT(SUM(I66^2+H66^2+K66^2+L66^2+M66^2+N66^2+O66^2+P66^2))</f>
        <v>0.00733728403773293</v>
      </c>
      <c r="S66" s="340" cm="1">
        <f t="array" ref="S66">R66*2</f>
        <v>0.0146745680754659</v>
      </c>
      <c r="T66" s="24"/>
      <c r="U66" s="323"/>
      <c r="V66" s="324"/>
      <c r="W66" s="324"/>
      <c r="X66" s="325"/>
      <c r="Y66" s="134"/>
      <c r="Z66" s="326" cm="1">
        <f t="array" ref="Z66">0.08+0.001*AA66</f>
        <v>0.08</v>
      </c>
      <c r="AA66" s="327"/>
      <c r="AB66" s="2"/>
    </row>
    <row r="67" ht="12.75" customHeight="1">
      <c r="A67" s="20"/>
      <c r="B67" s="328">
        <v>1000</v>
      </c>
      <c r="C67" s="329">
        <v>0</v>
      </c>
      <c r="D67" s="330">
        <v>1000.03</v>
      </c>
      <c r="E67" s="331" cm="1">
        <f t="array" ref="E67">H96</f>
        <v>0.000941</v>
      </c>
      <c r="F67" s="329" cm="1">
        <f t="array" ref="F67">IF(EXACT(T(B$25),"Ordinaria"),IF(G67&lt;=50,E$30*0.5,IF(G67&lt;=200,E$30*1,E$30*1.5)),IF(EXACT(T(B$25),"Media"),IF(G67&lt;=500,E$30*0.5,IF(G67&lt;=2000,E$30*1,E$30*1.5)),IF(EXACT(T(B$25),"Alta"),IF(G67&lt;=5000,E$30*0.5,IF(G67&lt;=20000,E$30*1,E$30*1.5)),IF(E$30&lt;0.001,IF(G67&lt;=50000,0.001,IF(G67&lt;=200000,0.002,0.003)),IF(G67&lt;=50000,E$30*0.5,IF(G67&lt;=200000,E$30*1,E$30*1.5))))))</f>
        <v>0.01</v>
      </c>
      <c r="G67" s="341" cm="1">
        <f t="array" ref="G67">B67/E$30</f>
        <v>100000</v>
      </c>
      <c r="H67" s="332" cm="1">
        <f t="array" ref="H67">J96</f>
        <v>0.000293333333333333</v>
      </c>
      <c r="I67" s="333" cm="1">
        <f t="array" ref="I67">I49/SQRT(5)</f>
        <v>0.00316227766016838</v>
      </c>
      <c r="J67" s="334" cm="1">
        <f t="array" ref="J67">H67</f>
        <v>0.000293333333333333</v>
      </c>
      <c r="K67" s="335" cm="1">
        <f t="array" ref="K67">((2*H67)/(SQRT(3)))</f>
        <v>0.00033871215792458</v>
      </c>
      <c r="L67" s="336" cm="1">
        <f t="array" ref="L67">(E29/(2*SQRT(3)))</f>
        <v>0.00288675134594813</v>
      </c>
      <c r="M67" s="336" cm="1">
        <f t="array" ref="M67">(E29/(2*SQRT(3)))</f>
        <v>0.00288675134594813</v>
      </c>
      <c r="N67" s="337" cm="1">
        <f t="array" ref="N67">Q111</f>
        <v>0.000254034118443435</v>
      </c>
      <c r="O67" s="335" cm="1">
        <f t="array" ref="O67">R89</f>
        <v>0</v>
      </c>
      <c r="P67" s="338" cm="1">
        <f t="array" ref="P67">$B$45*D67</f>
        <v>0.00577367589697702</v>
      </c>
      <c r="Q67" s="339" cm="1">
        <f t="array" ref="Q67">(D67)-(B67+E67)</f>
        <v>0.029059</v>
      </c>
      <c r="R67" s="338" cm="1">
        <f t="array" ref="R67">SQRT(SUM(I67^2+H67^2+K67^2+L67^2+M67^2+N67^2+O67^2+P67^2))</f>
        <v>0.00776320189958395</v>
      </c>
      <c r="S67" s="340" cm="1">
        <f t="array" ref="S67">R67*2</f>
        <v>0.0155264037991679</v>
      </c>
      <c r="T67" s="24"/>
      <c r="U67" s="323"/>
      <c r="V67" s="324"/>
      <c r="W67" s="324"/>
      <c r="X67" s="325"/>
      <c r="Y67" s="134"/>
      <c r="Z67" s="326" cm="1">
        <f t="array" ref="Z67">0.08+0.001*AA67</f>
        <v>0.08</v>
      </c>
      <c r="AA67" s="327"/>
      <c r="AB67" s="2"/>
    </row>
    <row r="68" ht="12.75" customHeight="1">
      <c r="A68" s="20"/>
      <c r="B68" s="328">
        <v>1200</v>
      </c>
      <c r="C68" s="329">
        <v>0</v>
      </c>
      <c r="D68" s="330">
        <v>1200.04</v>
      </c>
      <c r="E68" s="331" cm="1">
        <f t="array" ref="E68">H97</f>
        <v>0.00108</v>
      </c>
      <c r="F68" s="329" cm="1">
        <f t="array" ref="F68">IF(EXACT(T(B$25),"Ordinaria"),IF(G68&lt;=50,E$30*0.5,IF(G68&lt;=200,E$30*1,E$30*1.5)),IF(EXACT(T(B$25),"Media"),IF(G68&lt;=500,E$30*0.5,IF(G68&lt;=2000,E$30*1,E$30*1.5)),IF(EXACT(T(B$25),"Alta"),IF(G68&lt;=5000,E$30*0.5,IF(G68&lt;=20000,E$30*1,E$30*1.5)),IF(E$30&lt;0.001,IF(G68&lt;=50000,0.001,IF(G68&lt;=200000,0.002,0.003)),IF(G68&lt;=50000,E$30*0.5,IF(G68&lt;=200000,E$30*1,E$30*1.5))))))</f>
        <v>0.01</v>
      </c>
      <c r="G68" s="341" cm="1">
        <f t="array" ref="G68">B68/E$30</f>
        <v>120000</v>
      </c>
      <c r="H68" s="332" cm="1">
        <f t="array" ref="H68">J97</f>
        <v>0.000316666666666667</v>
      </c>
      <c r="I68" s="333" cm="1">
        <f t="array" ref="I68">I49/SQRT(5)</f>
        <v>0.00316227766016838</v>
      </c>
      <c r="J68" s="334" cm="1">
        <f t="array" ref="J68">H68</f>
        <v>0.000316666666666667</v>
      </c>
      <c r="K68" s="335" cm="1">
        <f t="array" ref="K68">((2*H68)/(SQRT(3)))</f>
        <v>0.000365655170486763</v>
      </c>
      <c r="L68" s="336" cm="1">
        <f t="array" ref="L68">(E29/(2*SQRT(3)))</f>
        <v>0.00288675134594813</v>
      </c>
      <c r="M68" s="336" cm="1">
        <f t="array" ref="M68">(E29/(2*SQRT(3)))</f>
        <v>0.00288675134594813</v>
      </c>
      <c r="N68" s="337" cm="1">
        <f t="array" ref="N68">Q112</f>
        <v>0.000274241377865072</v>
      </c>
      <c r="O68" s="335" cm="1">
        <f t="array" ref="O68">R90</f>
        <v>0</v>
      </c>
      <c r="P68" s="338" cm="1">
        <f t="array" ref="P68">$B$45*D68</f>
        <v>0.00692843417038319</v>
      </c>
      <c r="Q68" s="339" cm="1">
        <f t="array" ref="Q68">(D68)-(B68+E68)</f>
        <v>0.03892</v>
      </c>
      <c r="R68" s="338" cm="1">
        <f t="array" ref="R68">SQRT(SUM(I68^2+H68^2+K68^2+L68^2+M68^2+N68^2+O68^2+P68^2))</f>
        <v>0.008659044781892221</v>
      </c>
      <c r="S68" s="340" cm="1">
        <f t="array" ref="S68">R68*2</f>
        <v>0.0173180895637844</v>
      </c>
      <c r="T68" s="24"/>
      <c r="U68" s="342"/>
      <c r="V68" s="324"/>
      <c r="W68" s="324"/>
      <c r="X68" s="325"/>
      <c r="Y68" s="134"/>
      <c r="Z68" s="327" cm="1">
        <f t="array" ref="Z68">0.08+0.001*AA68</f>
        <v>0.08</v>
      </c>
      <c r="AA68" s="343"/>
      <c r="AB68" s="2"/>
    </row>
    <row r="69" ht="12.75" customHeight="1">
      <c r="A69" s="20"/>
      <c r="B69" s="344"/>
      <c r="C69" s="329">
        <v>0</v>
      </c>
      <c r="D69" s="330"/>
      <c r="E69" s="331" cm="1">
        <f t="array" ref="E69">H98</f>
        <v>0</v>
      </c>
      <c r="F69" s="329" cm="1">
        <f t="array" ref="F69">IF(EXACT(T(B$25),"Ordinaria"),IF(G69&lt;=50,E$30*0.5,IF(G69&lt;=200,E$30*1,E$30*1.5)),IF(EXACT(T(B$25),"Media"),IF(G69&lt;=500,E$30*0.5,IF(G69&lt;=2000,E$30*1,E$30*1.5)),IF(EXACT(T(B$25),"Alta"),IF(G69&lt;=5000,E$30*0.5,IF(G69&lt;=20000,E$30*1,E$30*1.5)),IF(E$30&lt;0.001,IF(G69&lt;=50000,0.001,IF(G69&lt;=200000,0.002,0.003)),IF(G69&lt;=50000,E$30*0.5,IF(G69&lt;=200000,E$30*1,E$30*1.5))))))</f>
        <v>0.005</v>
      </c>
      <c r="G69" s="341" cm="1">
        <f t="array" ref="G69">B69/E$30</f>
        <v>0</v>
      </c>
      <c r="H69" s="332" cm="1">
        <f t="array" ref="H69">J98</f>
        <v>0</v>
      </c>
      <c r="I69" s="333" cm="1">
        <f t="array" ref="I69">I49/SQRT(5)</f>
        <v>0.00316227766016838</v>
      </c>
      <c r="J69" s="334" cm="1">
        <f t="array" ref="J69">H69</f>
        <v>0</v>
      </c>
      <c r="K69" s="335" cm="1">
        <f t="array" ref="K69">((2*H69)/(SQRT(3)))</f>
        <v>0</v>
      </c>
      <c r="L69" s="336" cm="1">
        <f t="array" ref="L69">(E29/(2*SQRT(3)))</f>
        <v>0.00288675134594813</v>
      </c>
      <c r="M69" s="336" cm="1">
        <f t="array" ref="M69">(E29/(2*SQRT(3)))</f>
        <v>0.00288675134594813</v>
      </c>
      <c r="N69" s="337" cm="1">
        <f t="array" ref="N69">Q113</f>
        <v>0</v>
      </c>
      <c r="O69" s="335" cm="1">
        <f t="array" ref="O69">R91</f>
        <v>0</v>
      </c>
      <c r="P69" s="338" cm="1">
        <f t="array" ref="P69">$B$45*D69</f>
        <v>0</v>
      </c>
      <c r="Q69" s="339" cm="1">
        <f t="array" ref="Q69">(D69)-(B69+E69)</f>
        <v>0</v>
      </c>
      <c r="R69" s="338" cm="1">
        <f t="array" ref="R69">SQRT(SUM(I69^2+H69^2+K69^2+L69^2+M69^2+N69^2+O69^2+P69^2))</f>
        <v>0.00516397779494322</v>
      </c>
      <c r="S69" s="340" cm="1">
        <f t="array" ref="S69">R69*2</f>
        <v>0.0103279555898864</v>
      </c>
      <c r="T69" s="24"/>
      <c r="U69" s="2"/>
      <c r="V69" s="2"/>
      <c r="W69" s="2"/>
      <c r="X69" s="2"/>
      <c r="Y69" s="2"/>
      <c r="Z69" s="2"/>
      <c r="AA69" s="2"/>
      <c r="AB69" s="2"/>
    </row>
    <row r="70" ht="12.75" customHeight="1">
      <c r="A70" s="20"/>
      <c r="B70" s="344"/>
      <c r="C70" s="329">
        <v>0</v>
      </c>
      <c r="D70" s="330"/>
      <c r="E70" s="331" cm="1">
        <f t="array" ref="E70">H99</f>
        <v>0</v>
      </c>
      <c r="F70" s="329" cm="1">
        <f t="array" ref="F70">IF(EXACT(T(B$25),"Ordinaria"),IF(G70&lt;=50,E$30*0.5,IF(G70&lt;=200,E$30*1,E$30*1.5)),IF(EXACT(T(B$25),"Media"),IF(G70&lt;=500,E$30*0.5,IF(G70&lt;=2000,E$30*1,E$30*1.5)),IF(EXACT(T(B$25),"Alta"),IF(G70&lt;=5000,E$30*0.5,IF(G70&lt;=20000,E$30*1,E$30*1.5)),IF(E$30&lt;0.001,IF(G70&lt;=50000,0.001,IF(G70&lt;=200000,0.002,0.003)),IF(G70&lt;=50000,E$30*0.5,IF(G70&lt;=200000,E$30*1,E$30*1.5))))))</f>
        <v>0.005</v>
      </c>
      <c r="G70" s="341" cm="1">
        <f t="array" ref="G70">B70/E$30</f>
        <v>0</v>
      </c>
      <c r="H70" s="332" cm="1">
        <f t="array" ref="H70">J99</f>
        <v>0</v>
      </c>
      <c r="I70" s="333" cm="1">
        <f t="array" ref="I70">I49/SQRT(5)</f>
        <v>0.00316227766016838</v>
      </c>
      <c r="J70" s="334" cm="1">
        <f t="array" ref="J70">H70</f>
        <v>0</v>
      </c>
      <c r="K70" s="335" cm="1">
        <f t="array" ref="K70">((2*H70)/(SQRT(3)))</f>
        <v>0</v>
      </c>
      <c r="L70" s="336" cm="1">
        <f t="array" ref="L70">(E29/(2*SQRT(3)))</f>
        <v>0.00288675134594813</v>
      </c>
      <c r="M70" s="336" cm="1">
        <f t="array" ref="M70">(E29/(2*SQRT(3)))</f>
        <v>0.00288675134594813</v>
      </c>
      <c r="N70" s="337" cm="1">
        <f t="array" ref="N70">Q114</f>
        <v>0</v>
      </c>
      <c r="O70" s="335" cm="1">
        <f t="array" ref="O70">R92</f>
        <v>0</v>
      </c>
      <c r="P70" s="338" cm="1">
        <f t="array" ref="P70">$B$45*D70</f>
        <v>0</v>
      </c>
      <c r="Q70" s="339" cm="1">
        <f t="array" ref="Q70">(D70)-(B70+E70)</f>
        <v>0</v>
      </c>
      <c r="R70" s="338" cm="1">
        <f t="array" ref="R70">SQRT(SUM(I70^2+H70^2+K70^2+L70^2+M70^2+N70^2+O70^2+P70^2))</f>
        <v>0.00516397779494322</v>
      </c>
      <c r="S70" s="340" cm="1">
        <f t="array" ref="S70">R70*2</f>
        <v>0.0103279555898864</v>
      </c>
      <c r="T70" s="24"/>
      <c r="U70" s="2"/>
      <c r="V70" s="2"/>
      <c r="W70" s="2"/>
      <c r="X70" s="2"/>
      <c r="Y70" s="2"/>
      <c r="Z70" s="2"/>
      <c r="AA70" s="2"/>
      <c r="AB70" s="2"/>
    </row>
    <row r="71" ht="12.75" customHeight="1">
      <c r="A71" s="20"/>
      <c r="B71" s="344"/>
      <c r="C71" s="329">
        <v>0</v>
      </c>
      <c r="D71" s="330"/>
      <c r="E71" s="331" cm="1">
        <f t="array" ref="E71">H100</f>
        <v>0</v>
      </c>
      <c r="F71" s="329" cm="1">
        <f t="array" ref="F71">IF(EXACT(T(B$25),"Ordinaria"),IF(G71&lt;=50,E$30*0.5,IF(G71&lt;=200,E$30*1,E$30*1.5)),IF(EXACT(T(B$25),"Media"),IF(G71&lt;=500,E$30*0.5,IF(G71&lt;=2000,E$30*1,E$30*1.5)),IF(EXACT(T(B$25),"Alta"),IF(G71&lt;=5000,E$30*0.5,IF(G71&lt;=20000,E$30*1,E$30*1.5)),IF(E$30&lt;0.001,IF(G71&lt;=50000,0.001,IF(G71&lt;=200000,0.002,0.003)),IF(G71&lt;=50000,E$30*0.5,IF(G71&lt;=200000,E$30*1,E$30*1.5))))))</f>
        <v>0.005</v>
      </c>
      <c r="G71" s="341" cm="1">
        <f t="array" ref="G71">B71/E$30</f>
        <v>0</v>
      </c>
      <c r="H71" s="332" cm="1">
        <f t="array" ref="H71">J100</f>
        <v>0</v>
      </c>
      <c r="I71" s="333" cm="1">
        <f t="array" ref="I71">I49/SQRT(5)</f>
        <v>0.00316227766016838</v>
      </c>
      <c r="J71" s="334" cm="1">
        <f t="array" ref="J71">H71</f>
        <v>0</v>
      </c>
      <c r="K71" s="335" cm="1">
        <f t="array" ref="K71">((2*H71)/(SQRT(3)))</f>
        <v>0</v>
      </c>
      <c r="L71" s="336" cm="1">
        <f t="array" ref="L71">(E29/(2*SQRT(3)))</f>
        <v>0.00288675134594813</v>
      </c>
      <c r="M71" s="336" cm="1">
        <f t="array" ref="M71">(E29/(2*SQRT(3)))</f>
        <v>0.00288675134594813</v>
      </c>
      <c r="N71" s="337" cm="1">
        <f t="array" ref="N71">Q115</f>
        <v>0</v>
      </c>
      <c r="O71" s="335" cm="1">
        <f t="array" ref="O71">R93</f>
        <v>0</v>
      </c>
      <c r="P71" s="338" cm="1">
        <f t="array" ref="P71">$B$45*D71</f>
        <v>0</v>
      </c>
      <c r="Q71" s="339" cm="1">
        <f t="array" ref="Q71">(D71)-(B71+E71)</f>
        <v>0</v>
      </c>
      <c r="R71" s="338" cm="1">
        <f t="array" ref="R71">SQRT(SUM(I71^2+H71^2+K71^2+L71^2+M71^2+N71^2+O71^2+P71^2))</f>
        <v>0.00516397779494322</v>
      </c>
      <c r="S71" s="340" cm="1">
        <f t="array" ref="S71">R71*2</f>
        <v>0.0103279555898864</v>
      </c>
      <c r="T71" s="24"/>
      <c r="U71" s="2"/>
      <c r="V71" s="2"/>
      <c r="W71" s="2"/>
      <c r="X71" s="2"/>
      <c r="Y71" s="2"/>
      <c r="Z71" s="2"/>
      <c r="AA71" s="2"/>
      <c r="AB71" s="2"/>
    </row>
    <row r="72" ht="12.75" customHeight="1">
      <c r="A72" s="20"/>
      <c r="B72" s="344"/>
      <c r="C72" s="329">
        <v>0</v>
      </c>
      <c r="D72" s="330"/>
      <c r="E72" s="331" cm="1">
        <f t="array" ref="E72">H101</f>
        <v>0</v>
      </c>
      <c r="F72" s="329" cm="1">
        <f t="array" ref="F72">IF(EXACT(T(B$25),"Ordinaria"),IF(G72&lt;=50,E$30*0.5,IF(G72&lt;=200,E$30*1,E$30*1.5)),IF(EXACT(T(B$25),"Media"),IF(G72&lt;=500,E$30*0.5,IF(G72&lt;=2000,E$30*1,E$30*1.5)),IF(EXACT(T(B$25),"Alta"),IF(G72&lt;=5000,E$30*0.5,IF(G72&lt;=20000,E$30*1,E$30*1.5)),IF(E$30&lt;0.001,IF(G72&lt;=50000,0.001,IF(G72&lt;=200000,0.002,0.003)),IF(G72&lt;=50000,E$30*0.5,IF(G72&lt;=200000,E$30*1,E$30*1.5))))))</f>
        <v>0.005</v>
      </c>
      <c r="G72" s="341" cm="1">
        <f t="array" ref="G72">B72/E$30</f>
        <v>0</v>
      </c>
      <c r="H72" s="332" cm="1">
        <f t="array" ref="H72">J101</f>
        <v>0</v>
      </c>
      <c r="I72" s="333" cm="1">
        <f t="array" ref="I72">I49/SQRT(5)</f>
        <v>0.00316227766016838</v>
      </c>
      <c r="J72" s="334" cm="1">
        <f t="array" ref="J72">H72</f>
        <v>0</v>
      </c>
      <c r="K72" s="335" cm="1">
        <f t="array" ref="K72">((2*H72)/(SQRT(3)))</f>
        <v>0</v>
      </c>
      <c r="L72" s="336" cm="1">
        <f t="array" ref="L72">(E29/(2*SQRT(3)))</f>
        <v>0.00288675134594813</v>
      </c>
      <c r="M72" s="336" cm="1">
        <f t="array" ref="M72">(E29/(2*SQRT(3)))</f>
        <v>0.00288675134594813</v>
      </c>
      <c r="N72" s="337" cm="1">
        <f t="array" ref="N72">Q116</f>
        <v>0</v>
      </c>
      <c r="O72" s="335" cm="1">
        <f t="array" ref="O72">R94</f>
        <v>0</v>
      </c>
      <c r="P72" s="338" cm="1">
        <f t="array" ref="P72">$B$45*D72</f>
        <v>0</v>
      </c>
      <c r="Q72" s="339" cm="1">
        <f t="array" ref="Q72">(D72)-(B72+E72)</f>
        <v>0</v>
      </c>
      <c r="R72" s="338" cm="1">
        <f t="array" ref="R72">SQRT(SUM(I72^2+H72^2+K72^2+L72^2+M72^2+N72^2+O72^2+P72^2))</f>
        <v>0.00516397779494322</v>
      </c>
      <c r="S72" s="340" cm="1">
        <f t="array" ref="S72">R72*2</f>
        <v>0.0103279555898864</v>
      </c>
      <c r="T72" s="24"/>
      <c r="U72" s="2"/>
      <c r="V72" s="2"/>
      <c r="W72" s="2"/>
      <c r="X72" s="2"/>
      <c r="Y72" s="2"/>
      <c r="Z72" s="2"/>
      <c r="AA72" s="2"/>
      <c r="AB72" s="2"/>
    </row>
    <row r="73" ht="12.75" customHeight="1">
      <c r="A73" s="20"/>
      <c r="B73" s="344"/>
      <c r="C73" s="329">
        <v>0</v>
      </c>
      <c r="D73" s="330"/>
      <c r="E73" s="331" cm="1">
        <f t="array" ref="E73">H102</f>
        <v>0</v>
      </c>
      <c r="F73" s="329" cm="1">
        <f t="array" ref="F73">IF(EXACT(T(B$25),"Ordinaria"),IF(G73&lt;=50,E$30*0.5,IF(G73&lt;=200,E$30*1,E$30*1.5)),IF(EXACT(T(B$25),"Media"),IF(G73&lt;=500,E$30*0.5,IF(G73&lt;=2000,E$30*1,E$30*1.5)),IF(EXACT(T(B$25),"Alta"),IF(G73&lt;=5000,E$30*0.5,IF(G73&lt;=20000,E$30*1,E$30*1.5)),IF(E$30&lt;0.001,IF(G73&lt;=50000,0.001,IF(G73&lt;=200000,0.002,0.003)),IF(G73&lt;=50000,E$30*0.5,IF(G73&lt;=200000,E$30*1,E$30*1.5))))))</f>
        <v>0.005</v>
      </c>
      <c r="G73" s="341" cm="1">
        <f t="array" ref="G73">B73/E$30</f>
        <v>0</v>
      </c>
      <c r="H73" s="332" cm="1">
        <f t="array" ref="H73">J102</f>
        <v>0</v>
      </c>
      <c r="I73" s="333" cm="1">
        <f t="array" ref="I73">I49/SQRT(5)</f>
        <v>0.00316227766016838</v>
      </c>
      <c r="J73" s="334" cm="1">
        <f t="array" ref="J73">H73</f>
        <v>0</v>
      </c>
      <c r="K73" s="335" cm="1">
        <f t="array" ref="K73">((2*H73)/(SQRT(3)))</f>
        <v>0</v>
      </c>
      <c r="L73" s="336" cm="1">
        <f t="array" ref="L73">(E29/(2*SQRT(3)))</f>
        <v>0.00288675134594813</v>
      </c>
      <c r="M73" s="336" cm="1">
        <f t="array" ref="M73">(E29/(2*SQRT(3)))</f>
        <v>0.00288675134594813</v>
      </c>
      <c r="N73" s="337" cm="1">
        <f t="array" ref="N73">Q117</f>
        <v>0</v>
      </c>
      <c r="O73" s="335" cm="1">
        <f t="array" ref="O73">R95</f>
        <v>0</v>
      </c>
      <c r="P73" s="338" cm="1">
        <f t="array" ref="P73">$B$45*D73</f>
        <v>0</v>
      </c>
      <c r="Q73" s="339" cm="1">
        <f t="array" ref="Q73">(D73)-(B73+E73)</f>
        <v>0</v>
      </c>
      <c r="R73" s="338" cm="1">
        <f t="array" ref="R73">SQRT(SUM(I73^2+H73^2+K73^2+L73^2+M73^2+N73^2+O73^2+P73^2))</f>
        <v>0.00516397779494322</v>
      </c>
      <c r="S73" s="340" cm="1">
        <f t="array" ref="S73">R73*2</f>
        <v>0.0103279555898864</v>
      </c>
      <c r="T73" s="24"/>
      <c r="U73" s="2"/>
      <c r="V73" s="2"/>
      <c r="W73" s="2"/>
      <c r="X73" s="2"/>
      <c r="Y73" s="2"/>
      <c r="Z73" s="2"/>
      <c r="AA73" s="2"/>
      <c r="AB73" s="2"/>
    </row>
    <row r="74" ht="12.75" customHeight="1">
      <c r="A74" s="20"/>
      <c r="B74" s="344"/>
      <c r="C74" s="329">
        <v>0</v>
      </c>
      <c r="D74" s="330"/>
      <c r="E74" s="331" cm="1">
        <f t="array" ref="E74">H103</f>
        <v>0</v>
      </c>
      <c r="F74" s="329" cm="1">
        <f t="array" ref="F74">IF(EXACT(T(B$25),"Ordinaria"),IF(G74&lt;=50,E$30*0.5,IF(G74&lt;=200,E$30*1,E$30*1.5)),IF(EXACT(T(B$25),"Media"),IF(G74&lt;=500,E$30*0.5,IF(G74&lt;=2000,E$30*1,E$30*1.5)),IF(EXACT(T(B$25),"Alta"),IF(G74&lt;=5000,E$30*0.5,IF(G74&lt;=20000,E$30*1,E$30*1.5)),IF(E$30&lt;0.001,IF(G74&lt;=50000,0.001,IF(G74&lt;=200000,0.002,0.003)),IF(G74&lt;=50000,E$30*0.5,IF(G74&lt;=200000,E$30*1,E$30*1.5))))))</f>
        <v>0.005</v>
      </c>
      <c r="G74" s="341" cm="1">
        <f t="array" ref="G74">B74/E$30</f>
        <v>0</v>
      </c>
      <c r="H74" s="332" cm="1">
        <f t="array" ref="H74">J103</f>
        <v>0</v>
      </c>
      <c r="I74" s="333" cm="1">
        <f t="array" ref="I74">I49/SQRT(5)</f>
        <v>0.00316227766016838</v>
      </c>
      <c r="J74" s="334" cm="1">
        <f t="array" ref="J74">H74</f>
        <v>0</v>
      </c>
      <c r="K74" s="335" cm="1">
        <f t="array" ref="K74">((2*H74)/(SQRT(3)))</f>
        <v>0</v>
      </c>
      <c r="L74" s="336" cm="1">
        <f t="array" ref="L74">(E29/(2*SQRT(3)))</f>
        <v>0.00288675134594813</v>
      </c>
      <c r="M74" s="336" cm="1">
        <f t="array" ref="M74">(E29/(2*SQRT(3)))</f>
        <v>0.00288675134594813</v>
      </c>
      <c r="N74" s="337" cm="1">
        <f t="array" ref="N74">Q118</f>
        <v>0</v>
      </c>
      <c r="O74" s="335" cm="1">
        <f t="array" ref="O74">R96</f>
        <v>0</v>
      </c>
      <c r="P74" s="338" cm="1">
        <f t="array" ref="P74">$B$45*D74</f>
        <v>0</v>
      </c>
      <c r="Q74" s="339" cm="1">
        <f t="array" ref="Q74">(D74)-(B74+E74)</f>
        <v>0</v>
      </c>
      <c r="R74" s="338" cm="1">
        <f t="array" ref="R74">SQRT(SUM(I74^2+H74^2+K74^2+L74^2+M74^2+N74^2+O74^2+P74^2))</f>
        <v>0.00516397779494322</v>
      </c>
      <c r="S74" s="340" cm="1">
        <f t="array" ref="S74">R74*2</f>
        <v>0.0103279555898864</v>
      </c>
      <c r="T74" s="24"/>
      <c r="U74" s="2"/>
      <c r="V74" s="2"/>
      <c r="W74" s="2"/>
      <c r="X74" s="2"/>
      <c r="Y74" s="2"/>
      <c r="Z74" s="2"/>
      <c r="AA74" s="2"/>
      <c r="AB74" s="2"/>
    </row>
    <row r="75" ht="13.5" customHeight="1">
      <c r="A75" s="20"/>
      <c r="B75" s="345"/>
      <c r="C75" s="346">
        <v>0</v>
      </c>
      <c r="D75" s="347"/>
      <c r="E75" s="348" cm="1">
        <f t="array" ref="E75">H104</f>
        <v>0</v>
      </c>
      <c r="F75" s="346" cm="1">
        <f t="array" ref="F75">IF(EXACT(T(B$25),"Ordinaria"),IF(G75&lt;=50,E$30*0.5,IF(G75&lt;=200,E$30*1,E$30*1.5)),IF(EXACT(T(B$25),"Media"),IF(G75&lt;=500,E$30*0.5,IF(G75&lt;=2000,E$30*1,E$30*1.5)),IF(EXACT(T(B$25),"Alta"),IF(G75&lt;=5000,E$30*0.5,IF(G75&lt;=20000,E$30*1,E$30*1.5)),IF(E$30&lt;0.001,IF(G75&lt;=50000,0.001,IF(G75&lt;=200000,0.002,0.003)),IF(G75&lt;=50000,E$30*0.5,IF(G75&lt;=200000,E$30*1,E$30*1.5))))))</f>
        <v>0.005</v>
      </c>
      <c r="G75" s="349" cm="1">
        <f t="array" ref="G75">B75/E$30</f>
        <v>0</v>
      </c>
      <c r="H75" s="332" cm="1">
        <f t="array" ref="H75">J104</f>
        <v>0</v>
      </c>
      <c r="I75" s="350" cm="1">
        <f t="array" ref="I75">I49/SQRT(5)</f>
        <v>0.00316227766016838</v>
      </c>
      <c r="J75" s="351" cm="1">
        <f t="array" ref="J75">H75</f>
        <v>0</v>
      </c>
      <c r="K75" s="352" cm="1">
        <f t="array" ref="K75">((2*H75)/(SQRT(3)))</f>
        <v>0</v>
      </c>
      <c r="L75" s="353" cm="1">
        <f t="array" ref="L75">(E29/(2*SQRT(3)))</f>
        <v>0.00288675134594813</v>
      </c>
      <c r="M75" s="353" cm="1">
        <f t="array" ref="M75">(E29/(2*SQRT(3)))</f>
        <v>0.00288675134594813</v>
      </c>
      <c r="N75" s="354" cm="1">
        <f t="array" ref="N75">Q119</f>
        <v>0</v>
      </c>
      <c r="O75" s="352" cm="1">
        <f t="array" ref="O75">R97</f>
        <v>0</v>
      </c>
      <c r="P75" s="355" cm="1">
        <f t="array" ref="P75">$B$45*D75</f>
        <v>0</v>
      </c>
      <c r="Q75" s="356" cm="1">
        <f t="array" ref="Q75">(D75)-(B75+E75)</f>
        <v>0</v>
      </c>
      <c r="R75" s="355" cm="1">
        <f t="array" ref="R75">SQRT(SUM(I75^2+H75^2+K75^2+L75^2+M75^2+N75^2+O75^2+P75^2))</f>
        <v>0.00516397779494322</v>
      </c>
      <c r="S75" s="357" cm="1">
        <f t="array" ref="S75">R75*2</f>
        <v>0.0103279555898864</v>
      </c>
      <c r="T75" s="24"/>
      <c r="U75" s="2"/>
      <c r="V75" s="2"/>
      <c r="W75" s="2"/>
      <c r="X75" s="2"/>
      <c r="Y75" s="2"/>
      <c r="Z75" s="2"/>
      <c r="AA75" s="2"/>
      <c r="AB75" s="2"/>
    </row>
    <row r="76" ht="13.5" customHeight="1">
      <c r="A76" s="2"/>
      <c r="B76" s="48"/>
      <c r="C76" s="48"/>
      <c r="D76" s="48"/>
      <c r="E76" s="48"/>
      <c r="F76" s="48"/>
      <c r="G76" s="143"/>
      <c r="H76" s="358"/>
      <c r="I76" s="143"/>
      <c r="J76" s="143"/>
      <c r="K76" s="143"/>
      <c r="L76" s="359"/>
      <c r="M76" s="48"/>
      <c r="N76" s="48"/>
      <c r="O76" s="143"/>
      <c r="P76" s="143"/>
      <c r="Q76" s="143"/>
      <c r="R76" s="143"/>
      <c r="S76" s="143"/>
      <c r="T76" s="269"/>
      <c r="U76" s="269"/>
      <c r="V76" s="269"/>
      <c r="W76" s="269"/>
      <c r="X76" s="269"/>
      <c r="Y76" s="269"/>
      <c r="Z76" s="269"/>
      <c r="AA76" s="269"/>
      <c r="AB76" s="269"/>
    </row>
    <row r="77" ht="37.5" customHeight="1">
      <c r="A77" s="2"/>
      <c r="B77" s="105"/>
      <c r="C77" s="360"/>
      <c r="D77" s="25"/>
      <c r="E77" s="361"/>
      <c r="F77" s="6"/>
      <c r="G77" t="s" s="362">
        <v>132</v>
      </c>
      <c r="H77" s="363"/>
      <c r="I77" s="364"/>
      <c r="J77" s="365"/>
      <c r="K77" t="s" s="362">
        <v>133</v>
      </c>
      <c r="L77" t="s" s="366">
        <v>134</v>
      </c>
      <c r="M77" s="367"/>
      <c r="N77" s="6"/>
      <c r="O77" t="s" s="368">
        <v>135</v>
      </c>
      <c r="P77" s="369"/>
      <c r="Q77" s="369"/>
      <c r="R77" s="369"/>
      <c r="S77" s="370"/>
      <c r="T77" t="s" s="371">
        <v>136</v>
      </c>
      <c r="U77" s="372"/>
      <c r="V77" s="372"/>
      <c r="W77" s="372"/>
      <c r="X77" s="372"/>
      <c r="Y77" s="372"/>
      <c r="Z77" s="372"/>
      <c r="AA77" s="372"/>
      <c r="AB77" s="373"/>
    </row>
    <row r="78" ht="27" customHeight="1">
      <c r="A78" s="14"/>
      <c r="B78" s="2"/>
      <c r="C78" s="128"/>
      <c r="D78" s="128"/>
      <c r="E78" s="128"/>
      <c r="F78" s="6"/>
      <c r="G78" t="s" s="374">
        <v>137</v>
      </c>
      <c r="H78" t="s" s="375">
        <v>138</v>
      </c>
      <c r="I78" t="s" s="375">
        <v>139</v>
      </c>
      <c r="J78" t="s" s="374">
        <v>140</v>
      </c>
      <c r="K78" t="s" s="374">
        <v>141</v>
      </c>
      <c r="L78" s="376"/>
      <c r="M78" s="2"/>
      <c r="N78" s="6"/>
      <c r="O78" s="377"/>
      <c r="P78" t="s" s="378">
        <v>142</v>
      </c>
      <c r="Q78" s="379"/>
      <c r="R78" t="s" s="380">
        <v>143</v>
      </c>
      <c r="S78" s="381"/>
      <c r="T78" t="s" s="382">
        <v>144</v>
      </c>
      <c r="U78" t="s" s="378">
        <v>145</v>
      </c>
      <c r="V78" s="383"/>
      <c r="W78" s="383"/>
      <c r="X78" s="383"/>
      <c r="Y78" s="383"/>
      <c r="Z78" s="383"/>
      <c r="AA78" s="383"/>
      <c r="AB78" s="384"/>
    </row>
    <row r="79" ht="15.75" customHeight="1">
      <c r="A79" s="2"/>
      <c r="B79" s="128"/>
      <c r="C79" s="128"/>
      <c r="D79" s="128"/>
      <c r="E79" s="128"/>
      <c r="F79" s="6"/>
      <c r="G79" t="s" s="182">
        <v>131</v>
      </c>
      <c r="H79" t="s" s="182">
        <v>131</v>
      </c>
      <c r="I79" t="s" s="182">
        <v>131</v>
      </c>
      <c r="J79" t="s" s="182">
        <v>146</v>
      </c>
      <c r="K79" t="s" s="182">
        <v>147</v>
      </c>
      <c r="L79" s="385"/>
      <c r="M79" s="2"/>
      <c r="N79" s="6"/>
      <c r="O79" t="s" s="386">
        <v>76</v>
      </c>
      <c r="P79" s="387" cm="1">
        <f t="array" ref="P79">R16</f>
        <v>0</v>
      </c>
      <c r="Q79" s="388"/>
      <c r="R79" s="389"/>
      <c r="S79" s="390"/>
      <c r="T79" s="391"/>
      <c r="U79" s="392">
        <v>20</v>
      </c>
      <c r="V79" s="392">
        <v>15</v>
      </c>
      <c r="W79" s="392">
        <v>10</v>
      </c>
      <c r="X79" s="392">
        <v>7</v>
      </c>
      <c r="Y79" s="392">
        <v>5</v>
      </c>
      <c r="Z79" s="392">
        <v>3</v>
      </c>
      <c r="AA79" s="392">
        <v>2</v>
      </c>
      <c r="AB79" s="393">
        <v>1</v>
      </c>
    </row>
    <row r="80" ht="15" customHeight="1">
      <c r="A80" s="2"/>
      <c r="B80" s="128"/>
      <c r="C80" s="25"/>
      <c r="D80" s="394"/>
      <c r="E80" s="395"/>
      <c r="F80" s="6"/>
      <c r="G80" s="396">
        <v>5</v>
      </c>
      <c r="H80" s="397"/>
      <c r="I80" s="398"/>
      <c r="J80" s="399" cm="1">
        <f t="array" ref="J80">I80/6</f>
        <v>0</v>
      </c>
      <c r="K80" s="400" cm="1">
        <f t="array" ref="K80">I80/(3*SQRT(3))</f>
        <v>0</v>
      </c>
      <c r="L80" s="401"/>
      <c r="M80" s="2"/>
      <c r="N80" s="6"/>
      <c r="O80" t="str" s="402" cm="1">
        <f t="array" ref="O80">F27</f>
        <v>g</v>
      </c>
      <c r="P80" t="s" s="403">
        <v>149</v>
      </c>
      <c r="Q80" s="404"/>
      <c r="R80" t="str" s="405" cm="1">
        <f t="array" ref="R80">P80</f>
        <v>c</v>
      </c>
      <c r="S80" s="406"/>
      <c r="T80" s="407">
        <v>50</v>
      </c>
      <c r="U80" s="408" cm="1">
        <f t="array" ref="U80">113.23/1000000</f>
        <v>0.00011323</v>
      </c>
      <c r="V80" s="408" cm="1">
        <f t="array" ref="V80">87.6/1000000</f>
        <v>8.76e-05</v>
      </c>
      <c r="W80" s="408" cm="1">
        <f t="array" ref="W80">60.23/1000000</f>
        <v>6.023e-05</v>
      </c>
      <c r="X80" s="408" cm="1">
        <f t="array" ref="X80">43.65/1000000</f>
        <v>4.365e-05</v>
      </c>
      <c r="Y80" s="408" cm="1">
        <f t="array" ref="Y80">32.27/1000000</f>
        <v>3.227e-05</v>
      </c>
      <c r="Z80" s="408" cm="1">
        <f t="array" ref="Z80">20.47/1000000</f>
        <v>2.047e-05</v>
      </c>
      <c r="AA80" s="408" cm="1">
        <f t="array" ref="AA80">14.3/1000000</f>
        <v>1.43e-05</v>
      </c>
      <c r="AB80" s="409" cm="1">
        <f t="array" ref="AB80">7.79/1000000</f>
        <v>7.79e-06</v>
      </c>
    </row>
    <row r="81" ht="14.25" customHeight="1">
      <c r="A81" s="2"/>
      <c r="B81" s="14"/>
      <c r="C81" s="2"/>
      <c r="D81" s="394"/>
      <c r="E81" s="410"/>
      <c r="F81" s="6"/>
      <c r="G81" s="411">
        <v>5</v>
      </c>
      <c r="H81" s="412"/>
      <c r="I81" s="413"/>
      <c r="J81" s="414" cm="1">
        <f t="array" ref="J81">I81/6</f>
        <v>0</v>
      </c>
      <c r="K81" s="415" cm="1">
        <f t="array" ref="K81">I81/(3*SQRT(3))</f>
        <v>0</v>
      </c>
      <c r="L81" s="401"/>
      <c r="M81" s="2"/>
      <c r="N81" s="6"/>
      <c r="O81" s="416" cm="1">
        <f t="array" ref="O81">B59</f>
        <v>5</v>
      </c>
      <c r="P81" s="417">
        <v>0</v>
      </c>
      <c r="Q81" s="418"/>
      <c r="R81" s="419" cm="1">
        <f t="array" ref="R81">P81/(SQRT(3))</f>
        <v>0</v>
      </c>
      <c r="S81" s="420"/>
      <c r="T81" s="421">
        <v>20</v>
      </c>
      <c r="U81" s="422" cm="1">
        <f t="array" ref="U81">49.23/1000000</f>
        <v>4.923e-05</v>
      </c>
      <c r="V81" s="422" cm="1">
        <f t="array" ref="V81">38/1000000</f>
        <v>3.8e-05</v>
      </c>
      <c r="W81" s="422" cm="1">
        <f t="array" ref="W81">26.43/1000000</f>
        <v>2.643e-05</v>
      </c>
      <c r="X81" s="422" cm="1">
        <f t="array" ref="X81">19.25/1000000</f>
        <v>1.925e-05</v>
      </c>
      <c r="Y81" s="422" cm="1">
        <f t="array" ref="Y81">14.3/1000000</f>
        <v>1.43e-05</v>
      </c>
      <c r="Z81" s="422" cm="1">
        <f t="array" ref="Z81">9.14/1000000</f>
        <v>9.140000000000001e-06</v>
      </c>
      <c r="AA81" s="422" cm="1">
        <f t="array" ref="AA81">6.42/1000000</f>
        <v>6.42e-06</v>
      </c>
      <c r="AB81" s="423" cm="1">
        <f t="array" ref="AB81">3.53/1000000</f>
        <v>3.53e-06</v>
      </c>
    </row>
    <row r="82" ht="14.25" customHeight="1">
      <c r="A82" s="2"/>
      <c r="B82" s="14"/>
      <c r="C82" s="2"/>
      <c r="D82" s="394"/>
      <c r="E82" s="410"/>
      <c r="F82" s="6"/>
      <c r="G82" s="424">
        <v>5</v>
      </c>
      <c r="H82" s="412"/>
      <c r="I82" s="413"/>
      <c r="J82" s="414" cm="1">
        <f t="array" ref="J82">I82/6</f>
        <v>0</v>
      </c>
      <c r="K82" s="415" cm="1">
        <f t="array" ref="K82">I82/(3*SQRT(3))</f>
        <v>0</v>
      </c>
      <c r="L82" s="401"/>
      <c r="M82" s="2"/>
      <c r="N82" s="6"/>
      <c r="O82" s="425" cm="1">
        <f t="array" ref="O82">B60</f>
        <v>10</v>
      </c>
      <c r="P82" s="426" cm="1">
        <f t="array" ref="P82">P81*3</f>
        <v>0</v>
      </c>
      <c r="Q82" s="427"/>
      <c r="R82" s="428" cm="1">
        <f t="array" ref="R82">P82/(SQRT(3))</f>
        <v>0</v>
      </c>
      <c r="S82" s="429"/>
      <c r="T82" s="421">
        <v>10</v>
      </c>
      <c r="U82" s="422" cm="1">
        <f t="array" ref="U82">26.43/1000000</f>
        <v>2.643e-05</v>
      </c>
      <c r="V82" s="422" cm="1">
        <f t="array" ref="V82">20.47/1000000</f>
        <v>2.047e-05</v>
      </c>
      <c r="W82" s="422" cm="1">
        <f t="array" ref="W82">14.3/1000000</f>
        <v>1.43e-05</v>
      </c>
      <c r="X82" s="422" cm="1">
        <f t="array" ref="X82">10.45/1000000</f>
        <v>1.045e-05</v>
      </c>
      <c r="Y82" s="422" cm="1">
        <f t="array" ref="Y82">7.79/1000000</f>
        <v>7.79e-06</v>
      </c>
      <c r="Z82" s="422" cm="1">
        <f t="array" ref="Z82">5.01/1000000</f>
        <v>5.01e-06</v>
      </c>
      <c r="AA82" s="422" cm="1">
        <f t="array" ref="AA82">3.53/1000000</f>
        <v>3.53e-06</v>
      </c>
      <c r="AB82" s="423" cm="1">
        <f t="array" ref="AB82">1.96/1000000</f>
        <v>1.96e-06</v>
      </c>
    </row>
    <row r="83" ht="15" customHeight="1">
      <c r="A83" s="2"/>
      <c r="B83" s="14"/>
      <c r="C83" s="2"/>
      <c r="D83" s="394"/>
      <c r="E83" s="410"/>
      <c r="F83" s="6"/>
      <c r="G83" s="430">
        <v>5</v>
      </c>
      <c r="H83" s="431"/>
      <c r="I83" s="432"/>
      <c r="J83" s="433" cm="1">
        <f t="array" ref="J83">I83/6</f>
        <v>0</v>
      </c>
      <c r="K83" s="434" cm="1">
        <f t="array" ref="K83">I83/(3*SQRT(3))</f>
        <v>0</v>
      </c>
      <c r="L83" s="401"/>
      <c r="M83" s="2"/>
      <c r="N83" s="6"/>
      <c r="O83" s="425" cm="1">
        <f t="array" ref="O83">B61</f>
        <v>15</v>
      </c>
      <c r="P83" s="426">
        <v>0</v>
      </c>
      <c r="Q83" s="427"/>
      <c r="R83" s="428" cm="1">
        <f t="array" ref="R83">P83/(SQRT(3))</f>
        <v>0</v>
      </c>
      <c r="S83" s="429"/>
      <c r="T83" s="421">
        <v>5</v>
      </c>
      <c r="U83" s="422" cm="1">
        <f t="array" ref="U83">14.3/1000000</f>
        <v>1.43e-05</v>
      </c>
      <c r="V83" s="422" cm="1">
        <f t="array" ref="V83">11.1/1000000</f>
        <v>1.11e-05</v>
      </c>
      <c r="W83" s="422" cm="1">
        <f t="array" ref="W83">7.49/1000000</f>
        <v>7.49e-06</v>
      </c>
      <c r="X83" s="422" cm="1">
        <f t="array" ref="X83">5.72/1000000</f>
        <v>5.72e-06</v>
      </c>
      <c r="Y83" s="422" cm="1">
        <f t="array" ref="Y83">4.28/1000000</f>
        <v>4.28e-06</v>
      </c>
      <c r="Z83" s="422" cm="1">
        <f t="array" ref="Z83">2.76/1000000</f>
        <v>2.76e-06</v>
      </c>
      <c r="AA83" s="422" cm="1">
        <f t="array" ref="AA83">1.96/1000000</f>
        <v>1.96e-06</v>
      </c>
      <c r="AB83" s="423" cm="1">
        <f t="array" ref="AB83">1.09/1000000</f>
        <v>1.09e-06</v>
      </c>
    </row>
    <row r="84" ht="13.5" customHeight="1">
      <c r="A84" s="2"/>
      <c r="B84" s="14"/>
      <c r="C84" s="2"/>
      <c r="D84" s="2"/>
      <c r="E84" s="435"/>
      <c r="F84" s="2"/>
      <c r="G84" s="143"/>
      <c r="H84" s="143"/>
      <c r="I84" s="143"/>
      <c r="J84" s="143"/>
      <c r="K84" s="436"/>
      <c r="L84" s="437"/>
      <c r="M84" s="2"/>
      <c r="N84" s="6"/>
      <c r="O84" s="425" cm="1">
        <f t="array" ref="O84">B62</f>
        <v>100</v>
      </c>
      <c r="P84" s="426" cm="1">
        <f t="array" ref="P84">P81*5</f>
        <v>0</v>
      </c>
      <c r="Q84" s="427"/>
      <c r="R84" s="428" cm="1">
        <f t="array" ref="R84">P84/(SQRT(3))</f>
        <v>0</v>
      </c>
      <c r="S84" s="429"/>
      <c r="T84" s="421">
        <v>2</v>
      </c>
      <c r="U84" s="422" cm="1">
        <f t="array" ref="U84">6.42/1000000</f>
        <v>6.42e-06</v>
      </c>
      <c r="V84" s="422" cm="1">
        <f t="array" ref="V84">5.01/1000000</f>
        <v>5.01e-06</v>
      </c>
      <c r="W84" s="422" cm="1">
        <f t="array" ref="W84">3.53/1000000</f>
        <v>3.53e-06</v>
      </c>
      <c r="X84" s="422" cm="1">
        <f t="array" ref="X84">2.61/1000000</f>
        <v>2.61e-06</v>
      </c>
      <c r="Y84" s="422" cm="1">
        <f t="array" ref="Y84">1.96/1000000</f>
        <v>1.96e-06</v>
      </c>
      <c r="Z84" s="422" cm="1">
        <f t="array" ref="Z84">1.27/1000000</f>
        <v>1.27e-06</v>
      </c>
      <c r="AA84" s="422" cm="1">
        <f t="array" ref="AA84">0.91/1000000</f>
        <v>9.1e-07</v>
      </c>
      <c r="AB84" s="423" cm="1">
        <f t="array" ref="AB84">0.51/1000000</f>
        <v>5.1e-07</v>
      </c>
    </row>
    <row r="85" ht="50.25" customHeight="1">
      <c r="A85" s="2"/>
      <c r="B85" s="14"/>
      <c r="C85" s="2"/>
      <c r="D85" s="25"/>
      <c r="E85" s="438"/>
      <c r="F85" s="439"/>
      <c r="G85" t="s" s="362">
        <v>132</v>
      </c>
      <c r="H85" s="364"/>
      <c r="I85" s="364"/>
      <c r="J85" s="365"/>
      <c r="K85" t="s" s="362">
        <v>151</v>
      </c>
      <c r="L85" t="s" s="366">
        <v>152</v>
      </c>
      <c r="M85" s="367"/>
      <c r="N85" s="6"/>
      <c r="O85" s="425" cm="1">
        <f t="array" ref="O85">B63</f>
        <v>150</v>
      </c>
      <c r="P85" s="426" cm="1">
        <f t="array" ref="P85">P81*7</f>
        <v>0</v>
      </c>
      <c r="Q85" s="427"/>
      <c r="R85" s="428" cm="1">
        <f t="array" ref="R85">P85/(SQRT(3))</f>
        <v>0</v>
      </c>
      <c r="S85" s="429"/>
      <c r="T85" s="421">
        <v>1</v>
      </c>
      <c r="U85" s="422" cm="1">
        <f t="array" ref="U85">3.53/1000000</f>
        <v>3.53e-06</v>
      </c>
      <c r="V85" s="422" cm="1">
        <f t="array" ref="V85">2.76/1000000</f>
        <v>2.76e-06</v>
      </c>
      <c r="W85" s="422" cm="1">
        <f t="array" ref="W85">1.96/1000000</f>
        <v>1.96e-06</v>
      </c>
      <c r="X85" s="422" cm="1">
        <f t="array" ref="X85">1.45/1000000</f>
        <v>1.45e-06</v>
      </c>
      <c r="Y85" s="422" cm="1">
        <f t="array" ref="Y85">1.09/1000000</f>
        <v>1.09e-06</v>
      </c>
      <c r="Z85" s="422" cm="1">
        <f t="array" ref="Z85">0.72/1000000</f>
        <v>7.2e-07</v>
      </c>
      <c r="AA85" s="422" cm="1">
        <f t="array" ref="AA85">0.51/1000000</f>
        <v>5.1e-07</v>
      </c>
      <c r="AB85" s="423" cm="1">
        <f t="array" ref="AB85">0.29/1000000</f>
        <v>2.9e-07</v>
      </c>
    </row>
    <row r="86" ht="19.5" customHeight="1">
      <c r="A86" s="2"/>
      <c r="B86" s="14"/>
      <c r="C86" s="2"/>
      <c r="D86" s="128"/>
      <c r="E86" s="440"/>
      <c r="F86" s="6"/>
      <c r="G86" t="s" s="374">
        <v>137</v>
      </c>
      <c r="H86" t="s" s="375">
        <v>138</v>
      </c>
      <c r="I86" t="s" s="375">
        <v>139</v>
      </c>
      <c r="J86" t="s" s="374">
        <v>140</v>
      </c>
      <c r="K86" t="s" s="374">
        <v>141</v>
      </c>
      <c r="L86" s="376"/>
      <c r="M86" s="2"/>
      <c r="N86" s="6"/>
      <c r="O86" s="425" cm="1">
        <f t="array" ref="O86">B64</f>
        <v>500</v>
      </c>
      <c r="P86" s="426" cm="1">
        <f t="array" ref="P86">P81*8</f>
        <v>0</v>
      </c>
      <c r="Q86" s="427"/>
      <c r="R86" s="428" cm="1">
        <f t="array" ref="R86">P86/(SQRT(3))</f>
        <v>0</v>
      </c>
      <c r="S86" s="429"/>
      <c r="T86" s="421">
        <v>0.5</v>
      </c>
      <c r="U86" s="422" cm="1">
        <f t="array" ref="U86">1.96/1000000</f>
        <v>1.96e-06</v>
      </c>
      <c r="V86" s="422" cm="1">
        <f t="array" ref="V86">1.54/1000000</f>
        <v>1.54e-06</v>
      </c>
      <c r="W86" s="422" cm="1">
        <f t="array" ref="W86">1.09/1000000</f>
        <v>1.09e-06</v>
      </c>
      <c r="X86" s="422" cm="1">
        <f t="array" ref="X86">0.81/1000000</f>
        <v>8.1e-07</v>
      </c>
      <c r="Y86" s="422" cm="1">
        <f t="array" ref="Y86">0.61/1000000</f>
        <v>6.1e-07</v>
      </c>
      <c r="Z86" s="422" cm="1">
        <f t="array" ref="Z86">0.4/1000000</f>
        <v>4e-07</v>
      </c>
      <c r="AA86" s="422" cm="1">
        <f t="array" ref="AA86">0.29/1000000</f>
        <v>2.9e-07</v>
      </c>
      <c r="AB86" s="423" cm="1">
        <f t="array" ref="AB86">0.17/1000000</f>
        <v>1.7e-07</v>
      </c>
    </row>
    <row r="87" ht="12.75" customHeight="1">
      <c r="A87" s="2"/>
      <c r="B87" s="14"/>
      <c r="C87" s="2"/>
      <c r="D87" s="128"/>
      <c r="E87" s="440"/>
      <c r="F87" s="6"/>
      <c r="G87" t="s" s="375">
        <v>86</v>
      </c>
      <c r="H87" t="s" s="375">
        <v>86</v>
      </c>
      <c r="I87" t="s" s="375">
        <v>86</v>
      </c>
      <c r="J87" t="s" s="375">
        <v>86</v>
      </c>
      <c r="K87" t="s" s="375">
        <v>86</v>
      </c>
      <c r="L87" s="385"/>
      <c r="M87" s="2"/>
      <c r="N87" s="6"/>
      <c r="O87" s="425" cm="1">
        <f t="array" ref="O87">B65</f>
        <v>800</v>
      </c>
      <c r="P87" s="426" cm="1">
        <f t="array" ref="P87">P81*9</f>
        <v>0</v>
      </c>
      <c r="Q87" s="427"/>
      <c r="R87" s="428" cm="1">
        <f t="array" ref="R87">P87/(SQRT(3))</f>
        <v>0</v>
      </c>
      <c r="S87" s="429"/>
      <c r="T87" s="421">
        <v>0.2</v>
      </c>
      <c r="U87" s="422" cm="1">
        <f t="array" ref="U87">0.91/1000000</f>
        <v>9.1e-07</v>
      </c>
      <c r="V87" s="422" cm="1">
        <f t="array" ref="V87">0.72/1000000</f>
        <v>7.2e-07</v>
      </c>
      <c r="W87" s="422" cm="1">
        <f t="array" ref="W87">0.51/1000000</f>
        <v>5.1e-07</v>
      </c>
      <c r="X87" s="422" cm="1">
        <f t="array" ref="X87">0.38/1000000</f>
        <v>3.8e-07</v>
      </c>
      <c r="Y87" s="422" cm="1">
        <f t="array" ref="Y87">0.29/1000000</f>
        <v>2.9e-07</v>
      </c>
      <c r="Z87" s="422" cm="1">
        <f t="array" ref="Z87">0.19/1000000</f>
        <v>1.9e-07</v>
      </c>
      <c r="AA87" s="422" cm="1">
        <f t="array" ref="AA87">0.14/1000000</f>
        <v>1.4e-07</v>
      </c>
      <c r="AB87" s="423" cm="1">
        <f t="array" ref="AB87">0.08/1000000</f>
        <v>8e-08</v>
      </c>
    </row>
    <row r="88" ht="14.25" customHeight="1">
      <c r="A88" s="2"/>
      <c r="B88" s="14"/>
      <c r="C88" s="2"/>
      <c r="D88" s="441"/>
      <c r="E88" s="410"/>
      <c r="F88" s="6"/>
      <c r="G88" s="442" cm="1">
        <f t="array" ref="G88">B59</f>
        <v>5</v>
      </c>
      <c r="H88" s="443">
        <v>6e-06</v>
      </c>
      <c r="I88" s="443">
        <v>3e-05</v>
      </c>
      <c r="J88" s="444" cm="1">
        <f t="array" ref="J88">I88/6</f>
        <v>5e-06</v>
      </c>
      <c r="K88" s="400" cm="1">
        <f t="array" ref="K88">I88/(3*SQRT(3))</f>
        <v>5.77350269189626e-06</v>
      </c>
      <c r="L88" s="401"/>
      <c r="M88" s="2"/>
      <c r="N88" s="6"/>
      <c r="O88" s="425" cm="1">
        <f t="array" ref="O88">B66</f>
        <v>900</v>
      </c>
      <c r="P88" s="426" cm="1">
        <f t="array" ref="P88">P84*2</f>
        <v>0</v>
      </c>
      <c r="Q88" s="427"/>
      <c r="R88" s="428" cm="1">
        <f t="array" ref="R88">P88/(SQRT(3))</f>
        <v>0</v>
      </c>
      <c r="S88" s="429"/>
      <c r="T88" s="421">
        <v>0.1</v>
      </c>
      <c r="U88" s="422" cm="1">
        <f t="array" ref="U88">0.51/1000000</f>
        <v>5.1e-07</v>
      </c>
      <c r="V88" s="422" cm="1">
        <f t="array" ref="V88">0.4/1000000</f>
        <v>4e-07</v>
      </c>
      <c r="W88" s="422" cm="1">
        <f t="array" ref="W88">0.29/1000000</f>
        <v>2.9e-07</v>
      </c>
      <c r="X88" s="422" cm="1">
        <f t="array" ref="X88">0.22/1000000</f>
        <v>2.2e-07</v>
      </c>
      <c r="Y88" s="422" cm="1">
        <f t="array" ref="Y88">0.17/1000000</f>
        <v>1.7e-07</v>
      </c>
      <c r="Z88" s="422" cm="1">
        <f t="array" ref="Z88">0.11/1000000</f>
        <v>1.1e-07</v>
      </c>
      <c r="AA88" s="422" cm="1">
        <f t="array" ref="AA88">0.08/1000000</f>
        <v>8e-08</v>
      </c>
      <c r="AB88" s="423" cm="1">
        <f t="array" ref="AB88">0.05/1000000</f>
        <v>5e-08</v>
      </c>
    </row>
    <row r="89" ht="14.25" customHeight="1">
      <c r="A89" s="2"/>
      <c r="B89" s="14"/>
      <c r="C89" s="2"/>
      <c r="D89" s="441"/>
      <c r="E89" s="410"/>
      <c r="F89" s="6"/>
      <c r="G89" s="445" cm="1">
        <f t="array" ref="G89">B60</f>
        <v>10</v>
      </c>
      <c r="H89" s="446">
        <v>-3.9e-05</v>
      </c>
      <c r="I89" s="447">
        <v>0.00016</v>
      </c>
      <c r="J89" s="448" cm="1">
        <f t="array" ref="J89">I89/6</f>
        <v>2.66666666666667e-05</v>
      </c>
      <c r="K89" s="415" cm="1">
        <f t="array" ref="K89">I89/(3*SQRT(3))</f>
        <v>3.079201435678e-05</v>
      </c>
      <c r="L89" s="401"/>
      <c r="M89" s="2"/>
      <c r="N89" s="6"/>
      <c r="O89" s="425" cm="1">
        <f t="array" ref="O89">B67</f>
        <v>1000</v>
      </c>
      <c r="P89" s="426" cm="1">
        <f t="array" ref="P89">P81*12</f>
        <v>0</v>
      </c>
      <c r="Q89" s="427"/>
      <c r="R89" s="428" cm="1">
        <f t="array" ref="R89">P89/(SQRT(3))</f>
        <v>0</v>
      </c>
      <c r="S89" s="429"/>
      <c r="T89" s="421">
        <v>0.05</v>
      </c>
      <c r="U89" s="422" cm="1">
        <f t="array" ref="U89">0.29/1000000</f>
        <v>2.9e-07</v>
      </c>
      <c r="V89" s="422" cm="1">
        <f t="array" ref="V89">0.23/1000000</f>
        <v>2.3e-07</v>
      </c>
      <c r="W89" s="422" cm="1">
        <f t="array" ref="W89">0.17/1000000</f>
        <v>1.7e-07</v>
      </c>
      <c r="X89" s="422" cm="1">
        <f t="array" ref="X89">0.12/1000000</f>
        <v>1.2e-07</v>
      </c>
      <c r="Y89" s="422" cm="1">
        <f t="array" ref="Y89">0.09/1000000</f>
        <v>9e-08</v>
      </c>
      <c r="Z89" s="422" cm="1">
        <f t="array" ref="Z89">0.06/1000000</f>
        <v>5.999999999999999e-08</v>
      </c>
      <c r="AA89" s="422" cm="1">
        <f t="array" ref="AA89">0.05/1000000</f>
        <v>5e-08</v>
      </c>
      <c r="AB89" s="423" cm="1">
        <f t="array" ref="AB89">0.03/1000000</f>
        <v>3e-08</v>
      </c>
    </row>
    <row r="90" ht="14.25" customHeight="1">
      <c r="A90" s="2"/>
      <c r="B90" s="14"/>
      <c r="C90" s="2"/>
      <c r="D90" s="441"/>
      <c r="E90" s="410"/>
      <c r="F90" s="449"/>
      <c r="G90" s="450" cm="1">
        <f t="array" ref="G90">B61</f>
        <v>15</v>
      </c>
      <c r="H90" s="446" cm="1">
        <f t="array" ref="H90">0.0001+H89</f>
        <v>6.1e-05</v>
      </c>
      <c r="I90" s="447" cm="1">
        <f t="array" ref="I90">0.0003+I89</f>
        <v>0.00046</v>
      </c>
      <c r="J90" s="448" cm="1">
        <f t="array" ref="J90">I90/6</f>
        <v>7.66666666666667e-05</v>
      </c>
      <c r="K90" s="415" cm="1">
        <f t="array" ref="K90">I90/(3*SQRT(3))</f>
        <v>8.85270412757426e-05</v>
      </c>
      <c r="L90" s="401"/>
      <c r="M90" s="2"/>
      <c r="N90" s="6"/>
      <c r="O90" s="425" cm="1">
        <f t="array" ref="O90">B68</f>
        <v>1200</v>
      </c>
      <c r="P90" s="426" cm="1">
        <f t="array" ref="P90">P84*3</f>
        <v>0</v>
      </c>
      <c r="Q90" s="427"/>
      <c r="R90" s="428" cm="1">
        <f t="array" ref="R90">P90/(SQRT(3))</f>
        <v>0</v>
      </c>
      <c r="S90" s="429"/>
      <c r="T90" s="421">
        <v>0.02</v>
      </c>
      <c r="U90" s="422" cm="1">
        <f t="array" ref="U90">0.14/1000000</f>
        <v>1.4e-07</v>
      </c>
      <c r="V90" s="422" cm="1">
        <f t="array" ref="V90">0.11/1000000</f>
        <v>1.1e-07</v>
      </c>
      <c r="W90" s="422" cm="1">
        <f t="array" ref="W90">0.08/1000000</f>
        <v>8e-08</v>
      </c>
      <c r="X90" s="422" cm="1">
        <f t="array" ref="X90">0.06/1000000</f>
        <v>5.999999999999999e-08</v>
      </c>
      <c r="Y90" s="422" cm="1">
        <f t="array" ref="Y90">0.05/1000000</f>
        <v>5e-08</v>
      </c>
      <c r="Z90" s="422" cm="1">
        <f t="array" ref="Z90">0.03/1000000</f>
        <v>3e-08</v>
      </c>
      <c r="AA90" s="422" cm="1">
        <f t="array" ref="AA90">0.02/1000000</f>
        <v>2e-08</v>
      </c>
      <c r="AB90" s="423" cm="1">
        <f t="array" ref="AB90">0.01/1000000</f>
        <v>1e-08</v>
      </c>
    </row>
    <row r="91" ht="15" customHeight="1">
      <c r="A91" s="2"/>
      <c r="B91" s="14"/>
      <c r="C91" s="2"/>
      <c r="D91" s="441"/>
      <c r="E91" s="410"/>
      <c r="F91" s="20"/>
      <c r="G91" s="450" cm="1">
        <f t="array" ref="G91">B62</f>
        <v>100</v>
      </c>
      <c r="H91" s="446" cm="1">
        <f t="array" ref="H91">0.0001+-0.00002</f>
        <v>8.000000000000001e-05</v>
      </c>
      <c r="I91" s="447" cm="1">
        <f t="array" ref="I91">I90+I89</f>
        <v>0.00062</v>
      </c>
      <c r="J91" s="448" cm="1">
        <f t="array" ref="J91">I91/6</f>
        <v>0.000103333333333333</v>
      </c>
      <c r="K91" s="415" cm="1">
        <f t="array" ref="K91">I91/(3*SQRT(3))</f>
        <v>0.000119319055632523</v>
      </c>
      <c r="L91" s="401"/>
      <c r="M91" s="2"/>
      <c r="N91" s="6"/>
      <c r="O91" s="425" cm="1">
        <f t="array" ref="O91">B69</f>
        <v>0</v>
      </c>
      <c r="P91" s="426"/>
      <c r="Q91" s="427"/>
      <c r="R91" s="428" cm="1">
        <f t="array" ref="R91">P91/(SQRT(3))</f>
        <v>0</v>
      </c>
      <c r="S91" s="429"/>
      <c r="T91" s="451">
        <v>0.01</v>
      </c>
      <c r="U91" s="452" cm="1">
        <f t="array" ref="U91">0.08/1000000</f>
        <v>8e-08</v>
      </c>
      <c r="V91" s="452" cm="1">
        <f t="array" ref="V91">0.06/1000000</f>
        <v>5.999999999999999e-08</v>
      </c>
      <c r="W91" s="452" cm="1">
        <f t="array" ref="W91">0.05/1000000</f>
        <v>5e-08</v>
      </c>
      <c r="X91" s="452" cm="1">
        <f t="array" ref="X91">0.03/1000000</f>
        <v>3e-08</v>
      </c>
      <c r="Y91" s="452" cm="1">
        <f t="array" ref="Y91">0.03/1000000</f>
        <v>3e-08</v>
      </c>
      <c r="Z91" s="452" cm="1">
        <f t="array" ref="Z91">0.02/1000000</f>
        <v>2e-08</v>
      </c>
      <c r="AA91" s="452" cm="1">
        <f t="array" ref="AA91">0.01/1000000</f>
        <v>1e-08</v>
      </c>
      <c r="AB91" s="453" cm="1">
        <f t="array" ref="AB91">0.01/1000000</f>
        <v>1e-08</v>
      </c>
    </row>
    <row r="92" ht="15" customHeight="1">
      <c r="A92" s="2"/>
      <c r="B92" s="14"/>
      <c r="C92" s="2"/>
      <c r="D92" s="441"/>
      <c r="E92" s="441"/>
      <c r="F92" s="20"/>
      <c r="G92" s="450" cm="1">
        <f t="array" ref="G92">B63</f>
        <v>150</v>
      </c>
      <c r="H92" s="446">
        <v>-4e-05</v>
      </c>
      <c r="I92" s="446">
        <v>0.0008</v>
      </c>
      <c r="J92" s="448" cm="1">
        <f t="array" ref="J92">I92/6</f>
        <v>0.000133333333333333</v>
      </c>
      <c r="K92" s="415" cm="1">
        <f t="array" ref="K92">I92/(3*SQRT(3))</f>
        <v>0.0001539600717839</v>
      </c>
      <c r="L92" s="401"/>
      <c r="M92" s="2"/>
      <c r="N92" s="6"/>
      <c r="O92" s="425" cm="1">
        <f t="array" ref="O92">B70</f>
        <v>0</v>
      </c>
      <c r="P92" s="426"/>
      <c r="Q92" s="427"/>
      <c r="R92" s="428" cm="1">
        <f t="array" ref="R92">P92/(SQRT(3))</f>
        <v>0</v>
      </c>
      <c r="S92" s="429"/>
      <c r="T92" s="454"/>
      <c r="U92" s="455"/>
      <c r="V92" s="455"/>
      <c r="W92" s="455"/>
      <c r="X92" s="455"/>
      <c r="Y92" s="455"/>
      <c r="Z92" s="455"/>
      <c r="AA92" s="455"/>
      <c r="AB92" s="455"/>
    </row>
    <row r="93" ht="14.25" customHeight="1">
      <c r="A93" s="2"/>
      <c r="B93" s="14"/>
      <c r="C93" s="2"/>
      <c r="D93" s="441"/>
      <c r="E93" s="441"/>
      <c r="F93" s="20"/>
      <c r="G93" s="450" cm="1">
        <f t="array" ref="G93">B64</f>
        <v>500</v>
      </c>
      <c r="H93" s="456" cm="1">
        <f t="array" ref="H93">H92+H89</f>
        <v>-7.9e-05</v>
      </c>
      <c r="I93" s="447" cm="1">
        <f t="array" ref="I93">I92+I89</f>
        <v>0.00096</v>
      </c>
      <c r="J93" s="448" cm="1">
        <f t="array" ref="J93">I93/6</f>
        <v>0.00016</v>
      </c>
      <c r="K93" s="415" cm="1">
        <f t="array" ref="K93">I93/(3*SQRT(3))</f>
        <v>0.00018475208614068</v>
      </c>
      <c r="L93" s="401"/>
      <c r="M93" s="2"/>
      <c r="N93" s="6"/>
      <c r="O93" s="425" cm="1">
        <f t="array" ref="O93">B71</f>
        <v>0</v>
      </c>
      <c r="P93" s="426"/>
      <c r="Q93" s="427"/>
      <c r="R93" s="428" cm="1">
        <f t="array" ref="R93">P93/(SQRT(3))</f>
        <v>0</v>
      </c>
      <c r="S93" s="429"/>
      <c r="T93" s="286"/>
      <c r="U93" s="2"/>
      <c r="V93" s="2"/>
      <c r="W93" s="2"/>
      <c r="X93" s="2"/>
      <c r="Y93" s="2"/>
      <c r="Z93" s="2"/>
      <c r="AA93" s="2"/>
      <c r="AB93" s="2"/>
    </row>
    <row r="94" ht="14.25" customHeight="1">
      <c r="A94" s="2"/>
      <c r="B94" s="14"/>
      <c r="C94" s="2"/>
      <c r="D94" s="441"/>
      <c r="E94" s="441"/>
      <c r="F94" s="20"/>
      <c r="G94" s="450" cm="1">
        <f t="array" ref="G94">B65</f>
        <v>800</v>
      </c>
      <c r="H94" s="456" cm="1">
        <f t="array" ref="H94">H93+H89</f>
        <v>-0.000118</v>
      </c>
      <c r="I94" s="447" cm="1">
        <f t="array" ref="I94">I92+0.0003</f>
        <v>0.0011</v>
      </c>
      <c r="J94" s="448" cm="1">
        <f t="array" ref="J94">I94/6</f>
        <v>0.000183333333333333</v>
      </c>
      <c r="K94" s="415" cm="1">
        <f t="array" ref="K94">I94/(3*SQRT(3))</f>
        <v>0.000211695098702863</v>
      </c>
      <c r="L94" s="401"/>
      <c r="M94" s="2"/>
      <c r="N94" s="6"/>
      <c r="O94" s="425" cm="1">
        <f t="array" ref="O94">B72</f>
        <v>0</v>
      </c>
      <c r="P94" s="426"/>
      <c r="Q94" s="427"/>
      <c r="R94" s="428" cm="1">
        <f t="array" ref="R94">P94/(SQRT(3))</f>
        <v>0</v>
      </c>
      <c r="S94" s="429"/>
      <c r="T94" s="286"/>
      <c r="U94" s="2"/>
      <c r="V94" s="2"/>
      <c r="W94" s="2"/>
      <c r="X94" s="2"/>
      <c r="Y94" s="2"/>
      <c r="Z94" s="2"/>
      <c r="AA94" s="2"/>
      <c r="AB94" s="2"/>
    </row>
    <row r="95" ht="14.25" customHeight="1">
      <c r="A95" s="2"/>
      <c r="B95" s="14"/>
      <c r="C95" s="2"/>
      <c r="D95" s="457"/>
      <c r="E95" s="457"/>
      <c r="F95" s="20"/>
      <c r="G95" s="450" cm="1">
        <f t="array" ref="G95">B66</f>
        <v>900</v>
      </c>
      <c r="H95" s="447" cm="1">
        <f t="array" ref="H95">H92+H91</f>
        <v>4e-05</v>
      </c>
      <c r="I95" s="446">
        <v>0.0014</v>
      </c>
      <c r="J95" s="448" cm="1">
        <f t="array" ref="J95">I95/6</f>
        <v>0.000233333333333333</v>
      </c>
      <c r="K95" s="415" cm="1">
        <f t="array" ref="K95">I95/(3*SQRT(3))</f>
        <v>0.000269430125621825</v>
      </c>
      <c r="L95" s="401"/>
      <c r="M95" s="2"/>
      <c r="N95" s="6"/>
      <c r="O95" s="425" cm="1">
        <f t="array" ref="O95">B73</f>
        <v>0</v>
      </c>
      <c r="P95" s="426"/>
      <c r="Q95" s="427"/>
      <c r="R95" s="428" cm="1">
        <f t="array" ref="R95">P95/(SQRT(3))</f>
        <v>0</v>
      </c>
      <c r="S95" s="429"/>
      <c r="T95" s="286"/>
      <c r="U95" s="2"/>
      <c r="V95" s="2"/>
      <c r="W95" s="2"/>
      <c r="X95" s="2"/>
      <c r="Y95" s="2"/>
      <c r="Z95" s="2"/>
      <c r="AA95" s="2"/>
      <c r="AB95" s="2"/>
    </row>
    <row r="96" ht="14.25" customHeight="1">
      <c r="A96" s="2"/>
      <c r="B96" s="14"/>
      <c r="C96" s="2"/>
      <c r="D96" s="457"/>
      <c r="E96" s="457"/>
      <c r="F96" s="6"/>
      <c r="G96" s="450" cm="1">
        <f t="array" ref="G96">B67</f>
        <v>1000</v>
      </c>
      <c r="H96" s="447" cm="1">
        <f t="array" ref="H96">0.00098+H89</f>
        <v>0.000941</v>
      </c>
      <c r="I96" s="446">
        <v>0.00176</v>
      </c>
      <c r="J96" s="448" cm="1">
        <f t="array" ref="J96">I96/6</f>
        <v>0.000293333333333333</v>
      </c>
      <c r="K96" s="415" cm="1">
        <f t="array" ref="K96">I96/(3*SQRT(3))</f>
        <v>0.00033871215792458</v>
      </c>
      <c r="L96" s="401"/>
      <c r="M96" s="2"/>
      <c r="N96" s="6"/>
      <c r="O96" s="425" cm="1">
        <f t="array" ref="O96">B74</f>
        <v>0</v>
      </c>
      <c r="P96" s="426"/>
      <c r="Q96" s="427"/>
      <c r="R96" s="428" cm="1">
        <f t="array" ref="R96">P96/(SQRT(3))</f>
        <v>0</v>
      </c>
      <c r="S96" s="429"/>
      <c r="T96" s="286"/>
      <c r="U96" s="2"/>
      <c r="V96" s="2"/>
      <c r="W96" s="2"/>
      <c r="X96" s="2"/>
      <c r="Y96" s="2"/>
      <c r="Z96" s="2"/>
      <c r="AA96" s="2"/>
      <c r="AB96" s="2"/>
    </row>
    <row r="97" ht="15" customHeight="1">
      <c r="A97" s="2"/>
      <c r="B97" s="14"/>
      <c r="C97" s="2"/>
      <c r="D97" s="457"/>
      <c r="E97" s="457"/>
      <c r="F97" s="6"/>
      <c r="G97" s="450" cm="1">
        <f t="array" ref="G97">B68</f>
        <v>1200</v>
      </c>
      <c r="H97" s="447">
        <v>0.00108</v>
      </c>
      <c r="I97" s="446">
        <v>0.0019</v>
      </c>
      <c r="J97" s="448" cm="1">
        <f t="array" ref="J97">I97/6</f>
        <v>0.000316666666666667</v>
      </c>
      <c r="K97" s="415" cm="1">
        <f t="array" ref="K97">I97/(3*SQRT(3))</f>
        <v>0.000365655170486763</v>
      </c>
      <c r="L97" s="401"/>
      <c r="M97" t="s" s="458">
        <v>153</v>
      </c>
      <c r="N97" s="6"/>
      <c r="O97" s="459" cm="1">
        <f t="array" ref="O97">B75</f>
        <v>0</v>
      </c>
      <c r="P97" s="460"/>
      <c r="Q97" s="461"/>
      <c r="R97" s="462" cm="1">
        <f t="array" ref="R97">P97/(SQRT(3))</f>
        <v>0</v>
      </c>
      <c r="S97" s="463"/>
      <c r="T97" s="286"/>
      <c r="U97" s="2"/>
      <c r="V97" s="2"/>
      <c r="W97" s="2"/>
      <c r="X97" s="2"/>
      <c r="Y97" s="2"/>
      <c r="Z97" s="2"/>
      <c r="AA97" s="2"/>
      <c r="AB97" s="2"/>
    </row>
    <row r="98" ht="14.25" customHeight="1">
      <c r="A98" s="2"/>
      <c r="B98" s="464"/>
      <c r="C98" s="457"/>
      <c r="D98" s="457"/>
      <c r="E98" s="457"/>
      <c r="F98" s="6"/>
      <c r="G98" s="450" cm="1">
        <f t="array" ref="G98">B69</f>
        <v>0</v>
      </c>
      <c r="H98" s="447"/>
      <c r="I98" s="465"/>
      <c r="J98" s="448" cm="1">
        <f t="array" ref="J98">I98/6</f>
        <v>0</v>
      </c>
      <c r="K98" s="415" cm="1">
        <f t="array" ref="K98">I98/(3*SQRT(3))</f>
        <v>0</v>
      </c>
      <c r="L98" s="401"/>
      <c r="M98" s="2"/>
      <c r="N98" s="2"/>
      <c r="O98" s="48"/>
      <c r="P98" s="48"/>
      <c r="Q98" s="48"/>
      <c r="R98" s="48"/>
      <c r="S98" s="48"/>
      <c r="T98" s="2"/>
      <c r="U98" s="2"/>
      <c r="V98" s="2"/>
      <c r="W98" s="2"/>
      <c r="X98" s="2"/>
      <c r="Y98" s="2"/>
      <c r="Z98" s="2"/>
      <c r="AA98" s="2"/>
      <c r="AB98" s="2"/>
    </row>
    <row r="99" ht="15" customHeight="1">
      <c r="A99" s="2"/>
      <c r="B99" s="466"/>
      <c r="C99" s="457"/>
      <c r="D99" s="457"/>
      <c r="E99" s="457"/>
      <c r="F99" s="6"/>
      <c r="G99" s="450" cm="1">
        <f t="array" ref="G99">B70</f>
        <v>0</v>
      </c>
      <c r="H99" s="447"/>
      <c r="I99" s="446"/>
      <c r="J99" s="448" cm="1">
        <f t="array" ref="J99">I99/6</f>
        <v>0</v>
      </c>
      <c r="K99" s="415" cm="1">
        <f t="array" ref="K99">I99/(3*SQRT(3))</f>
        <v>0</v>
      </c>
      <c r="L99" s="401"/>
      <c r="M99" s="2"/>
      <c r="N99" s="2"/>
      <c r="O99" s="4"/>
      <c r="P99" s="4"/>
      <c r="Q99" s="4"/>
      <c r="R99" s="2"/>
      <c r="S99" s="2"/>
      <c r="T99" s="2"/>
      <c r="U99" s="2"/>
      <c r="V99" s="2"/>
      <c r="W99" s="2"/>
      <c r="X99" s="2"/>
      <c r="Y99" s="2"/>
      <c r="Z99" s="2"/>
      <c r="AA99" s="2"/>
      <c r="AB99" s="2"/>
    </row>
    <row r="100" ht="14.25" customHeight="1">
      <c r="A100" s="2"/>
      <c r="B100" s="467"/>
      <c r="C100" s="468"/>
      <c r="D100" s="468"/>
      <c r="E100" s="468"/>
      <c r="F100" s="6"/>
      <c r="G100" s="450" cm="1">
        <f t="array" ref="G100">B71</f>
        <v>0</v>
      </c>
      <c r="H100" s="446"/>
      <c r="I100" s="465"/>
      <c r="J100" s="448" cm="1">
        <f t="array" ref="J100">I100/6</f>
        <v>0</v>
      </c>
      <c r="K100" s="415" cm="1">
        <f t="array" ref="K100">I100/(3*SQRT(3))</f>
        <v>0</v>
      </c>
      <c r="L100" s="469"/>
      <c r="M100" s="2"/>
      <c r="N100" s="6"/>
      <c r="O100" t="s" s="470">
        <v>76</v>
      </c>
      <c r="P100" t="s" s="471">
        <v>139</v>
      </c>
      <c r="Q100" s="472"/>
      <c r="R100" s="24"/>
      <c r="S100" s="2"/>
      <c r="T100" s="2"/>
      <c r="U100" s="2"/>
      <c r="V100" s="2"/>
      <c r="W100" s="2"/>
      <c r="X100" s="2"/>
      <c r="Y100" s="2"/>
      <c r="Z100" s="2"/>
      <c r="AA100" s="2"/>
      <c r="AB100" s="2"/>
    </row>
    <row r="101" ht="14.25" customHeight="1">
      <c r="A101" s="2"/>
      <c r="B101" s="467"/>
      <c r="C101" s="473"/>
      <c r="D101" s="468"/>
      <c r="E101" s="468"/>
      <c r="F101" s="6"/>
      <c r="G101" s="450" cm="1">
        <f t="array" ref="G101">B72</f>
        <v>0</v>
      </c>
      <c r="H101" s="446"/>
      <c r="I101" s="474"/>
      <c r="J101" s="448" cm="1">
        <f t="array" ref="J101">I101/6</f>
        <v>0</v>
      </c>
      <c r="K101" s="415" cm="1">
        <f t="array" ref="K101">I101/(3*SQRT(3))</f>
        <v>0</v>
      </c>
      <c r="L101" s="469"/>
      <c r="M101" s="2"/>
      <c r="N101" s="6"/>
      <c r="O101" s="475"/>
      <c r="P101" s="476"/>
      <c r="Q101" s="477"/>
      <c r="R101" s="24"/>
      <c r="S101" s="2"/>
      <c r="T101" s="2"/>
      <c r="U101" s="2"/>
      <c r="V101" s="2"/>
      <c r="W101" s="2"/>
      <c r="X101" s="2"/>
      <c r="Y101" s="2"/>
      <c r="Z101" s="2"/>
      <c r="AA101" s="2"/>
      <c r="AB101" s="2"/>
    </row>
    <row r="102" ht="15" customHeight="1">
      <c r="A102" s="2"/>
      <c r="B102" s="478"/>
      <c r="C102" s="473"/>
      <c r="D102" s="468"/>
      <c r="E102" s="468"/>
      <c r="F102" s="6"/>
      <c r="G102" s="450" cm="1">
        <f t="array" ref="G102">B73</f>
        <v>0</v>
      </c>
      <c r="H102" s="446"/>
      <c r="I102" s="474"/>
      <c r="J102" s="448" cm="1">
        <f t="array" ref="J102">I102/6</f>
        <v>0</v>
      </c>
      <c r="K102" s="415" cm="1">
        <f t="array" ref="K102">I102/(3*SQRT(3))</f>
        <v>0</v>
      </c>
      <c r="L102" s="469"/>
      <c r="M102" s="2"/>
      <c r="N102" s="6"/>
      <c r="O102" s="479"/>
      <c r="P102" s="480"/>
      <c r="Q102" t="s" s="481">
        <v>154</v>
      </c>
      <c r="R102" s="24"/>
      <c r="S102" s="2"/>
      <c r="T102" s="2"/>
      <c r="U102" s="2"/>
      <c r="V102" s="2"/>
      <c r="W102" s="2"/>
      <c r="X102" s="2"/>
      <c r="Y102" s="2"/>
      <c r="Z102" s="2"/>
      <c r="AA102" s="2"/>
      <c r="AB102" s="2"/>
    </row>
    <row r="103" ht="15" customHeight="1">
      <c r="A103" s="2"/>
      <c r="B103" s="467"/>
      <c r="C103" s="473"/>
      <c r="D103" s="468"/>
      <c r="E103" s="468"/>
      <c r="F103" s="6"/>
      <c r="G103" s="482" cm="1">
        <f t="array" ref="G103">B74</f>
        <v>0</v>
      </c>
      <c r="H103" s="483"/>
      <c r="I103" s="484"/>
      <c r="J103" s="485" cm="1">
        <f t="array" ref="J103">I103/6</f>
        <v>0</v>
      </c>
      <c r="K103" s="434" cm="1">
        <f t="array" ref="K103">I103/(3*SQRT(3))</f>
        <v>0</v>
      </c>
      <c r="L103" s="469"/>
      <c r="M103" s="2"/>
      <c r="N103" s="6"/>
      <c r="O103" s="486" cm="1">
        <f t="array" ref="O103">B59</f>
        <v>5</v>
      </c>
      <c r="P103" s="487" cm="1">
        <f t="array" ref="P103">I88</f>
        <v>3e-05</v>
      </c>
      <c r="Q103" s="488" cm="1">
        <f t="array" ref="Q103">P103/(4*SQRT(3))</f>
        <v>4.33012701892219e-06</v>
      </c>
      <c r="R103" s="24"/>
      <c r="S103" s="2"/>
      <c r="T103" s="2"/>
      <c r="U103" s="2"/>
      <c r="V103" s="2"/>
      <c r="W103" s="2"/>
      <c r="X103" s="2"/>
      <c r="Y103" s="2"/>
      <c r="Z103" s="2"/>
      <c r="AA103" s="2"/>
      <c r="AB103" s="2"/>
    </row>
    <row r="104" ht="12.75" customHeight="1">
      <c r="A104" s="2"/>
      <c r="B104" s="2"/>
      <c r="C104" s="2"/>
      <c r="D104" s="2"/>
      <c r="E104" s="2"/>
      <c r="F104" s="2"/>
      <c r="G104" s="48"/>
      <c r="H104" s="48"/>
      <c r="I104" s="48"/>
      <c r="J104" s="48"/>
      <c r="K104" s="48"/>
      <c r="L104" s="2"/>
      <c r="M104" s="2"/>
      <c r="N104" s="6"/>
      <c r="O104" s="489" cm="1">
        <f t="array" ref="O104">B60</f>
        <v>10</v>
      </c>
      <c r="P104" s="490" cm="1">
        <f t="array" ref="P104">I89</f>
        <v>0.00016</v>
      </c>
      <c r="Q104" s="491" cm="1">
        <f t="array" ref="Q104">P104/(4*SQRT(3))</f>
        <v>2.3094010767585e-05</v>
      </c>
      <c r="R104" s="24"/>
      <c r="S104" s="2"/>
      <c r="T104" s="2"/>
      <c r="U104" s="2"/>
      <c r="V104" s="2"/>
      <c r="W104" s="2"/>
      <c r="X104" s="2"/>
      <c r="Y104" s="2"/>
      <c r="Z104" s="2"/>
      <c r="AA104" s="2"/>
      <c r="AB104" s="2"/>
    </row>
    <row r="105" ht="12.75" customHeight="1">
      <c r="A105" s="2"/>
      <c r="B105" s="2"/>
      <c r="C105" s="2"/>
      <c r="D105" s="2"/>
      <c r="E105" s="2"/>
      <c r="F105" s="2"/>
      <c r="G105" s="2"/>
      <c r="H105" s="2"/>
      <c r="I105" s="492"/>
      <c r="J105" s="2"/>
      <c r="K105" s="2"/>
      <c r="L105" s="2"/>
      <c r="M105" s="2"/>
      <c r="N105" s="6"/>
      <c r="O105" s="489" cm="1">
        <f t="array" ref="O105">B61</f>
        <v>15</v>
      </c>
      <c r="P105" s="490" cm="1">
        <f t="array" ref="P105">I90</f>
        <v>0.00046</v>
      </c>
      <c r="Q105" s="491" cm="1">
        <f t="array" ref="Q105">P105/(4*SQRT(3))</f>
        <v>6.6395280956807e-05</v>
      </c>
      <c r="R105" s="24"/>
      <c r="S105" s="2"/>
      <c r="T105" s="2"/>
      <c r="U105" s="2"/>
      <c r="V105" s="2"/>
      <c r="W105" s="2"/>
      <c r="X105" s="2"/>
      <c r="Y105" s="2"/>
      <c r="Z105" s="2"/>
      <c r="AA105" s="2"/>
      <c r="AB105" s="2"/>
    </row>
    <row r="106" ht="12.75" customHeight="1">
      <c r="A106" s="2"/>
      <c r="B106" s="2"/>
      <c r="C106" s="2"/>
      <c r="D106" s="2"/>
      <c r="E106" s="2"/>
      <c r="F106" s="2"/>
      <c r="G106" s="2"/>
      <c r="H106" s="2"/>
      <c r="I106" s="2"/>
      <c r="J106" s="2"/>
      <c r="K106" s="2"/>
      <c r="L106" s="2"/>
      <c r="M106" s="2"/>
      <c r="N106" s="6"/>
      <c r="O106" s="489" cm="1">
        <f t="array" ref="O106">B62</f>
        <v>100</v>
      </c>
      <c r="P106" s="490" cm="1">
        <f t="array" ref="P106">I91</f>
        <v>0.00062</v>
      </c>
      <c r="Q106" s="491" cm="1">
        <f t="array" ref="Q106">P106/(4*SQRT(3))</f>
        <v>8.948929172439199e-05</v>
      </c>
      <c r="R106" s="24"/>
      <c r="S106" s="2"/>
      <c r="T106" s="2"/>
      <c r="U106" s="2"/>
      <c r="V106" s="2"/>
      <c r="W106" s="2"/>
      <c r="X106" s="2"/>
      <c r="Y106" s="2"/>
      <c r="Z106" s="2"/>
      <c r="AA106" s="2"/>
      <c r="AB106" s="2"/>
    </row>
    <row r="107" ht="12.75" customHeight="1">
      <c r="A107" s="2"/>
      <c r="B107" s="2"/>
      <c r="C107" s="2"/>
      <c r="D107" s="2"/>
      <c r="E107" s="2"/>
      <c r="F107" s="2"/>
      <c r="G107" s="2"/>
      <c r="H107" s="2"/>
      <c r="I107" s="2"/>
      <c r="J107" s="2"/>
      <c r="K107" s="2"/>
      <c r="L107" s="2"/>
      <c r="M107" s="2"/>
      <c r="N107" s="6"/>
      <c r="O107" s="489" cm="1">
        <f t="array" ref="O107">B63</f>
        <v>150</v>
      </c>
      <c r="P107" s="490" cm="1">
        <f t="array" ref="P107">I92</f>
        <v>0.0008</v>
      </c>
      <c r="Q107" s="491" cm="1">
        <f t="array" ref="Q107">P107/(4*SQRT(3))</f>
        <v>0.000115470053837925</v>
      </c>
      <c r="R107" s="24"/>
      <c r="S107" s="2"/>
      <c r="T107" s="2"/>
      <c r="U107" s="2"/>
      <c r="V107" s="2"/>
      <c r="W107" s="2"/>
      <c r="X107" s="2"/>
      <c r="Y107" s="2"/>
      <c r="Z107" s="2"/>
      <c r="AA107" s="2"/>
      <c r="AB107" s="2"/>
    </row>
    <row r="108" ht="12.75" customHeight="1">
      <c r="A108" s="2"/>
      <c r="B108" s="2"/>
      <c r="C108" s="2"/>
      <c r="D108" s="2"/>
      <c r="E108" s="2"/>
      <c r="F108" s="2"/>
      <c r="G108" s="2"/>
      <c r="H108" s="2"/>
      <c r="I108" s="2"/>
      <c r="J108" s="2"/>
      <c r="K108" s="2"/>
      <c r="L108" s="2"/>
      <c r="M108" s="2"/>
      <c r="N108" s="6"/>
      <c r="O108" s="489" cm="1">
        <f t="array" ref="O108">B64</f>
        <v>500</v>
      </c>
      <c r="P108" s="490" cm="1">
        <f t="array" ref="P108">I93</f>
        <v>0.00096</v>
      </c>
      <c r="Q108" s="491" cm="1">
        <f t="array" ref="Q108">P108/(4*SQRT(3))</f>
        <v>0.00013856406460551</v>
      </c>
      <c r="R108" s="24"/>
      <c r="S108" s="2"/>
      <c r="T108" s="2"/>
      <c r="U108" s="2"/>
      <c r="V108" s="2"/>
      <c r="W108" s="2"/>
      <c r="X108" s="2"/>
      <c r="Y108" s="2"/>
      <c r="Z108" s="2"/>
      <c r="AA108" s="2"/>
      <c r="AB108" s="2"/>
    </row>
    <row r="109" ht="12.75" customHeight="1">
      <c r="A109" s="2"/>
      <c r="B109" s="2"/>
      <c r="C109" s="2"/>
      <c r="D109" s="2"/>
      <c r="E109" s="2"/>
      <c r="F109" s="2"/>
      <c r="G109" s="2"/>
      <c r="H109" s="2"/>
      <c r="I109" s="2"/>
      <c r="J109" s="2"/>
      <c r="K109" s="2"/>
      <c r="L109" s="2"/>
      <c r="M109" s="2"/>
      <c r="N109" s="6"/>
      <c r="O109" s="489" cm="1">
        <f t="array" ref="O109">B65</f>
        <v>800</v>
      </c>
      <c r="P109" s="490" cm="1">
        <f t="array" ref="P109">I94</f>
        <v>0.0011</v>
      </c>
      <c r="Q109" s="491" cm="1">
        <f t="array" ref="Q109">P109/(4*SQRT(3))</f>
        <v>0.000158771324027147</v>
      </c>
      <c r="R109" s="24"/>
      <c r="S109" s="2"/>
      <c r="T109" s="2"/>
      <c r="U109" s="2"/>
      <c r="V109" s="2"/>
      <c r="W109" s="2"/>
      <c r="X109" s="2"/>
      <c r="Y109" s="2"/>
      <c r="Z109" s="2"/>
      <c r="AA109" s="2"/>
      <c r="AB109" s="2"/>
    </row>
    <row r="110" ht="12.75" customHeight="1">
      <c r="A110" s="2"/>
      <c r="B110" s="2"/>
      <c r="C110" s="2"/>
      <c r="D110" s="2"/>
      <c r="E110" s="2"/>
      <c r="F110" s="2"/>
      <c r="G110" s="2"/>
      <c r="H110" s="2"/>
      <c r="I110" s="2"/>
      <c r="J110" s="2"/>
      <c r="K110" s="2"/>
      <c r="L110" s="2"/>
      <c r="M110" s="2"/>
      <c r="N110" s="6"/>
      <c r="O110" s="489" cm="1">
        <f t="array" ref="O110">B66</f>
        <v>900</v>
      </c>
      <c r="P110" s="490" cm="1">
        <f t="array" ref="P110">I95</f>
        <v>0.0014</v>
      </c>
      <c r="Q110" s="491" cm="1">
        <f t="array" ref="Q110">P110/(4*SQRT(3))</f>
        <v>0.000202072594216369</v>
      </c>
      <c r="R110" s="24"/>
      <c r="S110" s="2"/>
      <c r="T110" s="2"/>
      <c r="U110" s="2"/>
      <c r="V110" s="2"/>
      <c r="W110" s="2"/>
      <c r="X110" s="2"/>
      <c r="Y110" s="2"/>
      <c r="Z110" s="2"/>
      <c r="AA110" s="2"/>
      <c r="AB110" s="2"/>
    </row>
    <row r="111" ht="12.75" customHeight="1">
      <c r="A111" s="2"/>
      <c r="B111" s="2"/>
      <c r="C111" s="2"/>
      <c r="D111" s="2"/>
      <c r="E111" s="2"/>
      <c r="F111" s="2"/>
      <c r="G111" s="2"/>
      <c r="H111" s="2"/>
      <c r="I111" s="2"/>
      <c r="J111" s="2"/>
      <c r="K111" s="2"/>
      <c r="L111" s="2"/>
      <c r="M111" s="2"/>
      <c r="N111" s="6"/>
      <c r="O111" s="489" cm="1">
        <f t="array" ref="O111">B67</f>
        <v>1000</v>
      </c>
      <c r="P111" s="490" cm="1">
        <f t="array" ref="P111">I96</f>
        <v>0.00176</v>
      </c>
      <c r="Q111" s="491" cm="1">
        <f t="array" ref="Q111">P111/(4*SQRT(3))</f>
        <v>0.000254034118443435</v>
      </c>
      <c r="R111" s="24"/>
      <c r="S111" s="2"/>
      <c r="T111" s="2"/>
      <c r="U111" s="2"/>
      <c r="V111" s="2"/>
      <c r="W111" s="2"/>
      <c r="X111" s="2"/>
      <c r="Y111" s="2"/>
      <c r="Z111" s="2"/>
      <c r="AA111" s="2"/>
      <c r="AB111" s="2"/>
    </row>
    <row r="112" ht="12.75" customHeight="1">
      <c r="A112" s="2"/>
      <c r="B112" s="2"/>
      <c r="C112" s="2"/>
      <c r="D112" s="2"/>
      <c r="E112" s="2"/>
      <c r="F112" s="2"/>
      <c r="G112" s="2"/>
      <c r="H112" s="2"/>
      <c r="I112" s="2"/>
      <c r="J112" s="2"/>
      <c r="K112" s="2"/>
      <c r="L112" s="2"/>
      <c r="M112" s="2"/>
      <c r="N112" s="6"/>
      <c r="O112" s="489" cm="1">
        <f t="array" ref="O112">B68</f>
        <v>1200</v>
      </c>
      <c r="P112" s="490" cm="1">
        <f t="array" ref="P112">I97</f>
        <v>0.0019</v>
      </c>
      <c r="Q112" s="491" cm="1">
        <f t="array" ref="Q112">P112/(4*SQRT(3))</f>
        <v>0.000274241377865072</v>
      </c>
      <c r="R112" s="24"/>
      <c r="S112" s="2"/>
      <c r="T112" s="2"/>
      <c r="U112" s="2"/>
      <c r="V112" s="2"/>
      <c r="W112" s="2"/>
      <c r="X112" s="2"/>
      <c r="Y112" s="2"/>
      <c r="Z112" s="2"/>
      <c r="AA112" s="2"/>
      <c r="AB112" s="2"/>
    </row>
    <row r="113" ht="12.75" customHeight="1">
      <c r="A113" s="2"/>
      <c r="B113" s="2"/>
      <c r="C113" s="2"/>
      <c r="D113" s="2"/>
      <c r="E113" s="2"/>
      <c r="F113" s="2"/>
      <c r="G113" s="2"/>
      <c r="H113" s="2"/>
      <c r="I113" s="2"/>
      <c r="J113" s="2"/>
      <c r="K113" s="2"/>
      <c r="L113" s="2"/>
      <c r="M113" s="2"/>
      <c r="N113" s="6"/>
      <c r="O113" s="489" cm="1">
        <f t="array" ref="O113">B69</f>
        <v>0</v>
      </c>
      <c r="P113" s="490" cm="1">
        <f t="array" ref="P113">I98</f>
        <v>0</v>
      </c>
      <c r="Q113" s="491" cm="1">
        <f t="array" ref="Q113">P113/(4*SQRT(3))</f>
        <v>0</v>
      </c>
      <c r="R113" s="24"/>
      <c r="S113" s="2"/>
      <c r="T113" s="2"/>
      <c r="U113" s="2"/>
      <c r="V113" s="2"/>
      <c r="W113" s="2"/>
      <c r="X113" s="2"/>
      <c r="Y113" s="2"/>
      <c r="Z113" s="2"/>
      <c r="AA113" s="2"/>
      <c r="AB113" s="2"/>
    </row>
    <row r="114" ht="12.75" customHeight="1">
      <c r="A114" s="2"/>
      <c r="B114" s="2"/>
      <c r="C114" s="2"/>
      <c r="D114" s="2"/>
      <c r="E114" s="2"/>
      <c r="F114" s="2"/>
      <c r="G114" s="2"/>
      <c r="H114" s="2"/>
      <c r="I114" s="2"/>
      <c r="J114" s="2"/>
      <c r="K114" s="2"/>
      <c r="L114" s="2"/>
      <c r="M114" s="2"/>
      <c r="N114" s="6"/>
      <c r="O114" s="489" cm="1">
        <f t="array" ref="O114">B70</f>
        <v>0</v>
      </c>
      <c r="P114" s="490" cm="1">
        <f t="array" ref="P114">I99</f>
        <v>0</v>
      </c>
      <c r="Q114" s="491" cm="1">
        <f t="array" ref="Q114">P114/(4*SQRT(3))</f>
        <v>0</v>
      </c>
      <c r="R114" s="24"/>
      <c r="S114" s="2"/>
      <c r="T114" s="2"/>
      <c r="U114" s="2"/>
      <c r="V114" s="2"/>
      <c r="W114" s="2"/>
      <c r="X114" s="2"/>
      <c r="Y114" s="2"/>
      <c r="Z114" s="2"/>
      <c r="AA114" s="2"/>
      <c r="AB114" s="2"/>
    </row>
    <row r="115" ht="12.75" customHeight="1">
      <c r="A115" s="2"/>
      <c r="B115" s="2"/>
      <c r="C115" s="2"/>
      <c r="D115" s="2"/>
      <c r="E115" s="2"/>
      <c r="F115" s="2"/>
      <c r="G115" s="2"/>
      <c r="H115" s="2"/>
      <c r="I115" s="2"/>
      <c r="J115" s="2"/>
      <c r="K115" s="2"/>
      <c r="L115" s="2"/>
      <c r="M115" s="2"/>
      <c r="N115" s="6"/>
      <c r="O115" s="489" cm="1">
        <f t="array" ref="O115">B71</f>
        <v>0</v>
      </c>
      <c r="P115" s="490" cm="1">
        <f t="array" ref="P115">I100</f>
        <v>0</v>
      </c>
      <c r="Q115" s="491" cm="1">
        <f t="array" ref="Q115">P115/(4*SQRT(3))</f>
        <v>0</v>
      </c>
      <c r="R115" s="24"/>
      <c r="S115" s="2"/>
      <c r="T115" s="2"/>
      <c r="U115" s="2"/>
      <c r="V115" s="2"/>
      <c r="W115" s="2"/>
      <c r="X115" s="2"/>
      <c r="Y115" s="2"/>
      <c r="Z115" s="2"/>
      <c r="AA115" s="2"/>
      <c r="AB115" s="2"/>
    </row>
    <row r="116" ht="12.75" customHeight="1">
      <c r="A116" s="2"/>
      <c r="B116" s="2"/>
      <c r="C116" s="2"/>
      <c r="D116" s="2"/>
      <c r="E116" s="2"/>
      <c r="F116" s="2"/>
      <c r="G116" s="2"/>
      <c r="H116" s="2"/>
      <c r="I116" s="2"/>
      <c r="J116" s="2"/>
      <c r="K116" s="2"/>
      <c r="L116" s="2"/>
      <c r="M116" s="2"/>
      <c r="N116" s="6"/>
      <c r="O116" s="489" cm="1">
        <f t="array" ref="O116">B72</f>
        <v>0</v>
      </c>
      <c r="P116" s="490" cm="1">
        <f t="array" ref="P116">I101</f>
        <v>0</v>
      </c>
      <c r="Q116" s="491" cm="1">
        <f t="array" ref="Q116">P116/(4*SQRT(3))</f>
        <v>0</v>
      </c>
      <c r="R116" s="24"/>
      <c r="S116" s="2"/>
      <c r="T116" s="2"/>
      <c r="U116" s="2"/>
      <c r="V116" s="2"/>
      <c r="W116" s="2"/>
      <c r="X116" s="2"/>
      <c r="Y116" s="2"/>
      <c r="Z116" s="2"/>
      <c r="AA116" s="2"/>
      <c r="AB116" s="2"/>
    </row>
    <row r="117" ht="12.75" customHeight="1">
      <c r="A117" s="2"/>
      <c r="B117" s="2"/>
      <c r="C117" s="2"/>
      <c r="D117" s="2"/>
      <c r="E117" s="2"/>
      <c r="F117" s="2"/>
      <c r="G117" s="2"/>
      <c r="H117" s="2"/>
      <c r="I117" s="2"/>
      <c r="J117" s="2"/>
      <c r="K117" s="2"/>
      <c r="L117" s="2"/>
      <c r="M117" s="2"/>
      <c r="N117" s="6"/>
      <c r="O117" s="489" cm="1">
        <f t="array" ref="O117">B73</f>
        <v>0</v>
      </c>
      <c r="P117" s="490" cm="1">
        <f t="array" ref="P117">I102</f>
        <v>0</v>
      </c>
      <c r="Q117" s="491" cm="1">
        <f t="array" ref="Q117">P117/(4*SQRT(3))</f>
        <v>0</v>
      </c>
      <c r="R117" s="24"/>
      <c r="S117" s="2"/>
      <c r="T117" s="2"/>
      <c r="U117" s="2"/>
      <c r="V117" s="2"/>
      <c r="W117" s="2"/>
      <c r="X117" s="2"/>
      <c r="Y117" s="2"/>
      <c r="Z117" s="2"/>
      <c r="AA117" s="2"/>
      <c r="AB117" s="2"/>
    </row>
    <row r="118" ht="12.75" customHeight="1">
      <c r="A118" s="2"/>
      <c r="B118" s="2"/>
      <c r="C118" s="2"/>
      <c r="D118" s="2"/>
      <c r="E118" s="2"/>
      <c r="F118" s="2"/>
      <c r="G118" s="2"/>
      <c r="H118" s="2"/>
      <c r="I118" s="2"/>
      <c r="J118" s="2"/>
      <c r="K118" s="2"/>
      <c r="L118" s="2"/>
      <c r="M118" s="2"/>
      <c r="N118" s="6"/>
      <c r="O118" s="489" cm="1">
        <f t="array" ref="O118">B74</f>
        <v>0</v>
      </c>
      <c r="P118" s="490" cm="1">
        <f t="array" ref="P118">I103</f>
        <v>0</v>
      </c>
      <c r="Q118" s="491" cm="1">
        <f t="array" ref="Q118">P118/(4*SQRT(3))</f>
        <v>0</v>
      </c>
      <c r="R118" s="24"/>
      <c r="S118" s="2"/>
      <c r="T118" s="2"/>
      <c r="U118" s="2"/>
      <c r="V118" s="2"/>
      <c r="W118" s="2"/>
      <c r="X118" s="2"/>
      <c r="Y118" s="2"/>
      <c r="Z118" s="2"/>
      <c r="AA118" s="2"/>
      <c r="AB118" s="2"/>
    </row>
    <row r="119" ht="13.5" customHeight="1">
      <c r="A119" s="2"/>
      <c r="B119" s="2"/>
      <c r="C119" s="2"/>
      <c r="D119" s="2"/>
      <c r="E119" s="2"/>
      <c r="F119" s="2"/>
      <c r="G119" s="2"/>
      <c r="H119" s="2"/>
      <c r="I119" s="2"/>
      <c r="J119" s="2"/>
      <c r="K119" s="2"/>
      <c r="L119" s="2"/>
      <c r="M119" s="2"/>
      <c r="N119" s="6"/>
      <c r="O119" s="489" cm="1">
        <f t="array" ref="O119">B75</f>
        <v>0</v>
      </c>
      <c r="P119" s="490" cm="1">
        <f t="array" ref="P119">I104</f>
        <v>0</v>
      </c>
      <c r="Q119" s="493" cm="1">
        <f t="array" ref="Q119">P119/(4*SQRT(3))</f>
        <v>0</v>
      </c>
      <c r="R119" s="24"/>
      <c r="S119" s="2"/>
      <c r="T119" s="2"/>
      <c r="U119" s="2"/>
      <c r="V119" s="2"/>
      <c r="W119" s="2"/>
      <c r="X119" s="2"/>
      <c r="Y119" s="2"/>
      <c r="Z119" s="2"/>
      <c r="AA119" s="2"/>
      <c r="AB119" s="2"/>
    </row>
  </sheetData>
  <mergeCells count="131">
    <mergeCell ref="Q19:R19"/>
    <mergeCell ref="Q20:R20"/>
    <mergeCell ref="Q29:R29"/>
    <mergeCell ref="A30:B30"/>
    <mergeCell ref="K30:L30"/>
    <mergeCell ref="Q30:R30"/>
    <mergeCell ref="Q10:S10"/>
    <mergeCell ref="A11:B11"/>
    <mergeCell ref="A12:B12"/>
    <mergeCell ref="A13:B13"/>
    <mergeCell ref="Q17:R17"/>
    <mergeCell ref="Q18:R18"/>
    <mergeCell ref="I8:O9"/>
    <mergeCell ref="R8:S8"/>
    <mergeCell ref="A10:F10"/>
    <mergeCell ref="I10:I12"/>
    <mergeCell ref="J10:J12"/>
    <mergeCell ref="K10:K12"/>
    <mergeCell ref="L10:L12"/>
    <mergeCell ref="M10:M12"/>
    <mergeCell ref="N10:N12"/>
    <mergeCell ref="O10:O12"/>
    <mergeCell ref="A14:B14"/>
    <mergeCell ref="T20:T22"/>
    <mergeCell ref="U20:U21"/>
    <mergeCell ref="K21:O21"/>
    <mergeCell ref="Q21:R21"/>
    <mergeCell ref="M22:N22"/>
    <mergeCell ref="O22:O23"/>
    <mergeCell ref="Q22:R22"/>
    <mergeCell ref="M23:N23"/>
    <mergeCell ref="Q28:R28"/>
    <mergeCell ref="Q31:R31"/>
    <mergeCell ref="Q23:R23"/>
    <mergeCell ref="Q24:R24"/>
    <mergeCell ref="L25:L26"/>
    <mergeCell ref="Q25:R25"/>
    <mergeCell ref="Q26:R26"/>
    <mergeCell ref="Q27:R27"/>
    <mergeCell ref="Q32:R32"/>
    <mergeCell ref="A35:B35"/>
    <mergeCell ref="G35:K36"/>
    <mergeCell ref="M35:Q36"/>
    <mergeCell ref="A36:D36"/>
    <mergeCell ref="A37:A38"/>
    <mergeCell ref="G37:H37"/>
    <mergeCell ref="J37:K37"/>
    <mergeCell ref="P37:Q37"/>
    <mergeCell ref="G38:G39"/>
    <mergeCell ref="H42:I42"/>
    <mergeCell ref="J42:K42"/>
    <mergeCell ref="N42:O42"/>
    <mergeCell ref="P42:Q42"/>
    <mergeCell ref="P40:Q40"/>
    <mergeCell ref="H43:I43"/>
    <mergeCell ref="J43:K43"/>
    <mergeCell ref="N43:O43"/>
    <mergeCell ref="P43:Q43"/>
    <mergeCell ref="C39:D39"/>
    <mergeCell ref="H40:I40"/>
    <mergeCell ref="J40:K40"/>
    <mergeCell ref="L40:L41"/>
    <mergeCell ref="N40:O40"/>
    <mergeCell ref="P41:Q41"/>
    <mergeCell ref="H41:I41"/>
    <mergeCell ref="J41:K41"/>
    <mergeCell ref="N41:O41"/>
    <mergeCell ref="H38:I39"/>
    <mergeCell ref="J38:K39"/>
    <mergeCell ref="L38:L39"/>
    <mergeCell ref="M38:M39"/>
    <mergeCell ref="N38:O39"/>
    <mergeCell ref="P38:Q39"/>
    <mergeCell ref="G54:G55"/>
    <mergeCell ref="I54:S55"/>
    <mergeCell ref="B56:D56"/>
    <mergeCell ref="C57:C58"/>
    <mergeCell ref="D57:D58"/>
    <mergeCell ref="O77:S77"/>
    <mergeCell ref="A44:B44"/>
    <mergeCell ref="H44:I44"/>
    <mergeCell ref="J44:K44"/>
    <mergeCell ref="N44:O44"/>
    <mergeCell ref="P44:Q44"/>
    <mergeCell ref="H45:I45"/>
    <mergeCell ref="N45:O45"/>
    <mergeCell ref="P80:Q80"/>
    <mergeCell ref="R80:S80"/>
    <mergeCell ref="P81:Q81"/>
    <mergeCell ref="R81:S81"/>
    <mergeCell ref="P82:Q82"/>
    <mergeCell ref="R82:S82"/>
    <mergeCell ref="T77:AB77"/>
    <mergeCell ref="P78:Q78"/>
    <mergeCell ref="R78:S79"/>
    <mergeCell ref="T78:T79"/>
    <mergeCell ref="U78:AB78"/>
    <mergeCell ref="P79:Q79"/>
    <mergeCell ref="P86:Q86"/>
    <mergeCell ref="R86:S86"/>
    <mergeCell ref="P87:Q87"/>
    <mergeCell ref="R87:S87"/>
    <mergeCell ref="P88:Q88"/>
    <mergeCell ref="R88:S88"/>
    <mergeCell ref="P83:Q83"/>
    <mergeCell ref="R83:S83"/>
    <mergeCell ref="P84:Q84"/>
    <mergeCell ref="R84:S84"/>
    <mergeCell ref="P85:Q85"/>
    <mergeCell ref="R85:S85"/>
    <mergeCell ref="P92:Q92"/>
    <mergeCell ref="R92:S92"/>
    <mergeCell ref="P93:Q93"/>
    <mergeCell ref="R93:S93"/>
    <mergeCell ref="P94:Q94"/>
    <mergeCell ref="R94:S94"/>
    <mergeCell ref="P89:Q89"/>
    <mergeCell ref="R89:S89"/>
    <mergeCell ref="P90:Q90"/>
    <mergeCell ref="R90:S90"/>
    <mergeCell ref="P91:Q91"/>
    <mergeCell ref="R91:S91"/>
    <mergeCell ref="O100:O102"/>
    <mergeCell ref="P100:P102"/>
    <mergeCell ref="Q100:Q101"/>
    <mergeCell ref="P95:Q95"/>
    <mergeCell ref="R95:S95"/>
    <mergeCell ref="P96:Q96"/>
    <mergeCell ref="R96:S96"/>
    <mergeCell ref="P97:Q97"/>
    <mergeCell ref="R97:S97"/>
  </mergeCells>
  <conditionalFormatting sqref="G10">
    <cfRule type="cellIs" dxfId="0" priority="1" operator="between" stopIfTrue="1">
      <formula>1</formula>
      <formula>100</formula>
    </cfRule>
  </conditionalFormatting>
  <conditionalFormatting sqref="I10">
    <cfRule type="cellIs" dxfId="1" priority="1" operator="equal" stopIfTrue="1">
      <formula>"error"</formula>
    </cfRule>
  </conditionalFormatting>
  <conditionalFormatting sqref="G12:G17">
    <cfRule type="cellIs" dxfId="2" priority="1" operator="equal" stopIfTrue="1">
      <formula>"Vigente"</formula>
    </cfRule>
    <cfRule type="cellIs" dxfId="3" priority="2" operator="notEqual" stopIfTrue="1">
      <formula>"sin datos"</formula>
    </cfRule>
  </conditionalFormatting>
  <conditionalFormatting sqref="G20">
    <cfRule type="cellIs" dxfId="4" priority="1" operator="equal" stopIfTrue="1">
      <formula>"correctos"</formula>
    </cfRule>
  </conditionalFormatting>
  <pageMargins left="0.15748" right="0.15748" top="0.393701" bottom="0.393701" header="0.511811" footer="0.511811"/>
  <pageSetup firstPageNumber="1" fitToHeight="1" fitToWidth="1" scale="100" useFirstPageNumber="0" orientation="portrait" pageOrder="downThenOver"/>
  <headerFooter>
    <oddHeader>&amp;L&amp;"Arial,Regular"&amp;10&amp;K000000CALCULOS</oddHeader>
  </headerFooter>
  <drawing r:id="rId1"/>
  <legacyDrawing r:id="rId2"/>
</worksheet>
</file>

<file path=xl/worksheets/sheet3.xml><?xml version="1.0" encoding="utf-8"?>
<worksheet xmlns:r="http://schemas.openxmlformats.org/officeDocument/2006/relationships" xmlns="http://schemas.openxmlformats.org/spreadsheetml/2006/main">
  <dimension ref="A1:U66"/>
  <sheetViews>
    <sheetView workbookViewId="0" showGridLines="0" defaultGridColor="1"/>
  </sheetViews>
  <sheetFormatPr defaultColWidth="9.16667" defaultRowHeight="12.75" customHeight="1" outlineLevelRow="0" outlineLevelCol="0"/>
  <cols>
    <col min="1" max="1" width="3.17188" style="494" customWidth="1"/>
    <col min="2" max="2" width="4.35156" style="494" customWidth="1"/>
    <col min="3" max="3" width="11.5" style="494" customWidth="1"/>
    <col min="4" max="6" width="18.6719" style="494" customWidth="1"/>
    <col min="7" max="7" width="20.1719" style="494" customWidth="1"/>
    <col min="8" max="8" width="2.5" style="494" customWidth="1"/>
    <col min="9" max="9" width="21.5" style="494" customWidth="1"/>
    <col min="10" max="10" width="15" style="494" customWidth="1"/>
    <col min="11" max="11" width="4.35156" style="494" customWidth="1"/>
    <col min="12" max="12" width="2.35156" style="494" customWidth="1"/>
    <col min="13" max="17" width="3.5" style="494" customWidth="1"/>
    <col min="18" max="21" width="9.17188" style="494" customWidth="1"/>
    <col min="22" max="16384" width="9.17188" style="494" customWidth="1"/>
  </cols>
  <sheetData>
    <row r="1" ht="39.75" customHeight="1">
      <c r="A1" t="s" s="495">
        <v>155</v>
      </c>
      <c r="B1" t="s" s="496">
        <v>156</v>
      </c>
      <c r="C1" t="s" s="496">
        <v>157</v>
      </c>
      <c r="D1" t="s" s="496">
        <v>158</v>
      </c>
      <c r="E1" t="s" s="496">
        <v>159</v>
      </c>
      <c r="F1" t="s" s="496">
        <v>160</v>
      </c>
      <c r="G1" t="s" s="497">
        <v>161</v>
      </c>
      <c r="H1" t="s" s="497">
        <v>162</v>
      </c>
      <c r="I1" t="s" s="497">
        <v>163</v>
      </c>
      <c r="J1" t="s" s="497">
        <v>164</v>
      </c>
      <c r="K1" s="498">
        <v>46070</v>
      </c>
      <c r="L1" s="498">
        <v>46070</v>
      </c>
      <c r="M1" s="498" cm="1">
        <f t="array" ref="M1">K1+180</f>
        <v>46250</v>
      </c>
      <c r="N1" s="498">
        <v>46070</v>
      </c>
      <c r="O1" s="499"/>
      <c r="P1" s="499"/>
      <c r="Q1" s="499"/>
      <c r="R1" s="499"/>
      <c r="S1" s="499"/>
      <c r="T1" s="499"/>
      <c r="U1" s="500"/>
    </row>
    <row r="2" ht="18.75" customHeight="1">
      <c r="A2" s="501"/>
      <c r="B2" s="502"/>
      <c r="C2" s="502"/>
      <c r="D2" s="502"/>
      <c r="E2" s="502"/>
      <c r="F2" s="503"/>
      <c r="G2" s="504"/>
      <c r="H2" s="504"/>
      <c r="I2" s="505"/>
      <c r="J2" s="505"/>
      <c r="K2" s="506"/>
      <c r="L2" s="506"/>
      <c r="M2" s="507"/>
      <c r="N2" s="507"/>
      <c r="O2" s="507"/>
      <c r="P2" s="507"/>
      <c r="Q2" s="507"/>
      <c r="R2" s="507"/>
      <c r="S2" s="507"/>
      <c r="T2" s="507"/>
      <c r="U2" s="508"/>
    </row>
    <row r="3" ht="48" customHeight="1">
      <c r="A3" s="501"/>
      <c r="B3" t="s" s="509">
        <v>165</v>
      </c>
      <c r="C3" s="510"/>
      <c r="D3" s="510"/>
      <c r="E3" s="510"/>
      <c r="F3" s="510"/>
      <c r="G3" t="s" s="511">
        <v>166</v>
      </c>
      <c r="H3" s="512"/>
      <c r="I3" t="str" s="513" cm="1">
        <f t="array" ref="I3">A1</f>
        <v>M-MK-0497/26</v>
      </c>
      <c r="J3" s="513"/>
      <c r="K3" s="514"/>
      <c r="L3" s="506"/>
      <c r="M3" s="507"/>
      <c r="N3" s="507"/>
      <c r="O3" s="507"/>
      <c r="P3" s="507"/>
      <c r="Q3" s="507"/>
      <c r="R3" s="507"/>
      <c r="S3" s="507"/>
      <c r="T3" s="507"/>
      <c r="U3" s="508"/>
    </row>
    <row r="4" ht="18.75" customHeight="1">
      <c r="A4" s="501"/>
      <c r="B4" s="515"/>
      <c r="C4" s="515"/>
      <c r="D4" s="515"/>
      <c r="E4" s="515"/>
      <c r="F4" s="516"/>
      <c r="G4" s="504"/>
      <c r="H4" s="503"/>
      <c r="I4" s="503"/>
      <c r="J4" s="503"/>
      <c r="K4" s="503"/>
      <c r="L4" s="506"/>
      <c r="M4" s="507"/>
      <c r="N4" s="507"/>
      <c r="O4" s="507"/>
      <c r="P4" s="507"/>
      <c r="Q4" s="507"/>
      <c r="R4" s="517"/>
      <c r="S4" s="517"/>
      <c r="T4" s="517"/>
      <c r="U4" s="518"/>
    </row>
    <row r="5" ht="27" customHeight="1">
      <c r="A5" s="501"/>
      <c r="B5" s="519"/>
      <c r="C5" t="s" s="520">
        <v>168</v>
      </c>
      <c r="D5" s="502"/>
      <c r="E5" s="502"/>
      <c r="F5" s="506"/>
      <c r="G5" s="506"/>
      <c r="H5" s="506"/>
      <c r="I5" t="s" s="521">
        <v>169</v>
      </c>
      <c r="J5" s="522" cm="1">
        <f t="array" ref="J5">K1</f>
        <v>46070</v>
      </c>
      <c r="K5" s="506"/>
      <c r="L5" s="506"/>
      <c r="M5" s="507"/>
      <c r="N5" s="507"/>
      <c r="O5" s="507"/>
      <c r="P5" s="507"/>
      <c r="Q5" s="507"/>
      <c r="R5" s="523"/>
      <c r="S5" s="524"/>
      <c r="T5" s="525"/>
      <c r="U5" s="518"/>
    </row>
    <row r="6" ht="27.75" customHeight="1">
      <c r="A6" s="526"/>
      <c r="B6" s="519"/>
      <c r="C6" t="s" s="527">
        <v>170</v>
      </c>
      <c r="D6" t="str" s="528" cm="1">
        <f t="array" ref="D6">G1</f>
        <v>RECICLADORA INDUSTRIAL DE ACUMULADORES, S.A. DE C.V.</v>
      </c>
      <c r="E6" s="528"/>
      <c r="F6" s="528"/>
      <c r="G6" s="528"/>
      <c r="H6" s="528"/>
      <c r="I6" t="s" s="521">
        <v>172</v>
      </c>
      <c r="J6" s="522" cm="1">
        <f t="array" ref="J6">L1</f>
        <v>46070</v>
      </c>
      <c r="K6" s="506"/>
      <c r="L6" s="506"/>
      <c r="M6" s="507"/>
      <c r="N6" s="507"/>
      <c r="O6" s="507"/>
      <c r="P6" s="507"/>
      <c r="Q6" s="507"/>
      <c r="R6" s="507"/>
      <c r="S6" s="507"/>
      <c r="T6" s="507"/>
      <c r="U6" s="508"/>
    </row>
    <row r="7" ht="24.75" customHeight="1">
      <c r="A7" s="526"/>
      <c r="B7" s="506"/>
      <c r="C7" t="s" s="527">
        <v>173</v>
      </c>
      <c r="D7" t="str" s="529" cm="1">
        <f t="array" ref="D7">H1</f>
        <v>CARRETERA A GARCIA KM.1.2 S/N CP. 66350 </v>
      </c>
      <c r="E7" s="529"/>
      <c r="F7" s="529"/>
      <c r="G7" s="529"/>
      <c r="H7" s="528"/>
      <c r="I7" t="s" s="521">
        <v>175</v>
      </c>
      <c r="J7" s="530" cm="1">
        <f t="array" ref="J7">M1</f>
        <v>46250</v>
      </c>
      <c r="K7" s="506"/>
      <c r="L7" s="506"/>
      <c r="M7" s="507"/>
      <c r="N7" s="507"/>
      <c r="O7" s="507"/>
      <c r="P7" s="507"/>
      <c r="Q7" s="507"/>
      <c r="R7" s="507"/>
      <c r="S7" s="507"/>
      <c r="T7" s="507"/>
      <c r="U7" s="508"/>
    </row>
    <row r="8" ht="24.75" customHeight="1">
      <c r="A8" s="526"/>
      <c r="B8" s="506"/>
      <c r="C8" s="531"/>
      <c r="D8" t="str" s="529" cm="1">
        <f t="array" ref="D8">CONCATENATE(I1,", ",J1)</f>
        <v>SANTA CATARINA , NUEVO LEÓN</v>
      </c>
      <c r="E8" s="529"/>
      <c r="F8" s="529"/>
      <c r="G8" s="529"/>
      <c r="H8" s="528"/>
      <c r="I8" t="s" s="521">
        <v>177</v>
      </c>
      <c r="J8" s="522" cm="1">
        <f t="array" ref="J8">N1</f>
        <v>46070</v>
      </c>
      <c r="K8" s="506"/>
      <c r="L8" s="506"/>
      <c r="M8" s="507"/>
      <c r="N8" s="507"/>
      <c r="O8" s="507"/>
      <c r="P8" s="507"/>
      <c r="Q8" s="507"/>
      <c r="R8" s="507"/>
      <c r="S8" s="507"/>
      <c r="T8" s="507"/>
      <c r="U8" s="508"/>
    </row>
    <row r="9" ht="19.5" customHeight="1">
      <c r="A9" s="526"/>
      <c r="B9" s="506"/>
      <c r="C9" s="531"/>
      <c r="D9" s="507"/>
      <c r="E9" s="507"/>
      <c r="F9" s="507"/>
      <c r="G9" s="507"/>
      <c r="H9" s="528"/>
      <c r="I9" t="s" s="511">
        <v>178</v>
      </c>
      <c r="J9" t="s" s="532">
        <v>179</v>
      </c>
      <c r="K9" s="506"/>
      <c r="L9" s="506"/>
      <c r="M9" s="507"/>
      <c r="N9" s="507"/>
      <c r="O9" s="507"/>
      <c r="P9" s="507"/>
      <c r="Q9" s="507"/>
      <c r="R9" s="507"/>
      <c r="S9" s="507"/>
      <c r="T9" s="507"/>
      <c r="U9" s="508"/>
    </row>
    <row r="10" ht="23.25" customHeight="1">
      <c r="A10" s="501"/>
      <c r="B10" s="502"/>
      <c r="C10" s="533"/>
      <c r="D10" s="506"/>
      <c r="E10" s="506"/>
      <c r="F10" s="502"/>
      <c r="G10" s="506"/>
      <c r="H10" s="506"/>
      <c r="I10" s="506"/>
      <c r="J10" s="506"/>
      <c r="K10" s="506"/>
      <c r="L10" s="506"/>
      <c r="M10" s="507"/>
      <c r="N10" s="507"/>
      <c r="O10" s="507"/>
      <c r="P10" s="507"/>
      <c r="Q10" s="507"/>
      <c r="R10" s="507"/>
      <c r="S10" s="507"/>
      <c r="T10" s="507"/>
      <c r="U10" s="508"/>
    </row>
    <row r="11" ht="22.5" customHeight="1">
      <c r="A11" s="526"/>
      <c r="B11" s="506"/>
      <c r="C11" t="s" s="534">
        <v>180</v>
      </c>
      <c r="D11" s="506"/>
      <c r="E11" s="535"/>
      <c r="F11" s="506"/>
      <c r="G11" s="506"/>
      <c r="H11" s="506"/>
      <c r="I11" s="506"/>
      <c r="J11" s="506"/>
      <c r="K11" s="506"/>
      <c r="L11" s="506"/>
      <c r="M11" s="507"/>
      <c r="N11" s="507"/>
      <c r="O11" s="507"/>
      <c r="P11" s="507"/>
      <c r="Q11" s="507"/>
      <c r="R11" s="507"/>
      <c r="S11" s="507"/>
      <c r="T11" s="507"/>
      <c r="U11" s="508"/>
    </row>
    <row r="12" ht="18" customHeight="1">
      <c r="A12" s="526"/>
      <c r="B12" s="506"/>
      <c r="C12" s="506"/>
      <c r="D12" s="506"/>
      <c r="E12" s="506"/>
      <c r="F12" s="506"/>
      <c r="G12" s="506"/>
      <c r="H12" t="s" s="536">
        <v>181</v>
      </c>
      <c r="I12" t="s" s="527">
        <v>182</v>
      </c>
      <c r="J12" s="531"/>
      <c r="K12" s="506"/>
      <c r="L12" s="506"/>
      <c r="M12" s="507"/>
      <c r="N12" s="507"/>
      <c r="O12" s="507"/>
      <c r="P12" s="507"/>
      <c r="Q12" s="507"/>
      <c r="R12" s="507"/>
      <c r="S12" s="507"/>
      <c r="T12" s="507"/>
      <c r="U12" s="508"/>
    </row>
    <row r="13" ht="15.75" customHeight="1">
      <c r="A13" s="526"/>
      <c r="B13" s="506"/>
      <c r="C13" t="s" s="537">
        <v>183</v>
      </c>
      <c r="D13" t="str" s="531" cm="1">
        <f t="array" ref="D13">B1</f>
        <v>BALANZA DIGITAL DE 1 220 g</v>
      </c>
      <c r="E13" s="531"/>
      <c r="F13" s="531"/>
      <c r="G13" s="528"/>
      <c r="H13" s="506"/>
      <c r="I13" s="506"/>
      <c r="J13" s="533"/>
      <c r="K13" s="533"/>
      <c r="L13" s="506"/>
      <c r="M13" s="507"/>
      <c r="N13" s="507"/>
      <c r="O13" s="507"/>
      <c r="P13" s="507"/>
      <c r="Q13" s="507"/>
      <c r="R13" s="507"/>
      <c r="S13" s="507"/>
      <c r="T13" s="507"/>
      <c r="U13" s="508"/>
    </row>
    <row r="14" ht="13.5" customHeight="1">
      <c r="A14" s="526"/>
      <c r="B14" s="506"/>
      <c r="C14" t="s" s="538">
        <v>185</v>
      </c>
      <c r="D14" s="528"/>
      <c r="E14" s="531"/>
      <c r="F14" s="531"/>
      <c r="G14" t="s" s="539">
        <v>186</v>
      </c>
      <c r="H14" s="540"/>
      <c r="I14" s="541">
        <v>23.8</v>
      </c>
      <c r="J14" s="533"/>
      <c r="K14" s="533"/>
      <c r="L14" s="506"/>
      <c r="M14" s="507"/>
      <c r="N14" s="507"/>
      <c r="O14" s="507"/>
      <c r="P14" s="507"/>
      <c r="Q14" s="507"/>
      <c r="R14" s="507"/>
      <c r="S14" s="507"/>
      <c r="T14" s="507"/>
      <c r="U14" s="508"/>
    </row>
    <row r="15" ht="11.1" customHeight="1">
      <c r="A15" s="526"/>
      <c r="B15" s="506"/>
      <c r="C15" t="s" s="537">
        <v>187</v>
      </c>
      <c r="D15" t="str" s="531" cm="1">
        <f t="array" ref="D15">C1</f>
        <v>AND</v>
      </c>
      <c r="E15" s="531"/>
      <c r="F15" s="531"/>
      <c r="G15" t="s" s="538">
        <v>189</v>
      </c>
      <c r="H15" s="540"/>
      <c r="I15" s="533"/>
      <c r="J15" s="506"/>
      <c r="K15" s="506"/>
      <c r="L15" s="506"/>
      <c r="M15" s="507"/>
      <c r="N15" s="507"/>
      <c r="O15" s="507"/>
      <c r="P15" s="507"/>
      <c r="Q15" s="507"/>
      <c r="R15" s="507"/>
      <c r="S15" s="507"/>
      <c r="T15" s="507"/>
      <c r="U15" s="508"/>
    </row>
    <row r="16" ht="14.25" customHeight="1">
      <c r="A16" s="526"/>
      <c r="B16" s="506"/>
      <c r="C16" t="s" s="538">
        <v>190</v>
      </c>
      <c r="D16" s="528"/>
      <c r="E16" s="531"/>
      <c r="F16" s="528"/>
      <c r="G16" t="s" s="539">
        <v>191</v>
      </c>
      <c r="H16" s="506"/>
      <c r="I16" s="542">
        <v>0.418</v>
      </c>
      <c r="J16" s="506"/>
      <c r="K16" s="506"/>
      <c r="L16" s="506"/>
      <c r="M16" s="507"/>
      <c r="N16" s="507"/>
      <c r="O16" s="507"/>
      <c r="P16" s="507"/>
      <c r="Q16" s="507"/>
      <c r="R16" s="507"/>
      <c r="S16" s="507"/>
      <c r="T16" s="507"/>
      <c r="U16" s="508"/>
    </row>
    <row r="17" ht="11.1" customHeight="1">
      <c r="A17" s="526"/>
      <c r="B17" s="506"/>
      <c r="C17" t="s" s="537">
        <v>192</v>
      </c>
      <c r="D17" t="str" s="531" cm="1">
        <f t="array" ref="D17">D1</f>
        <v>GF-1202A</v>
      </c>
      <c r="E17" s="531"/>
      <c r="F17" s="531"/>
      <c r="G17" t="s" s="538">
        <v>194</v>
      </c>
      <c r="H17" s="506"/>
      <c r="I17" s="506"/>
      <c r="J17" s="543"/>
      <c r="K17" s="543"/>
      <c r="L17" s="506"/>
      <c r="M17" s="507"/>
      <c r="N17" s="507"/>
      <c r="O17" s="507"/>
      <c r="P17" s="507"/>
      <c r="Q17" s="507"/>
      <c r="R17" s="507"/>
      <c r="S17" s="507"/>
      <c r="T17" s="507"/>
      <c r="U17" s="508"/>
    </row>
    <row r="18" ht="11.1" customHeight="1">
      <c r="A18" s="526"/>
      <c r="B18" s="506"/>
      <c r="C18" t="s" s="538">
        <v>195</v>
      </c>
      <c r="D18" s="528"/>
      <c r="E18" s="531"/>
      <c r="F18" s="531"/>
      <c r="G18" s="506"/>
      <c r="H18" s="506"/>
      <c r="I18" s="506"/>
      <c r="J18" s="533"/>
      <c r="K18" s="528"/>
      <c r="L18" s="506"/>
      <c r="M18" s="507"/>
      <c r="N18" s="507"/>
      <c r="O18" s="507"/>
      <c r="P18" s="507"/>
      <c r="Q18" s="507"/>
      <c r="R18" s="507"/>
      <c r="S18" s="507"/>
      <c r="T18" s="507"/>
      <c r="U18" s="508"/>
    </row>
    <row r="19" ht="11.1" customHeight="1">
      <c r="A19" s="526"/>
      <c r="B19" s="506"/>
      <c r="C19" t="s" s="537">
        <v>196</v>
      </c>
      <c r="D19" t="str" s="531" cm="1">
        <f t="array" ref="D19">E1</f>
        <v>T2118597</v>
      </c>
      <c r="E19" s="531"/>
      <c r="F19" s="531"/>
      <c r="G19" s="506"/>
      <c r="H19" s="506"/>
      <c r="I19" s="506"/>
      <c r="J19" s="531"/>
      <c r="K19" s="528"/>
      <c r="L19" s="506"/>
      <c r="M19" s="507"/>
      <c r="N19" s="507"/>
      <c r="O19" s="507"/>
      <c r="P19" s="507"/>
      <c r="Q19" s="507"/>
      <c r="R19" s="507"/>
      <c r="S19" s="507"/>
      <c r="T19" s="507"/>
      <c r="U19" s="544"/>
    </row>
    <row r="20" ht="11.1" customHeight="1">
      <c r="A20" s="526"/>
      <c r="B20" s="506"/>
      <c r="C20" t="s" s="538">
        <v>198</v>
      </c>
      <c r="D20" s="531"/>
      <c r="E20" s="531"/>
      <c r="F20" s="528"/>
      <c r="G20" s="506"/>
      <c r="H20" s="506"/>
      <c r="I20" s="506"/>
      <c r="J20" s="506"/>
      <c r="K20" s="506"/>
      <c r="L20" s="506"/>
      <c r="M20" s="507"/>
      <c r="N20" s="507"/>
      <c r="O20" s="507"/>
      <c r="P20" s="507"/>
      <c r="Q20" s="507"/>
      <c r="R20" s="507"/>
      <c r="S20" s="507"/>
      <c r="T20" s="507"/>
      <c r="U20" s="508"/>
    </row>
    <row r="21" ht="11.1" customHeight="1">
      <c r="A21" s="526"/>
      <c r="B21" s="506"/>
      <c r="C21" t="s" s="537">
        <v>199</v>
      </c>
      <c r="D21" t="str" s="531" cm="1">
        <f t="array" ref="D21">F1</f>
        <v>RBD-048</v>
      </c>
      <c r="E21" s="531"/>
      <c r="F21" s="531"/>
      <c r="G21" s="506"/>
      <c r="H21" s="506"/>
      <c r="I21" s="506"/>
      <c r="J21" s="506"/>
      <c r="K21" s="528"/>
      <c r="L21" s="506"/>
      <c r="M21" s="507"/>
      <c r="N21" s="507"/>
      <c r="O21" s="507"/>
      <c r="P21" s="507"/>
      <c r="Q21" s="507"/>
      <c r="R21" s="507"/>
      <c r="S21" s="507"/>
      <c r="T21" s="507"/>
      <c r="U21" s="508"/>
    </row>
    <row r="22" ht="11.1" customHeight="1">
      <c r="A22" s="526"/>
      <c r="B22" s="506"/>
      <c r="C22" t="s" s="538">
        <v>201</v>
      </c>
      <c r="D22" s="528"/>
      <c r="E22" s="528"/>
      <c r="F22" s="528"/>
      <c r="G22" s="506"/>
      <c r="H22" s="506"/>
      <c r="I22" s="506"/>
      <c r="J22" s="506"/>
      <c r="K22" s="528"/>
      <c r="L22" s="506"/>
      <c r="M22" s="507"/>
      <c r="N22" s="507"/>
      <c r="O22" s="507"/>
      <c r="P22" s="507"/>
      <c r="Q22" s="507"/>
      <c r="R22" s="507"/>
      <c r="S22" s="507"/>
      <c r="T22" s="507"/>
      <c r="U22" s="508"/>
    </row>
    <row r="23" ht="14.25" customHeight="1">
      <c r="A23" s="526"/>
      <c r="B23" s="506"/>
      <c r="C23" t="s" s="537">
        <v>202</v>
      </c>
      <c r="D23" s="545" cm="1">
        <f t="array" ref="D23">'CALCULOS'!E27</f>
        <v>1200</v>
      </c>
      <c r="E23" t="str" s="528" cm="1">
        <f t="array" ref="E23">'CALCULOS'!F27</f>
        <v>g</v>
      </c>
      <c r="F23" s="546"/>
      <c r="G23" s="540"/>
      <c r="H23" s="540"/>
      <c r="I23" s="531"/>
      <c r="J23" s="531"/>
      <c r="K23" s="528"/>
      <c r="L23" s="506"/>
      <c r="M23" s="507"/>
      <c r="N23" s="507"/>
      <c r="O23" s="507"/>
      <c r="P23" s="507"/>
      <c r="Q23" s="507"/>
      <c r="R23" s="507"/>
      <c r="S23" s="507"/>
      <c r="T23" s="507"/>
      <c r="U23" s="508"/>
    </row>
    <row r="24" ht="11.1" customHeight="1">
      <c r="A24" s="526"/>
      <c r="B24" s="506"/>
      <c r="C24" t="s" s="538">
        <v>204</v>
      </c>
      <c r="D24" s="528"/>
      <c r="E24" s="528"/>
      <c r="F24" s="528"/>
      <c r="G24" s="547"/>
      <c r="H24" s="547"/>
      <c r="I24" s="528"/>
      <c r="J24" s="528"/>
      <c r="K24" s="528"/>
      <c r="L24" s="506"/>
      <c r="M24" s="507"/>
      <c r="N24" s="507"/>
      <c r="O24" s="507"/>
      <c r="P24" s="507"/>
      <c r="Q24" s="507"/>
      <c r="R24" s="507"/>
      <c r="S24" s="507"/>
      <c r="T24" s="507"/>
      <c r="U24" s="508"/>
    </row>
    <row r="25" ht="20.25" customHeight="1">
      <c r="A25" s="526"/>
      <c r="B25" s="506"/>
      <c r="C25" t="s" s="537">
        <v>205</v>
      </c>
      <c r="D25" s="548" cm="1">
        <f t="array" ref="D25">'CALCULOS'!E29</f>
        <v>0.01</v>
      </c>
      <c r="E25" t="str" s="528" cm="1">
        <f t="array" ref="E25">'CALCULOS'!F27</f>
        <v>g</v>
      </c>
      <c r="F25" s="528"/>
      <c r="G25" s="547"/>
      <c r="H25" s="547"/>
      <c r="I25" s="528"/>
      <c r="J25" s="528"/>
      <c r="K25" s="528"/>
      <c r="L25" s="506"/>
      <c r="M25" s="507"/>
      <c r="N25" s="507"/>
      <c r="O25" s="507"/>
      <c r="P25" s="507"/>
      <c r="Q25" s="507"/>
      <c r="R25" s="507"/>
      <c r="S25" s="507"/>
      <c r="T25" s="507"/>
      <c r="U25" s="508"/>
    </row>
    <row r="26" ht="11.1" customHeight="1">
      <c r="A26" s="526"/>
      <c r="B26" s="506"/>
      <c r="C26" t="s" s="538">
        <v>206</v>
      </c>
      <c r="D26" s="546"/>
      <c r="E26" s="506"/>
      <c r="F26" s="506"/>
      <c r="G26" s="506"/>
      <c r="H26" s="506"/>
      <c r="I26" s="506"/>
      <c r="J26" s="506"/>
      <c r="K26" s="506"/>
      <c r="L26" s="506"/>
      <c r="M26" s="507"/>
      <c r="N26" s="507"/>
      <c r="O26" s="507"/>
      <c r="P26" s="507"/>
      <c r="Q26" s="507"/>
      <c r="R26" s="507"/>
      <c r="S26" s="507"/>
      <c r="T26" s="507"/>
      <c r="U26" s="508"/>
    </row>
    <row r="27" ht="8" customHeight="1">
      <c r="A27" s="526"/>
      <c r="B27" s="506"/>
      <c r="C27" s="547"/>
      <c r="D27" s="546"/>
      <c r="E27" s="506"/>
      <c r="F27" s="506"/>
      <c r="G27" s="506"/>
      <c r="H27" s="506"/>
      <c r="I27" s="506"/>
      <c r="J27" s="506"/>
      <c r="K27" s="506"/>
      <c r="L27" s="506"/>
      <c r="M27" s="507"/>
      <c r="N27" s="507"/>
      <c r="O27" s="507"/>
      <c r="P27" s="507"/>
      <c r="Q27" s="507"/>
      <c r="R27" s="507"/>
      <c r="S27" s="507"/>
      <c r="T27" s="507"/>
      <c r="U27" s="508"/>
    </row>
    <row r="28" ht="22.5" customHeight="1">
      <c r="A28" s="526"/>
      <c r="B28" s="506"/>
      <c r="C28" s="549"/>
      <c r="D28" s="506"/>
      <c r="E28" s="550"/>
      <c r="F28" s="550"/>
      <c r="G28" s="506"/>
      <c r="H28" s="506"/>
      <c r="I28" s="551"/>
      <c r="J28" s="551"/>
      <c r="K28" s="506"/>
      <c r="L28" s="506"/>
      <c r="M28" s="507"/>
      <c r="N28" s="507"/>
      <c r="O28" s="507"/>
      <c r="P28" s="507"/>
      <c r="Q28" s="507"/>
      <c r="R28" s="507"/>
      <c r="S28" s="507"/>
      <c r="T28" s="507"/>
      <c r="U28" s="508"/>
    </row>
    <row r="29" ht="20.25" customHeight="1">
      <c r="A29" s="526"/>
      <c r="B29" s="506"/>
      <c r="C29" t="s" s="552">
        <v>207</v>
      </c>
      <c r="D29" s="553"/>
      <c r="E29" s="553"/>
      <c r="F29" s="553"/>
      <c r="G29" s="553"/>
      <c r="H29" s="533"/>
      <c r="I29" t="s" s="554">
        <v>208</v>
      </c>
      <c r="J29" s="506"/>
      <c r="K29" s="506"/>
      <c r="L29" s="506"/>
      <c r="M29" s="507"/>
      <c r="N29" s="507"/>
      <c r="O29" s="507"/>
      <c r="P29" s="507"/>
      <c r="Q29" s="507"/>
      <c r="R29" s="507"/>
      <c r="S29" s="507"/>
      <c r="T29" s="507"/>
      <c r="U29" s="508"/>
    </row>
    <row r="30" ht="15" customHeight="1">
      <c r="A30" s="526"/>
      <c r="B30" s="506"/>
      <c r="C30" t="s" s="555">
        <v>209</v>
      </c>
      <c r="D30" s="556"/>
      <c r="E30" s="556"/>
      <c r="F30" s="556"/>
      <c r="G30" s="556"/>
      <c r="H30" s="556"/>
      <c r="I30" s="506"/>
      <c r="J30" s="506"/>
      <c r="K30" s="506"/>
      <c r="L30" s="506"/>
      <c r="M30" s="507"/>
      <c r="N30" s="507"/>
      <c r="O30" s="507"/>
      <c r="P30" s="507"/>
      <c r="Q30" s="507"/>
      <c r="R30" s="507"/>
      <c r="S30" s="507"/>
      <c r="T30" s="507"/>
      <c r="U30" s="508"/>
    </row>
    <row r="31" ht="15" customHeight="1">
      <c r="A31" s="526"/>
      <c r="B31" s="506"/>
      <c r="C31" s="557"/>
      <c r="D31" s="557"/>
      <c r="E31" s="557"/>
      <c r="F31" s="557"/>
      <c r="G31" s="557"/>
      <c r="H31" s="558"/>
      <c r="I31" s="558"/>
      <c r="J31" s="558"/>
      <c r="K31" s="506"/>
      <c r="L31" s="506"/>
      <c r="M31" s="507"/>
      <c r="N31" s="507"/>
      <c r="O31" s="507"/>
      <c r="P31" s="507"/>
      <c r="Q31" s="507"/>
      <c r="R31" s="507"/>
      <c r="S31" s="507"/>
      <c r="T31" s="507"/>
      <c r="U31" s="508"/>
    </row>
    <row r="32" ht="15" customHeight="1">
      <c r="A32" s="526"/>
      <c r="B32" s="506"/>
      <c r="C32" t="s" s="559">
        <v>210</v>
      </c>
      <c r="D32" s="559"/>
      <c r="E32" t="s" s="560">
        <v>211</v>
      </c>
      <c r="F32" s="506"/>
      <c r="G32" t="s" s="561">
        <v>212</v>
      </c>
      <c r="H32" t="s" s="562">
        <v>213</v>
      </c>
      <c r="I32" s="563"/>
      <c r="J32" s="563"/>
      <c r="K32" s="506"/>
      <c r="L32" s="506"/>
      <c r="M32" s="507"/>
      <c r="N32" s="507"/>
      <c r="O32" s="507"/>
      <c r="P32" s="507"/>
      <c r="Q32" s="507"/>
      <c r="R32" s="507"/>
      <c r="S32" s="507"/>
      <c r="T32" s="507"/>
      <c r="U32" s="508"/>
    </row>
    <row r="33" ht="15" customHeight="1">
      <c r="A33" s="526"/>
      <c r="B33" s="506"/>
      <c r="C33" t="s" s="538">
        <v>214</v>
      </c>
      <c r="D33" s="564"/>
      <c r="E33" s="558"/>
      <c r="F33" s="558"/>
      <c r="G33" t="s" s="538">
        <v>215</v>
      </c>
      <c r="H33" s="558"/>
      <c r="I33" s="558"/>
      <c r="J33" s="558"/>
      <c r="K33" s="558"/>
      <c r="L33" s="506"/>
      <c r="M33" s="507"/>
      <c r="N33" s="507"/>
      <c r="O33" s="507"/>
      <c r="P33" s="507"/>
      <c r="Q33" s="507"/>
      <c r="R33" s="507"/>
      <c r="S33" s="507"/>
      <c r="T33" s="507"/>
      <c r="U33" s="508"/>
    </row>
    <row r="34" ht="12.75" customHeight="1">
      <c r="A34" s="526"/>
      <c r="B34" s="506"/>
      <c r="C34" s="506"/>
      <c r="D34" s="506"/>
      <c r="E34" s="506"/>
      <c r="F34" s="506"/>
      <c r="G34" s="506"/>
      <c r="H34" s="506"/>
      <c r="I34" s="506"/>
      <c r="J34" s="506"/>
      <c r="K34" s="506"/>
      <c r="L34" s="506"/>
      <c r="M34" s="507"/>
      <c r="N34" s="507"/>
      <c r="O34" s="507"/>
      <c r="P34" s="507"/>
      <c r="Q34" s="507"/>
      <c r="R34" s="507"/>
      <c r="S34" s="507"/>
      <c r="T34" s="507"/>
      <c r="U34" s="508"/>
    </row>
    <row r="35" ht="13.5" customHeight="1">
      <c r="A35" s="526"/>
      <c r="B35" s="506"/>
      <c r="C35" t="s" s="534">
        <v>216</v>
      </c>
      <c r="D35" s="506"/>
      <c r="E35" s="506"/>
      <c r="F35" s="506"/>
      <c r="G35" s="506"/>
      <c r="H35" s="506"/>
      <c r="I35" s="506"/>
      <c r="J35" s="506"/>
      <c r="K35" s="506"/>
      <c r="L35" s="506"/>
      <c r="M35" s="507"/>
      <c r="N35" s="507"/>
      <c r="O35" s="507"/>
      <c r="P35" s="507"/>
      <c r="Q35" s="507"/>
      <c r="R35" s="507"/>
      <c r="S35" s="507"/>
      <c r="T35" s="507"/>
      <c r="U35" s="508"/>
    </row>
    <row r="36" ht="13.5" customHeight="1">
      <c r="A36" s="526"/>
      <c r="B36" s="506"/>
      <c r="C36" s="564"/>
      <c r="D36" s="506"/>
      <c r="E36" s="506"/>
      <c r="F36" s="506"/>
      <c r="G36" s="506"/>
      <c r="H36" s="506"/>
      <c r="I36" s="506"/>
      <c r="J36" s="506"/>
      <c r="K36" s="506"/>
      <c r="L36" s="506"/>
      <c r="M36" s="507"/>
      <c r="N36" s="507"/>
      <c r="O36" s="507"/>
      <c r="P36" s="507"/>
      <c r="Q36" s="507"/>
      <c r="R36" s="507"/>
      <c r="S36" s="507"/>
      <c r="T36" s="507"/>
      <c r="U36" s="508"/>
    </row>
    <row r="37" ht="8" customHeight="1">
      <c r="A37" s="526"/>
      <c r="B37" s="506"/>
      <c r="C37" t="s" s="565">
        <v>217</v>
      </c>
      <c r="D37" s="566"/>
      <c r="E37" s="506"/>
      <c r="F37" s="506"/>
      <c r="G37" s="506"/>
      <c r="H37" s="506"/>
      <c r="I37" s="506"/>
      <c r="J37" s="506"/>
      <c r="K37" s="506"/>
      <c r="L37" s="506"/>
      <c r="M37" s="507"/>
      <c r="N37" s="507"/>
      <c r="O37" s="507"/>
      <c r="P37" s="507"/>
      <c r="Q37" s="507"/>
      <c r="R37" s="507"/>
      <c r="S37" s="507"/>
      <c r="T37" s="507"/>
      <c r="U37" s="508"/>
    </row>
    <row r="38" ht="12.75" customHeight="1">
      <c r="A38" s="526"/>
      <c r="B38" s="506"/>
      <c r="C38" s="566"/>
      <c r="D38" s="566"/>
      <c r="E38" t="s" s="567">
        <v>218</v>
      </c>
      <c r="F38" s="568"/>
      <c r="G38" t="s" s="567">
        <v>219</v>
      </c>
      <c r="H38" s="568"/>
      <c r="I38" t="s" s="567">
        <v>220</v>
      </c>
      <c r="J38" t="s" s="567">
        <v>221</v>
      </c>
      <c r="K38" s="569"/>
      <c r="L38" s="506"/>
      <c r="M38" s="507"/>
      <c r="N38" s="507"/>
      <c r="O38" s="507"/>
      <c r="P38" s="507"/>
      <c r="Q38" s="507"/>
      <c r="R38" s="507"/>
      <c r="S38" s="507"/>
      <c r="T38" s="507"/>
      <c r="U38" s="508"/>
    </row>
    <row r="39" ht="12.75" customHeight="1">
      <c r="A39" s="526"/>
      <c r="B39" s="506"/>
      <c r="C39" t="s" s="570">
        <v>222</v>
      </c>
      <c r="D39" s="571"/>
      <c r="E39" t="s" s="572">
        <v>223</v>
      </c>
      <c r="F39" s="573"/>
      <c r="G39" t="s" s="572">
        <v>224</v>
      </c>
      <c r="H39" s="573"/>
      <c r="I39" t="s" s="572">
        <v>225</v>
      </c>
      <c r="J39" t="s" s="572">
        <v>204</v>
      </c>
      <c r="K39" s="574"/>
      <c r="L39" s="506"/>
      <c r="M39" s="507"/>
      <c r="N39" s="507"/>
      <c r="O39" s="507"/>
      <c r="P39" s="507"/>
      <c r="Q39" s="507"/>
      <c r="R39" s="507"/>
      <c r="S39" s="507"/>
      <c r="T39" s="507"/>
      <c r="U39" s="508"/>
    </row>
    <row r="40" ht="18" customHeight="1" hidden="1">
      <c r="A40" s="526"/>
      <c r="B40" t="str" s="575" cm="1">
        <f t="array" ref="B40">'CALCULOS'!A13</f>
        <v>Juego de pesas Clase: E2</v>
      </c>
      <c r="C40" s="575"/>
      <c r="D40" s="575"/>
      <c r="E40" t="str" s="575" cm="1">
        <f t="array" ref="E40">'CALCULOS'!E13</f>
        <v>5-26239</v>
      </c>
      <c r="F40" s="522"/>
      <c r="G40" s="576" cm="1">
        <f t="array" ref="G40">'CALCULOS'!F13</f>
        <v>46102</v>
      </c>
      <c r="H40" s="577"/>
      <c r="I40" t="str" s="575" cm="1">
        <f t="array" ref="I40">'CALCULOS'!D13</f>
        <v>MK-043</v>
      </c>
      <c r="J40" t="str" s="512" cm="1">
        <f t="array" ref="J40">'CALCULOS'!C13</f>
        <v>1 mg a 5 kg</v>
      </c>
      <c r="K40" s="506"/>
      <c r="L40" s="506"/>
      <c r="M40" s="507"/>
      <c r="N40" s="507"/>
      <c r="O40" s="507"/>
      <c r="P40" s="507"/>
      <c r="Q40" s="507"/>
      <c r="R40" s="522"/>
      <c r="S40" s="522"/>
      <c r="T40" s="576"/>
      <c r="U40" s="508"/>
    </row>
    <row r="41" ht="18.75" customHeight="1">
      <c r="A41" s="526"/>
      <c r="B41" t="str" s="575" cm="1">
        <f t="array" ref="B41">'CALCULOS'!A13</f>
        <v>Juego de pesas Clase: E2</v>
      </c>
      <c r="C41" s="575"/>
      <c r="D41" s="575"/>
      <c r="E41" t="str" s="575" cm="1">
        <f t="array" ref="E41">'CALCULOS'!E13</f>
        <v>5-26239</v>
      </c>
      <c r="F41" s="522"/>
      <c r="G41" s="576" cm="1">
        <f t="array" ref="G41">'CALCULOS'!F13</f>
        <v>46102</v>
      </c>
      <c r="H41" s="577"/>
      <c r="I41" t="str" s="575" cm="1">
        <f t="array" ref="I41">'CALCULOS'!D13</f>
        <v>MK-043</v>
      </c>
      <c r="J41" t="str" s="512" cm="1">
        <f t="array" ref="J41">'CALCULOS'!C13</f>
        <v>1 mg a 5 kg</v>
      </c>
      <c r="K41" s="506"/>
      <c r="L41" s="506"/>
      <c r="M41" s="507"/>
      <c r="N41" s="507"/>
      <c r="O41" s="507"/>
      <c r="P41" s="507"/>
      <c r="Q41" s="507"/>
      <c r="R41" s="507"/>
      <c r="S41" s="507"/>
      <c r="T41" s="507"/>
      <c r="U41" s="508"/>
    </row>
    <row r="42" ht="19.5" customHeight="1" hidden="1">
      <c r="A42" s="526"/>
      <c r="B42" t="str" s="575" cm="1">
        <f t="array" ref="B42">'CALCULOS'!A13</f>
        <v>Juego de pesas Clase: E2</v>
      </c>
      <c r="C42" s="575"/>
      <c r="D42" s="575"/>
      <c r="E42" t="str" s="575" cm="1">
        <f t="array" ref="E42">'CALCULOS'!E13</f>
        <v>5-26239</v>
      </c>
      <c r="F42" s="522"/>
      <c r="G42" s="576" cm="1">
        <f t="array" ref="G42">'CALCULOS'!F13</f>
        <v>46102</v>
      </c>
      <c r="H42" s="577"/>
      <c r="I42" t="str" s="575" cm="1">
        <f t="array" ref="I42">'CALCULOS'!D13</f>
        <v>MK-043</v>
      </c>
      <c r="J42" t="str" s="578" cm="1">
        <f t="array" ref="J42">'CALCULOS'!C13</f>
        <v>1 mg a 5 kg</v>
      </c>
      <c r="K42" s="506"/>
      <c r="L42" s="506"/>
      <c r="M42" s="507"/>
      <c r="N42" s="507"/>
      <c r="O42" s="507"/>
      <c r="P42" s="507"/>
      <c r="Q42" s="507"/>
      <c r="R42" s="507"/>
      <c r="S42" s="507"/>
      <c r="T42" s="507"/>
      <c r="U42" s="508"/>
    </row>
    <row r="43" ht="15.75" customHeight="1">
      <c r="A43" s="526"/>
      <c r="B43" s="575"/>
      <c r="C43" s="575"/>
      <c r="D43" s="575"/>
      <c r="E43" s="522"/>
      <c r="F43" s="522"/>
      <c r="G43" s="576"/>
      <c r="H43" s="577"/>
      <c r="I43" s="575"/>
      <c r="J43" s="578"/>
      <c r="K43" s="506"/>
      <c r="L43" s="506"/>
      <c r="M43" s="507"/>
      <c r="N43" s="507"/>
      <c r="O43" s="507"/>
      <c r="P43" s="507"/>
      <c r="Q43" s="507"/>
      <c r="R43" s="507"/>
      <c r="S43" s="507"/>
      <c r="T43" s="507"/>
      <c r="U43" s="508"/>
    </row>
    <row r="44" ht="8" customHeight="1">
      <c r="A44" s="526"/>
      <c r="B44" s="506"/>
      <c r="C44" s="579"/>
      <c r="D44" s="579"/>
      <c r="E44" s="579"/>
      <c r="F44" s="580"/>
      <c r="G44" s="581"/>
      <c r="H44" s="581"/>
      <c r="I44" s="579"/>
      <c r="J44" s="582"/>
      <c r="K44" s="582"/>
      <c r="L44" s="506"/>
      <c r="M44" s="507"/>
      <c r="N44" s="507"/>
      <c r="O44" s="507"/>
      <c r="P44" s="507"/>
      <c r="Q44" s="507"/>
      <c r="R44" s="507"/>
      <c r="S44" s="507"/>
      <c r="T44" s="507"/>
      <c r="U44" s="508"/>
    </row>
    <row r="45" ht="18.75" customHeight="1">
      <c r="A45" s="526"/>
      <c r="B45" s="506"/>
      <c r="C45" t="s" s="583">
        <v>231</v>
      </c>
      <c r="D45" s="579"/>
      <c r="E45" s="579"/>
      <c r="F45" s="580"/>
      <c r="G45" s="581"/>
      <c r="H45" s="581"/>
      <c r="I45" s="579"/>
      <c r="J45" s="582"/>
      <c r="K45" s="582"/>
      <c r="L45" s="506"/>
      <c r="M45" s="507"/>
      <c r="N45" s="507"/>
      <c r="O45" s="507"/>
      <c r="P45" s="507"/>
      <c r="Q45" s="507"/>
      <c r="R45" s="507"/>
      <c r="S45" s="507"/>
      <c r="T45" s="507"/>
      <c r="U45" s="508"/>
    </row>
    <row r="46" ht="15" customHeight="1">
      <c r="A46" s="526"/>
      <c r="B46" s="506"/>
      <c r="C46" s="584"/>
      <c r="D46" s="506"/>
      <c r="E46" s="506"/>
      <c r="F46" s="506"/>
      <c r="G46" s="575"/>
      <c r="H46" s="575"/>
      <c r="I46" s="506"/>
      <c r="J46" s="506"/>
      <c r="K46" s="506"/>
      <c r="L46" s="506"/>
      <c r="M46" s="507"/>
      <c r="N46" s="507"/>
      <c r="O46" s="507"/>
      <c r="P46" s="507"/>
      <c r="Q46" s="507"/>
      <c r="R46" s="507"/>
      <c r="S46" s="507"/>
      <c r="T46" s="507"/>
      <c r="U46" s="508"/>
    </row>
    <row r="47" ht="17.25" customHeight="1">
      <c r="A47" s="526"/>
      <c r="B47" s="506"/>
      <c r="C47" s="549"/>
      <c r="D47" t="s" s="585">
        <v>232</v>
      </c>
      <c r="E47" t="s" s="586">
        <v>233</v>
      </c>
      <c r="F47" s="550"/>
      <c r="G47" t="s" s="585">
        <v>234</v>
      </c>
      <c r="H47" s="587"/>
      <c r="I47" s="506"/>
      <c r="J47" s="506"/>
      <c r="K47" s="506"/>
      <c r="L47" s="506"/>
      <c r="M47" s="507"/>
      <c r="N47" s="588"/>
      <c r="O47" s="507"/>
      <c r="P47" s="507"/>
      <c r="Q47" s="507"/>
      <c r="R47" s="507"/>
      <c r="S47" s="507"/>
      <c r="T47" s="507"/>
      <c r="U47" s="508"/>
    </row>
    <row r="48" ht="17.25" customHeight="1">
      <c r="A48" s="526"/>
      <c r="B48" s="506"/>
      <c r="C48" s="589"/>
      <c r="D48" t="s" s="590">
        <v>235</v>
      </c>
      <c r="E48" t="s" s="591">
        <v>236</v>
      </c>
      <c r="F48" s="592"/>
      <c r="G48" t="s" s="590">
        <v>237</v>
      </c>
      <c r="H48" s="593"/>
      <c r="I48" s="549"/>
      <c r="J48" s="506"/>
      <c r="K48" s="506"/>
      <c r="L48" s="506"/>
      <c r="M48" s="507"/>
      <c r="N48" s="507"/>
      <c r="O48" s="507"/>
      <c r="P48" s="507"/>
      <c r="Q48" s="507"/>
      <c r="R48" s="594"/>
      <c r="S48" s="594"/>
      <c r="T48" s="507"/>
      <c r="U48" s="508"/>
    </row>
    <row r="49" ht="8.25" customHeight="1">
      <c r="A49" s="526"/>
      <c r="B49" s="506"/>
      <c r="C49" s="549"/>
      <c r="D49" s="550"/>
      <c r="E49" s="595"/>
      <c r="F49" s="595"/>
      <c r="G49" s="587"/>
      <c r="H49" s="587"/>
      <c r="I49" s="549"/>
      <c r="J49" s="506"/>
      <c r="K49" s="506"/>
      <c r="L49" s="506"/>
      <c r="M49" s="507"/>
      <c r="N49" s="507"/>
      <c r="O49" s="507"/>
      <c r="P49" s="507"/>
      <c r="Q49" s="507"/>
      <c r="R49" s="596"/>
      <c r="S49" s="507"/>
      <c r="T49" s="507"/>
      <c r="U49" s="508"/>
    </row>
    <row r="50" ht="17.25" customHeight="1">
      <c r="A50" s="526"/>
      <c r="B50" s="587"/>
      <c r="C50" s="587"/>
      <c r="D50" t="s" s="585">
        <v>238</v>
      </c>
      <c r="E50" t="s" s="586">
        <v>239</v>
      </c>
      <c r="F50" s="550"/>
      <c r="G50" t="s" s="585">
        <v>234</v>
      </c>
      <c r="H50" s="587"/>
      <c r="I50" s="506"/>
      <c r="J50" s="506"/>
      <c r="K50" s="506"/>
      <c r="L50" s="506"/>
      <c r="M50" s="507"/>
      <c r="N50" s="507"/>
      <c r="O50" s="507"/>
      <c r="P50" s="507"/>
      <c r="Q50" s="507"/>
      <c r="R50" s="507"/>
      <c r="S50" s="507"/>
      <c r="T50" s="507"/>
      <c r="U50" s="508"/>
    </row>
    <row r="51" ht="15" customHeight="1">
      <c r="A51" s="501"/>
      <c r="B51" s="506"/>
      <c r="C51" s="589"/>
      <c r="D51" t="s" s="590">
        <v>240</v>
      </c>
      <c r="E51" t="s" s="591">
        <v>241</v>
      </c>
      <c r="F51" s="592"/>
      <c r="G51" t="s" s="590">
        <v>237</v>
      </c>
      <c r="H51" s="593"/>
      <c r="I51" s="549"/>
      <c r="J51" s="506"/>
      <c r="K51" s="506"/>
      <c r="L51" s="506"/>
      <c r="M51" s="507"/>
      <c r="N51" s="507"/>
      <c r="O51" s="507"/>
      <c r="P51" s="507"/>
      <c r="Q51" s="507"/>
      <c r="R51" s="507"/>
      <c r="S51" s="507"/>
      <c r="T51" s="507"/>
      <c r="U51" s="508"/>
    </row>
    <row r="52" ht="15.75" customHeight="1">
      <c r="A52" s="501"/>
      <c r="B52" s="502"/>
      <c r="C52" s="502"/>
      <c r="D52" s="502"/>
      <c r="E52" s="502"/>
      <c r="F52" s="502"/>
      <c r="G52" s="502"/>
      <c r="H52" s="502"/>
      <c r="I52" s="502"/>
      <c r="J52" s="502"/>
      <c r="K52" s="506"/>
      <c r="L52" s="506"/>
      <c r="M52" s="507"/>
      <c r="N52" s="507"/>
      <c r="O52" s="507"/>
      <c r="P52" s="507"/>
      <c r="Q52" s="507"/>
      <c r="R52" s="507"/>
      <c r="S52" s="507"/>
      <c r="T52" s="507"/>
      <c r="U52" s="508"/>
    </row>
    <row r="53" ht="14.25" customHeight="1">
      <c r="A53" s="501"/>
      <c r="B53" s="577"/>
      <c r="C53" s="577"/>
      <c r="D53" s="577"/>
      <c r="E53" s="577"/>
      <c r="F53" s="577"/>
      <c r="G53" s="577"/>
      <c r="H53" s="577"/>
      <c r="I53" s="577"/>
      <c r="J53" s="577"/>
      <c r="K53" s="577"/>
      <c r="L53" s="506"/>
      <c r="M53" s="507"/>
      <c r="N53" s="507"/>
      <c r="O53" s="507"/>
      <c r="P53" s="507"/>
      <c r="Q53" s="507"/>
      <c r="R53" s="507"/>
      <c r="S53" s="507"/>
      <c r="T53" s="507"/>
      <c r="U53" s="508"/>
    </row>
    <row r="54" ht="16.5" customHeight="1">
      <c r="A54" s="501"/>
      <c r="B54" s="577"/>
      <c r="C54" s="577"/>
      <c r="D54" s="577"/>
      <c r="E54" s="577"/>
      <c r="F54" s="577"/>
      <c r="G54" s="577"/>
      <c r="H54" s="577"/>
      <c r="I54" s="577"/>
      <c r="J54" s="577"/>
      <c r="K54" s="577"/>
      <c r="L54" s="506"/>
      <c r="M54" s="507"/>
      <c r="N54" s="507"/>
      <c r="O54" s="507"/>
      <c r="P54" s="507"/>
      <c r="Q54" s="507"/>
      <c r="R54" s="507"/>
      <c r="S54" s="507"/>
      <c r="T54" s="507"/>
      <c r="U54" s="508"/>
    </row>
    <row r="55" ht="16.5" customHeight="1">
      <c r="A55" s="501"/>
      <c r="B55" s="577"/>
      <c r="C55" s="577"/>
      <c r="D55" s="577"/>
      <c r="E55" s="577"/>
      <c r="F55" s="577"/>
      <c r="G55" s="577"/>
      <c r="H55" s="577"/>
      <c r="I55" s="577"/>
      <c r="J55" s="577"/>
      <c r="K55" s="577"/>
      <c r="L55" s="506"/>
      <c r="M55" s="507"/>
      <c r="N55" s="507"/>
      <c r="O55" s="507"/>
      <c r="P55" s="507"/>
      <c r="Q55" s="507"/>
      <c r="R55" s="507"/>
      <c r="S55" s="507"/>
      <c r="T55" s="507"/>
      <c r="U55" s="508"/>
    </row>
    <row r="56" ht="16.5" customHeight="1">
      <c r="A56" s="501"/>
      <c r="B56" s="577"/>
      <c r="C56" s="577"/>
      <c r="D56" s="577"/>
      <c r="E56" s="577"/>
      <c r="F56" s="577"/>
      <c r="G56" s="577"/>
      <c r="H56" s="577"/>
      <c r="I56" s="577"/>
      <c r="J56" s="577"/>
      <c r="K56" s="577"/>
      <c r="L56" s="506"/>
      <c r="M56" s="507"/>
      <c r="N56" s="507"/>
      <c r="O56" s="507"/>
      <c r="P56" s="507"/>
      <c r="Q56" s="507"/>
      <c r="R56" s="507"/>
      <c r="S56" s="507"/>
      <c r="T56" s="507"/>
      <c r="U56" s="508"/>
    </row>
    <row r="57" ht="16.5" customHeight="1">
      <c r="A57" s="501"/>
      <c r="B57" s="597"/>
      <c r="C57" s="597"/>
      <c r="D57" s="597"/>
      <c r="E57" s="597"/>
      <c r="F57" s="597"/>
      <c r="G57" s="597"/>
      <c r="H57" s="597"/>
      <c r="I57" s="597"/>
      <c r="J57" s="597"/>
      <c r="K57" s="597"/>
      <c r="L57" s="506"/>
      <c r="M57" s="507"/>
      <c r="N57" s="507"/>
      <c r="O57" s="507"/>
      <c r="P57" s="507"/>
      <c r="Q57" s="507"/>
      <c r="R57" s="507"/>
      <c r="S57" s="507"/>
      <c r="T57" s="507"/>
      <c r="U57" s="508"/>
    </row>
    <row r="58" ht="16.5" customHeight="1">
      <c r="A58" s="501"/>
      <c r="B58" s="577"/>
      <c r="C58" s="577"/>
      <c r="D58" s="577"/>
      <c r="E58" s="577"/>
      <c r="F58" s="577"/>
      <c r="G58" s="577"/>
      <c r="H58" s="577"/>
      <c r="I58" s="577"/>
      <c r="J58" s="577"/>
      <c r="K58" s="577"/>
      <c r="L58" s="506"/>
      <c r="M58" s="507"/>
      <c r="N58" s="507"/>
      <c r="O58" s="507"/>
      <c r="P58" s="507"/>
      <c r="Q58" s="507"/>
      <c r="R58" s="507"/>
      <c r="S58" s="507"/>
      <c r="T58" s="507"/>
      <c r="U58" s="508"/>
    </row>
    <row r="59" ht="8" customHeight="1">
      <c r="A59" s="598"/>
      <c r="B59" s="506"/>
      <c r="C59" s="502"/>
      <c r="D59" s="502"/>
      <c r="E59" s="502"/>
      <c r="F59" s="502"/>
      <c r="G59" s="502"/>
      <c r="H59" s="502"/>
      <c r="I59" s="502"/>
      <c r="J59" s="502"/>
      <c r="K59" s="502"/>
      <c r="L59" s="506"/>
      <c r="M59" s="507"/>
      <c r="N59" s="507"/>
      <c r="O59" s="507"/>
      <c r="P59" s="507"/>
      <c r="Q59" s="507"/>
      <c r="R59" s="507"/>
      <c r="S59" s="507"/>
      <c r="T59" s="507"/>
      <c r="U59" s="508"/>
    </row>
    <row r="60" ht="16.5" customHeight="1">
      <c r="A60" s="598"/>
      <c r="B60" s="506"/>
      <c r="C60" s="502"/>
      <c r="D60" s="502"/>
      <c r="E60" s="502"/>
      <c r="F60" s="502"/>
      <c r="G60" s="502"/>
      <c r="H60" s="502"/>
      <c r="I60" s="502"/>
      <c r="J60" s="502"/>
      <c r="K60" s="502"/>
      <c r="L60" s="506"/>
      <c r="M60" s="507"/>
      <c r="N60" s="507"/>
      <c r="O60" s="507"/>
      <c r="P60" s="507"/>
      <c r="Q60" s="507"/>
      <c r="R60" s="507"/>
      <c r="S60" s="507"/>
      <c r="T60" s="507"/>
      <c r="U60" s="508"/>
    </row>
    <row r="61" ht="16.5" customHeight="1">
      <c r="A61" s="598"/>
      <c r="B61" s="506"/>
      <c r="C61" s="502"/>
      <c r="D61" s="502"/>
      <c r="E61" s="502"/>
      <c r="F61" s="502"/>
      <c r="G61" s="502"/>
      <c r="H61" s="502"/>
      <c r="I61" s="502"/>
      <c r="J61" s="502"/>
      <c r="K61" s="502"/>
      <c r="L61" s="506"/>
      <c r="M61" s="507"/>
      <c r="N61" s="507"/>
      <c r="O61" s="507"/>
      <c r="P61" s="507"/>
      <c r="Q61" s="507"/>
      <c r="R61" s="507"/>
      <c r="S61" s="507"/>
      <c r="T61" s="507"/>
      <c r="U61" s="508"/>
    </row>
    <row r="62" ht="11.25" customHeight="1">
      <c r="A62" s="598"/>
      <c r="B62" s="506"/>
      <c r="C62" s="599"/>
      <c r="D62" s="595"/>
      <c r="E62" s="595"/>
      <c r="F62" s="595"/>
      <c r="G62" s="600"/>
      <c r="H62" s="600"/>
      <c r="I62" s="595"/>
      <c r="J62" s="601"/>
      <c r="K62" s="506"/>
      <c r="L62" s="506"/>
      <c r="M62" s="507"/>
      <c r="N62" s="507"/>
      <c r="O62" s="507"/>
      <c r="P62" s="507"/>
      <c r="Q62" s="507"/>
      <c r="R62" s="507"/>
      <c r="S62" s="507"/>
      <c r="T62" s="507"/>
      <c r="U62" s="508"/>
    </row>
    <row r="63" ht="8" customHeight="1" hidden="1">
      <c r="A63" s="598"/>
      <c r="B63" s="507"/>
      <c r="C63" s="602"/>
      <c r="D63" s="603"/>
      <c r="E63" s="603"/>
      <c r="F63" s="603"/>
      <c r="G63" s="604"/>
      <c r="H63" s="604"/>
      <c r="I63" s="603"/>
      <c r="J63" s="605"/>
      <c r="K63" s="507"/>
      <c r="L63" s="507"/>
      <c r="M63" s="507"/>
      <c r="N63" s="507"/>
      <c r="O63" s="507"/>
      <c r="P63" s="507"/>
      <c r="Q63" s="507"/>
      <c r="R63" s="507"/>
      <c r="S63" s="507"/>
      <c r="T63" s="507"/>
      <c r="U63" s="508"/>
    </row>
    <row r="64" ht="12.75" customHeight="1">
      <c r="A64" s="598"/>
      <c r="B64" s="507"/>
      <c r="C64" s="507"/>
      <c r="D64" s="507"/>
      <c r="E64" s="507"/>
      <c r="F64" s="507"/>
      <c r="G64" s="507"/>
      <c r="H64" s="507"/>
      <c r="I64" s="507"/>
      <c r="J64" s="507"/>
      <c r="K64" s="507"/>
      <c r="L64" s="507"/>
      <c r="M64" s="507"/>
      <c r="N64" s="507"/>
      <c r="O64" s="507"/>
      <c r="P64" s="507"/>
      <c r="Q64" s="507"/>
      <c r="R64" s="507"/>
      <c r="S64" s="507"/>
      <c r="T64" s="507"/>
      <c r="U64" s="508"/>
    </row>
    <row r="65" ht="12.75" customHeight="1">
      <c r="A65" s="598"/>
      <c r="B65" s="507"/>
      <c r="C65" s="507"/>
      <c r="D65" s="507"/>
      <c r="E65" s="507"/>
      <c r="F65" s="507"/>
      <c r="G65" s="507"/>
      <c r="H65" s="507"/>
      <c r="I65" s="507"/>
      <c r="J65" s="606"/>
      <c r="K65" s="507"/>
      <c r="L65" s="507"/>
      <c r="M65" s="507"/>
      <c r="N65" s="507"/>
      <c r="O65" s="507"/>
      <c r="P65" s="507"/>
      <c r="Q65" s="507"/>
      <c r="R65" s="507"/>
      <c r="S65" s="507"/>
      <c r="T65" s="507"/>
      <c r="U65" s="508"/>
    </row>
    <row r="66" ht="12.75" customHeight="1">
      <c r="A66" s="607"/>
      <c r="B66" s="608"/>
      <c r="C66" s="608"/>
      <c r="D66" s="608"/>
      <c r="E66" s="608"/>
      <c r="F66" s="608"/>
      <c r="G66" s="608"/>
      <c r="H66" s="608"/>
      <c r="I66" s="609"/>
      <c r="J66" s="608"/>
      <c r="K66" s="608"/>
      <c r="L66" s="608"/>
      <c r="M66" s="608"/>
      <c r="N66" s="608"/>
      <c r="O66" s="608"/>
      <c r="P66" s="608"/>
      <c r="Q66" s="608"/>
      <c r="R66" s="608"/>
      <c r="S66" s="608"/>
      <c r="T66" s="608"/>
      <c r="U66" s="610"/>
    </row>
  </sheetData>
  <mergeCells count="43">
    <mergeCell ref="I12:J12"/>
    <mergeCell ref="R48:S48"/>
    <mergeCell ref="E50:F50"/>
    <mergeCell ref="E51:F51"/>
    <mergeCell ref="E47:F47"/>
    <mergeCell ref="E48:F48"/>
    <mergeCell ref="E42:F42"/>
    <mergeCell ref="R40:S40"/>
    <mergeCell ref="B56:K56"/>
    <mergeCell ref="B57:K57"/>
    <mergeCell ref="E43:F43"/>
    <mergeCell ref="B53:K53"/>
    <mergeCell ref="E38:F38"/>
    <mergeCell ref="E39:F39"/>
    <mergeCell ref="E41:F41"/>
    <mergeCell ref="B43:D43"/>
    <mergeCell ref="B41:D41"/>
    <mergeCell ref="C37:D38"/>
    <mergeCell ref="C39:D39"/>
    <mergeCell ref="B42:D42"/>
    <mergeCell ref="B40:D40"/>
    <mergeCell ref="E40:F40"/>
    <mergeCell ref="B58:K58"/>
    <mergeCell ref="D8:G8"/>
    <mergeCell ref="I23:J23"/>
    <mergeCell ref="C32:D32"/>
    <mergeCell ref="C29:G29"/>
    <mergeCell ref="C30:G30"/>
    <mergeCell ref="D13:F13"/>
    <mergeCell ref="D15:F15"/>
    <mergeCell ref="D17:F17"/>
    <mergeCell ref="D19:F19"/>
    <mergeCell ref="D20:E20"/>
    <mergeCell ref="D21:F21"/>
    <mergeCell ref="C31:G31"/>
    <mergeCell ref="B50:C50"/>
    <mergeCell ref="B54:K54"/>
    <mergeCell ref="B55:K55"/>
    <mergeCell ref="D6:G6"/>
    <mergeCell ref="D7:G7"/>
    <mergeCell ref="I3:J3"/>
    <mergeCell ref="B3:F3"/>
    <mergeCell ref="B5:B6"/>
  </mergeCells>
  <conditionalFormatting sqref="C6:C10 H12:I12 C13:D14 G13 E14:F14 H14:I14 C15:I15 C16:F17 I16 G17 J17:K18 C18:D18 C19 E19:F19 J19:K19 U19 C20:F22 K21:K23 D23:E23 G23:H23 C24:K24 D25:K25 C26:D27 C32:C33 E32 G32:K32 D33:K33 B40 E40 H40:J40 R40 T40 B41:B43 E41:E43 H41:J42 G43:J43">
    <cfRule type="cellIs" dxfId="5" priority="1" operator="equal" stopIfTrue="1">
      <formula>0</formula>
    </cfRule>
  </conditionalFormatting>
  <conditionalFormatting sqref="E18:F18 D19 I23:J23 K41:K43 C44:I45">
    <cfRule type="cellIs" dxfId="6" priority="1" operator="equal" stopIfTrue="1">
      <formula>0</formula>
    </cfRule>
    <cfRule type="cellIs" dxfId="7" priority="2" operator="equal" stopIfTrue="1">
      <formula>0</formula>
    </cfRule>
  </conditionalFormatting>
  <conditionalFormatting sqref="G40:G42">
    <cfRule type="expression" dxfId="8" priority="1" stopIfTrue="1">
      <formula>AND(YEAR(TRUE)=YEAR(G40),MONTH(TRUE)=MONTH(G40),DAY(TRUE)=DAY(G40))</formula>
    </cfRule>
  </conditionalFormatting>
  <conditionalFormatting sqref="E48:F49 E51:F51">
    <cfRule type="cellIs" dxfId="9" priority="1" operator="equal" stopIfTrue="1">
      <formula>"sin referencia"</formula>
    </cfRule>
    <cfRule type="cellIs" dxfId="10" priority="2" operator="equal" stopIfTrue="1">
      <formula>0</formula>
    </cfRule>
    <cfRule type="cellIs" dxfId="11" priority="3" operator="equal" stopIfTrue="1">
      <formula>0</formula>
    </cfRule>
  </conditionalFormatting>
  <pageMargins left="0.19685" right="0.19685" top="0.590551" bottom="0.275591" header="0" footer="0.826772"/>
  <pageSetup firstPageNumber="1" fitToHeight="1" fitToWidth="1" scale="75" useFirstPageNumber="0" orientation="portrait" pageOrder="downThenOver"/>
  <headerFooter>
    <oddHeader>&amp;L&amp;"Arial,Regular"&amp;10&amp;K000000
</oddHeader>
    <oddFooter>&amp;R&amp;"Tahoma,Regular"&amp;10&amp;K0000FFCertificado Original Metkal     &amp;"Code 128,Regular"&amp;16&amp;K000000M-MK-0497_1.fwUYp9.xlsx</oddFooter>
  </headerFooter>
  <drawing r:id="rId1"/>
</worksheet>
</file>

<file path=xl/worksheets/sheet4.xml><?xml version="1.0" encoding="utf-8"?>
<worksheet xmlns:r="http://schemas.openxmlformats.org/officeDocument/2006/relationships" xmlns="http://schemas.openxmlformats.org/spreadsheetml/2006/main">
  <dimension ref="A1:BG156"/>
  <sheetViews>
    <sheetView workbookViewId="0" showGridLines="0" defaultGridColor="1"/>
  </sheetViews>
  <sheetFormatPr defaultColWidth="9.16667" defaultRowHeight="12.75" customHeight="1" outlineLevelRow="0" outlineLevelCol="0"/>
  <cols>
    <col min="1" max="1" width="8.35156" style="611" customWidth="1"/>
    <col min="2" max="2" width="5.35156" style="611" customWidth="1"/>
    <col min="3" max="7" width="14" style="611" customWidth="1"/>
    <col min="8" max="8" width="11.5" style="611" customWidth="1"/>
    <col min="9" max="11" width="14" style="611" customWidth="1"/>
    <col min="12" max="12" width="2.35156" style="611" customWidth="1"/>
    <col min="13" max="14" width="9.17188" style="611" customWidth="1"/>
    <col min="15" max="15" width="28.5" style="611" customWidth="1"/>
    <col min="16" max="59" width="9.17188" style="611" customWidth="1"/>
    <col min="60" max="16384" width="9.17188" style="611" customWidth="1"/>
  </cols>
  <sheetData>
    <row r="1" ht="12.75" customHeight="1">
      <c r="A1" s="612"/>
      <c r="B1" s="613"/>
      <c r="C1" s="613"/>
      <c r="D1" s="613"/>
      <c r="E1" s="613"/>
      <c r="F1" s="613"/>
      <c r="G1" s="613"/>
      <c r="H1" s="613"/>
      <c r="I1" s="613"/>
      <c r="J1" s="613"/>
      <c r="K1" s="613"/>
      <c r="L1" s="613"/>
      <c r="M1" s="613"/>
      <c r="N1" s="613"/>
      <c r="O1" s="613"/>
      <c r="P1" s="613"/>
      <c r="Q1" s="613"/>
      <c r="R1" s="613"/>
      <c r="S1" s="613"/>
      <c r="T1" s="613"/>
      <c r="U1" s="613"/>
      <c r="V1" s="613"/>
      <c r="W1" s="613"/>
      <c r="X1" s="613"/>
      <c r="Y1" s="613"/>
      <c r="Z1" s="613"/>
      <c r="AA1" s="613"/>
      <c r="AB1" s="613"/>
      <c r="AC1" s="613"/>
      <c r="AD1" s="613"/>
      <c r="AE1" s="613"/>
      <c r="AF1" s="613"/>
      <c r="AG1" s="613"/>
      <c r="AH1" s="613"/>
      <c r="AI1" s="613"/>
      <c r="AJ1" s="613"/>
      <c r="AK1" s="613"/>
      <c r="AL1" s="613"/>
      <c r="AM1" s="613"/>
      <c r="AN1" s="613"/>
      <c r="AO1" s="613"/>
      <c r="AP1" s="613"/>
      <c r="AQ1" s="613"/>
      <c r="AR1" s="613"/>
      <c r="AS1" s="613"/>
      <c r="AT1" s="613"/>
      <c r="AU1" s="613"/>
      <c r="AV1" s="613"/>
      <c r="AW1" s="613"/>
      <c r="AX1" s="613"/>
      <c r="AY1" s="613"/>
      <c r="AZ1" s="613"/>
      <c r="BA1" s="613"/>
      <c r="BB1" s="613"/>
      <c r="BC1" s="613"/>
      <c r="BD1" s="613"/>
      <c r="BE1" s="613"/>
      <c r="BF1" s="613"/>
      <c r="BG1" s="614"/>
    </row>
    <row r="2" ht="12.75" customHeight="1">
      <c r="A2" s="615"/>
      <c r="B2" s="616"/>
      <c r="C2" s="616"/>
      <c r="D2" s="616"/>
      <c r="E2" s="616"/>
      <c r="F2" s="616"/>
      <c r="G2" s="616"/>
      <c r="H2" s="616"/>
      <c r="I2" s="616"/>
      <c r="J2" s="616"/>
      <c r="K2" s="616"/>
      <c r="L2" s="616"/>
      <c r="M2" s="616"/>
      <c r="N2" s="616"/>
      <c r="O2" s="616"/>
      <c r="P2" s="616"/>
      <c r="Q2" s="616"/>
      <c r="R2" s="616"/>
      <c r="S2" s="616"/>
      <c r="T2" s="616"/>
      <c r="U2" s="616"/>
      <c r="V2" s="616"/>
      <c r="W2" s="616"/>
      <c r="X2" s="616"/>
      <c r="Y2" s="616"/>
      <c r="Z2" s="616"/>
      <c r="AA2" s="616"/>
      <c r="AB2" s="616"/>
      <c r="AC2" s="616"/>
      <c r="AD2" s="616"/>
      <c r="AE2" s="616"/>
      <c r="AF2" s="616"/>
      <c r="AG2" s="616"/>
      <c r="AH2" s="616"/>
      <c r="AI2" s="616"/>
      <c r="AJ2" s="616"/>
      <c r="AK2" s="616"/>
      <c r="AL2" s="616"/>
      <c r="AM2" s="616"/>
      <c r="AN2" s="616"/>
      <c r="AO2" s="616"/>
      <c r="AP2" s="616"/>
      <c r="AQ2" s="616"/>
      <c r="AR2" s="616"/>
      <c r="AS2" s="616"/>
      <c r="AT2" s="616"/>
      <c r="AU2" s="616"/>
      <c r="AV2" s="616"/>
      <c r="AW2" s="616"/>
      <c r="AX2" s="616"/>
      <c r="AY2" s="616"/>
      <c r="AZ2" s="616"/>
      <c r="BA2" s="616"/>
      <c r="BB2" s="616"/>
      <c r="BC2" s="616"/>
      <c r="BD2" s="616"/>
      <c r="BE2" s="616"/>
      <c r="BF2" s="616"/>
      <c r="BG2" s="617"/>
    </row>
    <row r="3" ht="12.75" customHeight="1">
      <c r="A3" s="615"/>
      <c r="B3" s="616"/>
      <c r="C3" s="616"/>
      <c r="D3" s="616"/>
      <c r="E3" s="616"/>
      <c r="F3" s="616"/>
      <c r="G3" s="616"/>
      <c r="H3" s="616"/>
      <c r="I3" s="616"/>
      <c r="J3" s="616"/>
      <c r="K3" s="616"/>
      <c r="L3" s="616"/>
      <c r="M3" s="616"/>
      <c r="N3" s="616"/>
      <c r="O3" s="616"/>
      <c r="P3" s="616"/>
      <c r="Q3" s="616"/>
      <c r="R3" s="616"/>
      <c r="S3" s="616"/>
      <c r="T3" s="616"/>
      <c r="U3" s="616"/>
      <c r="V3" s="616"/>
      <c r="W3" s="616"/>
      <c r="X3" s="616"/>
      <c r="Y3" s="616"/>
      <c r="Z3" s="616"/>
      <c r="AA3" s="616"/>
      <c r="AB3" s="616"/>
      <c r="AC3" s="616"/>
      <c r="AD3" s="616"/>
      <c r="AE3" s="616"/>
      <c r="AF3" s="616"/>
      <c r="AG3" s="616"/>
      <c r="AH3" s="616"/>
      <c r="AI3" s="616"/>
      <c r="AJ3" s="616"/>
      <c r="AK3" s="616"/>
      <c r="AL3" s="616"/>
      <c r="AM3" s="616"/>
      <c r="AN3" s="616"/>
      <c r="AO3" s="616"/>
      <c r="AP3" s="616"/>
      <c r="AQ3" s="616"/>
      <c r="AR3" s="616"/>
      <c r="AS3" s="616"/>
      <c r="AT3" s="616"/>
      <c r="AU3" s="616"/>
      <c r="AV3" s="616"/>
      <c r="AW3" s="616"/>
      <c r="AX3" s="616"/>
      <c r="AY3" s="616"/>
      <c r="AZ3" s="616"/>
      <c r="BA3" s="616"/>
      <c r="BB3" s="616"/>
      <c r="BC3" s="616"/>
      <c r="BD3" s="616"/>
      <c r="BE3" s="616"/>
      <c r="BF3" s="616"/>
      <c r="BG3" s="617"/>
    </row>
    <row r="4" ht="41.25" customHeight="1">
      <c r="A4" s="615"/>
      <c r="B4" s="616"/>
      <c r="C4" s="618"/>
      <c r="D4" s="616"/>
      <c r="E4" s="616"/>
      <c r="F4" s="616"/>
      <c r="G4" s="616"/>
      <c r="H4" s="616"/>
      <c r="I4" s="616"/>
      <c r="J4" s="616"/>
      <c r="K4" s="616"/>
      <c r="L4" s="616"/>
      <c r="M4" s="616"/>
      <c r="N4" s="616"/>
      <c r="O4" s="616"/>
      <c r="P4" s="616"/>
      <c r="Q4" s="616"/>
      <c r="R4" s="616"/>
      <c r="S4" s="616"/>
      <c r="T4" s="616"/>
      <c r="U4" s="616"/>
      <c r="V4" s="616"/>
      <c r="W4" s="616"/>
      <c r="X4" s="616"/>
      <c r="Y4" s="616"/>
      <c r="Z4" s="616"/>
      <c r="AA4" s="616"/>
      <c r="AB4" s="616"/>
      <c r="AC4" s="616"/>
      <c r="AD4" s="616"/>
      <c r="AE4" s="616"/>
      <c r="AF4" s="616"/>
      <c r="AG4" s="616"/>
      <c r="AH4" s="616"/>
      <c r="AI4" s="616"/>
      <c r="AJ4" s="616"/>
      <c r="AK4" s="616"/>
      <c r="AL4" s="616"/>
      <c r="AM4" s="616"/>
      <c r="AN4" s="616"/>
      <c r="AO4" s="616"/>
      <c r="AP4" s="616"/>
      <c r="AQ4" s="616"/>
      <c r="AR4" s="616"/>
      <c r="AS4" s="616"/>
      <c r="AT4" s="616"/>
      <c r="AU4" s="616"/>
      <c r="AV4" s="616"/>
      <c r="AW4" s="616"/>
      <c r="AX4" s="616"/>
      <c r="AY4" s="616"/>
      <c r="AZ4" s="616"/>
      <c r="BA4" s="616"/>
      <c r="BB4" s="616"/>
      <c r="BC4" s="616"/>
      <c r="BD4" s="616"/>
      <c r="BE4" s="616"/>
      <c r="BF4" s="616"/>
      <c r="BG4" s="617"/>
    </row>
    <row r="5" ht="8" customHeight="1">
      <c r="A5" s="615"/>
      <c r="B5" s="619"/>
      <c r="C5" s="619"/>
      <c r="D5" s="619"/>
      <c r="E5" s="619"/>
      <c r="F5" s="619"/>
      <c r="G5" s="619"/>
      <c r="H5" s="619"/>
      <c r="I5" s="619"/>
      <c r="J5" s="619"/>
      <c r="K5" s="619"/>
      <c r="L5" s="616"/>
      <c r="M5" s="616"/>
      <c r="N5" s="616"/>
      <c r="O5" s="616"/>
      <c r="P5" s="616"/>
      <c r="Q5" s="616"/>
      <c r="R5" s="616"/>
      <c r="S5" s="616"/>
      <c r="T5" s="616"/>
      <c r="U5" s="616"/>
      <c r="V5" s="616"/>
      <c r="W5" s="616"/>
      <c r="X5" s="616"/>
      <c r="Y5" s="616"/>
      <c r="Z5" s="616"/>
      <c r="AA5" s="616"/>
      <c r="AB5" s="616"/>
      <c r="AC5" s="616"/>
      <c r="AD5" s="616"/>
      <c r="AE5" s="616"/>
      <c r="AF5" s="616"/>
      <c r="AG5" s="616"/>
      <c r="AH5" s="616"/>
      <c r="AI5" s="616"/>
      <c r="AJ5" s="616"/>
      <c r="AK5" s="616"/>
      <c r="AL5" s="616"/>
      <c r="AM5" s="616"/>
      <c r="AN5" s="616"/>
      <c r="AO5" s="616"/>
      <c r="AP5" s="616"/>
      <c r="AQ5" s="616"/>
      <c r="AR5" s="616"/>
      <c r="AS5" s="616"/>
      <c r="AT5" s="616"/>
      <c r="AU5" s="616"/>
      <c r="AV5" s="616"/>
      <c r="AW5" s="616"/>
      <c r="AX5" s="616"/>
      <c r="AY5" s="616"/>
      <c r="AZ5" s="616"/>
      <c r="BA5" s="616"/>
      <c r="BB5" s="616"/>
      <c r="BC5" s="616"/>
      <c r="BD5" s="616"/>
      <c r="BE5" s="616"/>
      <c r="BF5" s="616"/>
      <c r="BG5" s="617"/>
    </row>
    <row r="6" ht="8" customHeight="1">
      <c r="A6" s="615"/>
      <c r="B6" s="619"/>
      <c r="C6" s="619"/>
      <c r="D6" s="619"/>
      <c r="E6" s="619"/>
      <c r="F6" s="619"/>
      <c r="G6" s="619"/>
      <c r="H6" s="619"/>
      <c r="I6" s="619"/>
      <c r="J6" s="619"/>
      <c r="K6" s="619"/>
      <c r="L6" s="616"/>
      <c r="M6" s="616"/>
      <c r="N6" s="616"/>
      <c r="O6" s="616"/>
      <c r="P6" s="616"/>
      <c r="Q6" s="616"/>
      <c r="R6" s="616"/>
      <c r="S6" s="616"/>
      <c r="T6" s="616"/>
      <c r="U6" s="616"/>
      <c r="V6" s="616"/>
      <c r="W6" s="616"/>
      <c r="X6" s="616"/>
      <c r="Y6" s="616"/>
      <c r="Z6" s="616"/>
      <c r="AA6" s="616"/>
      <c r="AB6" s="616"/>
      <c r="AC6" s="616"/>
      <c r="AD6" s="616"/>
      <c r="AE6" s="616"/>
      <c r="AF6" s="616"/>
      <c r="AG6" s="616"/>
      <c r="AH6" s="616"/>
      <c r="AI6" s="616"/>
      <c r="AJ6" s="616"/>
      <c r="AK6" s="616"/>
      <c r="AL6" s="616"/>
      <c r="AM6" s="616"/>
      <c r="AN6" s="616"/>
      <c r="AO6" s="616"/>
      <c r="AP6" s="616"/>
      <c r="AQ6" s="616"/>
      <c r="AR6" s="616"/>
      <c r="AS6" s="616"/>
      <c r="AT6" s="616"/>
      <c r="AU6" s="616"/>
      <c r="AV6" s="616"/>
      <c r="AW6" s="616"/>
      <c r="AX6" s="616"/>
      <c r="AY6" s="616"/>
      <c r="AZ6" s="616"/>
      <c r="BA6" s="616"/>
      <c r="BB6" s="616"/>
      <c r="BC6" s="616"/>
      <c r="BD6" s="616"/>
      <c r="BE6" s="616"/>
      <c r="BF6" s="616"/>
      <c r="BG6" s="617"/>
    </row>
    <row r="7" ht="8" customHeight="1">
      <c r="A7" s="615"/>
      <c r="B7" s="619"/>
      <c r="C7" s="619"/>
      <c r="D7" s="619"/>
      <c r="E7" s="619"/>
      <c r="F7" s="619"/>
      <c r="G7" s="619"/>
      <c r="H7" s="619"/>
      <c r="I7" s="619"/>
      <c r="J7" s="619"/>
      <c r="K7" s="619"/>
      <c r="L7" s="616"/>
      <c r="M7" s="616"/>
      <c r="N7" s="616"/>
      <c r="O7" s="616"/>
      <c r="P7" s="616"/>
      <c r="Q7" s="616"/>
      <c r="R7" s="616"/>
      <c r="S7" s="616"/>
      <c r="T7" s="616"/>
      <c r="U7" s="616"/>
      <c r="V7" s="616"/>
      <c r="W7" s="616"/>
      <c r="X7" s="616"/>
      <c r="Y7" s="616"/>
      <c r="Z7" s="616"/>
      <c r="AA7" s="616"/>
      <c r="AB7" s="616"/>
      <c r="AC7" s="616"/>
      <c r="AD7" s="616"/>
      <c r="AE7" s="616"/>
      <c r="AF7" s="616"/>
      <c r="AG7" s="616"/>
      <c r="AH7" s="616"/>
      <c r="AI7" s="616"/>
      <c r="AJ7" s="616"/>
      <c r="AK7" s="616"/>
      <c r="AL7" s="616"/>
      <c r="AM7" s="616"/>
      <c r="AN7" s="616"/>
      <c r="AO7" s="616"/>
      <c r="AP7" s="616"/>
      <c r="AQ7" s="616"/>
      <c r="AR7" s="616"/>
      <c r="AS7" s="616"/>
      <c r="AT7" s="616"/>
      <c r="AU7" s="616"/>
      <c r="AV7" s="616"/>
      <c r="AW7" s="616"/>
      <c r="AX7" s="616"/>
      <c r="AY7" s="616"/>
      <c r="AZ7" s="616"/>
      <c r="BA7" s="616"/>
      <c r="BB7" s="616"/>
      <c r="BC7" s="616"/>
      <c r="BD7" s="616"/>
      <c r="BE7" s="616"/>
      <c r="BF7" s="616"/>
      <c r="BG7" s="617"/>
    </row>
    <row r="8" ht="8" customHeight="1">
      <c r="A8" s="615"/>
      <c r="B8" s="619"/>
      <c r="C8" s="619"/>
      <c r="D8" s="619"/>
      <c r="E8" s="619"/>
      <c r="F8" s="619"/>
      <c r="G8" s="619"/>
      <c r="H8" s="619"/>
      <c r="I8" s="619"/>
      <c r="J8" s="619"/>
      <c r="K8" s="619"/>
      <c r="L8" s="616"/>
      <c r="M8" s="616"/>
      <c r="N8" s="616"/>
      <c r="O8" s="616"/>
      <c r="P8" s="616"/>
      <c r="Q8" s="616"/>
      <c r="R8" s="616"/>
      <c r="S8" s="616"/>
      <c r="T8" s="616"/>
      <c r="U8" s="616"/>
      <c r="V8" s="616"/>
      <c r="W8" s="616"/>
      <c r="X8" s="616"/>
      <c r="Y8" s="616"/>
      <c r="Z8" s="616"/>
      <c r="AA8" s="616"/>
      <c r="AB8" s="616"/>
      <c r="AC8" s="616"/>
      <c r="AD8" s="616"/>
      <c r="AE8" s="616"/>
      <c r="AF8" s="616"/>
      <c r="AG8" s="616"/>
      <c r="AH8" s="616"/>
      <c r="AI8" s="616"/>
      <c r="AJ8" s="616"/>
      <c r="AK8" s="616"/>
      <c r="AL8" s="616"/>
      <c r="AM8" s="616"/>
      <c r="AN8" s="616"/>
      <c r="AO8" s="616"/>
      <c r="AP8" s="616"/>
      <c r="AQ8" s="616"/>
      <c r="AR8" s="616"/>
      <c r="AS8" s="616"/>
      <c r="AT8" s="616"/>
      <c r="AU8" s="616"/>
      <c r="AV8" s="616"/>
      <c r="AW8" s="616"/>
      <c r="AX8" s="616"/>
      <c r="AY8" s="616"/>
      <c r="AZ8" s="616"/>
      <c r="BA8" s="616"/>
      <c r="BB8" s="616"/>
      <c r="BC8" s="616"/>
      <c r="BD8" s="616"/>
      <c r="BE8" s="616"/>
      <c r="BF8" s="616"/>
      <c r="BG8" s="617"/>
    </row>
    <row r="9" ht="23.25" customHeight="1">
      <c r="A9" s="615"/>
      <c r="B9" s="619"/>
      <c r="C9" s="619"/>
      <c r="D9" s="619"/>
      <c r="E9" s="619"/>
      <c r="F9" s="619"/>
      <c r="G9" s="619"/>
      <c r="H9" t="s" s="527">
        <v>242</v>
      </c>
      <c r="I9" s="528"/>
      <c r="J9" t="str" s="620" cm="1">
        <f t="array" ref="J9">'Certificado'!I3</f>
        <v>M-MK-0497/26</v>
      </c>
      <c r="K9" s="620"/>
      <c r="L9" s="616"/>
      <c r="M9" s="616"/>
      <c r="N9" s="616"/>
      <c r="O9" s="616"/>
      <c r="P9" s="616"/>
      <c r="Q9" s="616"/>
      <c r="R9" s="616"/>
      <c r="S9" s="616"/>
      <c r="T9" s="616"/>
      <c r="U9" s="616"/>
      <c r="V9" s="616"/>
      <c r="W9" s="616"/>
      <c r="X9" s="616"/>
      <c r="Y9" s="616"/>
      <c r="Z9" s="616"/>
      <c r="AA9" s="616"/>
      <c r="AB9" s="616"/>
      <c r="AC9" s="616"/>
      <c r="AD9" s="616"/>
      <c r="AE9" s="616"/>
      <c r="AF9" s="616"/>
      <c r="AG9" s="616"/>
      <c r="AH9" s="616"/>
      <c r="AI9" s="616"/>
      <c r="AJ9" s="616"/>
      <c r="AK9" s="616"/>
      <c r="AL9" s="616"/>
      <c r="AM9" s="616"/>
      <c r="AN9" s="616"/>
      <c r="AO9" s="616"/>
      <c r="AP9" s="616"/>
      <c r="AQ9" s="616"/>
      <c r="AR9" s="616"/>
      <c r="AS9" s="616"/>
      <c r="AT9" s="616"/>
      <c r="AU9" s="616"/>
      <c r="AV9" s="616"/>
      <c r="AW9" s="616"/>
      <c r="AX9" s="616"/>
      <c r="AY9" s="616"/>
      <c r="AZ9" s="616"/>
      <c r="BA9" s="616"/>
      <c r="BB9" s="616"/>
      <c r="BC9" s="616"/>
      <c r="BD9" s="616"/>
      <c r="BE9" s="616"/>
      <c r="BF9" s="616"/>
      <c r="BG9" s="617"/>
    </row>
    <row r="10" ht="23.25" customHeight="1">
      <c r="A10" s="615"/>
      <c r="B10" s="619"/>
      <c r="C10" t="s" s="621">
        <v>243</v>
      </c>
      <c r="D10" s="622"/>
      <c r="E10" s="622"/>
      <c r="F10" s="622"/>
      <c r="G10" s="622"/>
      <c r="H10" t="s" s="527">
        <v>244</v>
      </c>
      <c r="I10" s="531"/>
      <c r="J10" s="623" cm="1">
        <f t="array" ref="J10">'Certificado'!J5</f>
        <v>46070</v>
      </c>
      <c r="K10" s="623"/>
      <c r="L10" s="616"/>
      <c r="M10" s="616"/>
      <c r="N10" s="616"/>
      <c r="O10" s="616"/>
      <c r="P10" s="616"/>
      <c r="Q10" s="616"/>
      <c r="R10" s="616"/>
      <c r="S10" s="616"/>
      <c r="T10" s="616"/>
      <c r="U10" s="616"/>
      <c r="V10" s="616"/>
      <c r="W10" s="616"/>
      <c r="X10" s="616"/>
      <c r="Y10" s="616"/>
      <c r="Z10" s="616"/>
      <c r="AA10" s="616"/>
      <c r="AB10" s="616"/>
      <c r="AC10" s="616"/>
      <c r="AD10" s="616"/>
      <c r="AE10" s="616"/>
      <c r="AF10" s="616"/>
      <c r="AG10" s="616"/>
      <c r="AH10" s="616"/>
      <c r="AI10" s="616"/>
      <c r="AJ10" s="616"/>
      <c r="AK10" s="616"/>
      <c r="AL10" s="616"/>
      <c r="AM10" s="616"/>
      <c r="AN10" s="616"/>
      <c r="AO10" s="616"/>
      <c r="AP10" s="616"/>
      <c r="AQ10" s="616"/>
      <c r="AR10" s="616"/>
      <c r="AS10" s="616"/>
      <c r="AT10" s="616"/>
      <c r="AU10" s="616"/>
      <c r="AV10" s="616"/>
      <c r="AW10" s="616"/>
      <c r="AX10" s="616"/>
      <c r="AY10" s="616"/>
      <c r="AZ10" s="616"/>
      <c r="BA10" s="616"/>
      <c r="BB10" s="616"/>
      <c r="BC10" s="616"/>
      <c r="BD10" s="616"/>
      <c r="BE10" s="616"/>
      <c r="BF10" s="616"/>
      <c r="BG10" s="617"/>
    </row>
    <row r="11" ht="23.25" customHeight="1">
      <c r="A11" s="615"/>
      <c r="B11" s="619"/>
      <c r="C11" s="622"/>
      <c r="D11" s="622"/>
      <c r="E11" s="622"/>
      <c r="F11" s="622"/>
      <c r="G11" s="622"/>
      <c r="H11" t="s" s="527">
        <v>245</v>
      </c>
      <c r="I11" s="531"/>
      <c r="J11" s="623" cm="1">
        <f t="array" ref="J11">'Certificado'!J6</f>
        <v>46070</v>
      </c>
      <c r="K11" s="623"/>
      <c r="L11" s="616"/>
      <c r="M11" s="616"/>
      <c r="N11" s="616"/>
      <c r="O11" s="616"/>
      <c r="P11" s="616"/>
      <c r="Q11" s="616"/>
      <c r="R11" s="616"/>
      <c r="S11" s="616"/>
      <c r="T11" s="616"/>
      <c r="U11" s="616"/>
      <c r="V11" s="616"/>
      <c r="W11" s="616"/>
      <c r="X11" s="616"/>
      <c r="Y11" s="616"/>
      <c r="Z11" s="616"/>
      <c r="AA11" s="616"/>
      <c r="AB11" s="616"/>
      <c r="AC11" s="616"/>
      <c r="AD11" s="616"/>
      <c r="AE11" s="616"/>
      <c r="AF11" s="616"/>
      <c r="AG11" s="616"/>
      <c r="AH11" s="616"/>
      <c r="AI11" s="616"/>
      <c r="AJ11" s="616"/>
      <c r="AK11" s="616"/>
      <c r="AL11" s="616"/>
      <c r="AM11" s="616"/>
      <c r="AN11" s="616"/>
      <c r="AO11" s="616"/>
      <c r="AP11" s="616"/>
      <c r="AQ11" s="616"/>
      <c r="AR11" s="616"/>
      <c r="AS11" s="616"/>
      <c r="AT11" s="616"/>
      <c r="AU11" s="616"/>
      <c r="AV11" s="616"/>
      <c r="AW11" s="616"/>
      <c r="AX11" s="616"/>
      <c r="AY11" s="616"/>
      <c r="AZ11" s="616"/>
      <c r="BA11" s="616"/>
      <c r="BB11" s="616"/>
      <c r="BC11" s="616"/>
      <c r="BD11" s="616"/>
      <c r="BE11" s="616"/>
      <c r="BF11" s="616"/>
      <c r="BG11" s="617"/>
    </row>
    <row r="12" ht="23.25" customHeight="1">
      <c r="A12" s="615"/>
      <c r="B12" s="619"/>
      <c r="C12" s="619"/>
      <c r="D12" s="619"/>
      <c r="E12" s="619"/>
      <c r="F12" s="619"/>
      <c r="G12" s="619"/>
      <c r="H12" t="s" s="527">
        <v>246</v>
      </c>
      <c r="I12" s="528"/>
      <c r="J12" t="s" s="624">
        <v>247</v>
      </c>
      <c r="K12" s="529"/>
      <c r="L12" s="616"/>
      <c r="M12" s="616"/>
      <c r="N12" s="616"/>
      <c r="O12" s="616"/>
      <c r="P12" s="616"/>
      <c r="Q12" s="616"/>
      <c r="R12" s="616"/>
      <c r="S12" s="616"/>
      <c r="T12" s="616"/>
      <c r="U12" s="616"/>
      <c r="V12" s="616"/>
      <c r="W12" s="616"/>
      <c r="X12" s="616"/>
      <c r="Y12" s="616"/>
      <c r="Z12" s="616"/>
      <c r="AA12" s="616"/>
      <c r="AB12" s="616"/>
      <c r="AC12" s="616"/>
      <c r="AD12" s="616"/>
      <c r="AE12" s="616"/>
      <c r="AF12" s="616"/>
      <c r="AG12" s="616"/>
      <c r="AH12" s="616"/>
      <c r="AI12" s="616"/>
      <c r="AJ12" s="616"/>
      <c r="AK12" s="616"/>
      <c r="AL12" s="616"/>
      <c r="AM12" s="616"/>
      <c r="AN12" s="616"/>
      <c r="AO12" s="616"/>
      <c r="AP12" s="616"/>
      <c r="AQ12" s="616"/>
      <c r="AR12" s="616"/>
      <c r="AS12" s="616"/>
      <c r="AT12" s="616"/>
      <c r="AU12" s="616"/>
      <c r="AV12" s="616"/>
      <c r="AW12" s="616"/>
      <c r="AX12" s="616"/>
      <c r="AY12" s="616"/>
      <c r="AZ12" s="616"/>
      <c r="BA12" s="616"/>
      <c r="BB12" s="616"/>
      <c r="BC12" s="616"/>
      <c r="BD12" s="616"/>
      <c r="BE12" s="616"/>
      <c r="BF12" s="616"/>
      <c r="BG12" s="617"/>
    </row>
    <row r="13" ht="8" customHeight="1">
      <c r="A13" s="615"/>
      <c r="B13" s="619"/>
      <c r="C13" s="625"/>
      <c r="D13" s="625"/>
      <c r="E13" s="625"/>
      <c r="F13" s="619"/>
      <c r="G13" s="619"/>
      <c r="H13" s="626"/>
      <c r="I13" s="627"/>
      <c r="J13" s="628"/>
      <c r="K13" s="629"/>
      <c r="L13" s="616"/>
      <c r="M13" s="616"/>
      <c r="N13" s="616"/>
      <c r="O13" s="616"/>
      <c r="P13" s="616"/>
      <c r="Q13" s="616"/>
      <c r="R13" s="616"/>
      <c r="S13" s="616"/>
      <c r="T13" s="616"/>
      <c r="U13" s="616"/>
      <c r="V13" s="616"/>
      <c r="W13" s="616"/>
      <c r="X13" s="616"/>
      <c r="Y13" s="616"/>
      <c r="Z13" s="616"/>
      <c r="AA13" s="616"/>
      <c r="AB13" s="616"/>
      <c r="AC13" s="616"/>
      <c r="AD13" s="616"/>
      <c r="AE13" s="616"/>
      <c r="AF13" s="616"/>
      <c r="AG13" s="616"/>
      <c r="AH13" s="616"/>
      <c r="AI13" s="616"/>
      <c r="AJ13" s="616"/>
      <c r="AK13" s="616"/>
      <c r="AL13" s="616"/>
      <c r="AM13" s="616"/>
      <c r="AN13" s="616"/>
      <c r="AO13" s="616"/>
      <c r="AP13" s="616"/>
      <c r="AQ13" s="616"/>
      <c r="AR13" s="616"/>
      <c r="AS13" s="616"/>
      <c r="AT13" s="616"/>
      <c r="AU13" s="616"/>
      <c r="AV13" s="616"/>
      <c r="AW13" s="616"/>
      <c r="AX13" s="616"/>
      <c r="AY13" s="616"/>
      <c r="AZ13" s="616"/>
      <c r="BA13" s="616"/>
      <c r="BB13" s="616"/>
      <c r="BC13" s="616"/>
      <c r="BD13" s="616"/>
      <c r="BE13" s="616"/>
      <c r="BF13" s="616"/>
      <c r="BG13" s="617"/>
    </row>
    <row r="14" ht="16.5" customHeight="1">
      <c r="A14" s="615"/>
      <c r="B14" s="630"/>
      <c r="C14" t="s" s="631">
        <v>248</v>
      </c>
      <c r="D14" s="632"/>
      <c r="E14" s="633"/>
      <c r="F14" s="634"/>
      <c r="G14" s="635"/>
      <c r="H14" t="s" s="631">
        <v>249</v>
      </c>
      <c r="I14" s="632"/>
      <c r="J14" s="633"/>
      <c r="K14" s="636"/>
      <c r="L14" s="616"/>
      <c r="M14" s="616"/>
      <c r="N14" s="616"/>
      <c r="O14" s="616"/>
      <c r="P14" s="616"/>
      <c r="Q14" s="616"/>
      <c r="R14" s="616"/>
      <c r="S14" s="616"/>
      <c r="T14" s="616"/>
      <c r="U14" s="616"/>
      <c r="V14" s="616"/>
      <c r="W14" s="616"/>
      <c r="X14" s="616"/>
      <c r="Y14" s="616"/>
      <c r="Z14" s="616"/>
      <c r="AA14" s="616"/>
      <c r="AB14" s="616"/>
      <c r="AC14" s="616"/>
      <c r="AD14" s="616"/>
      <c r="AE14" s="616"/>
      <c r="AF14" s="616"/>
      <c r="AG14" s="616"/>
      <c r="AH14" s="616"/>
      <c r="AI14" s="616"/>
      <c r="AJ14" s="616"/>
      <c r="AK14" s="616"/>
      <c r="AL14" s="616"/>
      <c r="AM14" s="616"/>
      <c r="AN14" s="616"/>
      <c r="AO14" s="616"/>
      <c r="AP14" s="616"/>
      <c r="AQ14" s="616"/>
      <c r="AR14" s="616"/>
      <c r="AS14" s="616"/>
      <c r="AT14" s="616"/>
      <c r="AU14" s="616"/>
      <c r="AV14" s="616"/>
      <c r="AW14" s="616"/>
      <c r="AX14" s="616"/>
      <c r="AY14" s="616"/>
      <c r="AZ14" s="616"/>
      <c r="BA14" s="616"/>
      <c r="BB14" s="616"/>
      <c r="BC14" s="616"/>
      <c r="BD14" s="616"/>
      <c r="BE14" s="616"/>
      <c r="BF14" s="616"/>
      <c r="BG14" s="617"/>
    </row>
    <row r="15" ht="12.75" customHeight="1">
      <c r="A15" s="615"/>
      <c r="B15" s="637"/>
      <c r="C15" t="s" s="638">
        <v>137</v>
      </c>
      <c r="D15" t="s" s="639">
        <v>250</v>
      </c>
      <c r="E15" s="640"/>
      <c r="F15" t="s" s="641">
        <v>251</v>
      </c>
      <c r="G15" s="642"/>
      <c r="H15" t="s" s="643">
        <v>252</v>
      </c>
      <c r="I15" t="s" s="644">
        <v>253</v>
      </c>
      <c r="J15" s="645"/>
      <c r="K15" s="646"/>
      <c r="L15" s="616"/>
      <c r="M15" s="616"/>
      <c r="N15" s="616"/>
      <c r="O15" s="616"/>
      <c r="P15" s="616"/>
      <c r="Q15" s="616"/>
      <c r="R15" s="616"/>
      <c r="S15" s="616"/>
      <c r="T15" s="616"/>
      <c r="U15" s="616"/>
      <c r="V15" s="616"/>
      <c r="W15" s="616"/>
      <c r="X15" s="616"/>
      <c r="Y15" s="616"/>
      <c r="Z15" s="616"/>
      <c r="AA15" s="616"/>
      <c r="AB15" s="616"/>
      <c r="AC15" s="616"/>
      <c r="AD15" s="616"/>
      <c r="AE15" s="616"/>
      <c r="AF15" s="616"/>
      <c r="AG15" s="616"/>
      <c r="AH15" s="616"/>
      <c r="AI15" s="616"/>
      <c r="AJ15" s="616"/>
      <c r="AK15" s="616"/>
      <c r="AL15" s="616"/>
      <c r="AM15" s="616"/>
      <c r="AN15" s="616"/>
      <c r="AO15" s="616"/>
      <c r="AP15" s="616"/>
      <c r="AQ15" s="616"/>
      <c r="AR15" s="616"/>
      <c r="AS15" s="616"/>
      <c r="AT15" s="616"/>
      <c r="AU15" s="616"/>
      <c r="AV15" s="616"/>
      <c r="AW15" s="616"/>
      <c r="AX15" s="616"/>
      <c r="AY15" s="616"/>
      <c r="AZ15" s="616"/>
      <c r="BA15" s="616"/>
      <c r="BB15" s="616"/>
      <c r="BC15" s="616"/>
      <c r="BD15" s="616"/>
      <c r="BE15" s="616"/>
      <c r="BF15" s="616"/>
      <c r="BG15" s="617"/>
    </row>
    <row r="16" ht="30" customHeight="1">
      <c r="A16" s="647"/>
      <c r="B16" t="s" s="648">
        <v>254</v>
      </c>
      <c r="C16" t="s" s="649">
        <v>86</v>
      </c>
      <c r="D16" t="s" s="639">
        <v>86</v>
      </c>
      <c r="E16" s="640"/>
      <c r="F16" s="650"/>
      <c r="G16" s="630"/>
      <c r="H16" t="s" s="651">
        <v>86</v>
      </c>
      <c r="I16" t="s" s="652">
        <v>86</v>
      </c>
      <c r="J16" s="653"/>
      <c r="K16" s="654"/>
      <c r="L16" s="655"/>
      <c r="M16" s="655"/>
      <c r="N16" s="655"/>
      <c r="O16" s="655"/>
      <c r="P16" s="655"/>
      <c r="Q16" s="655"/>
      <c r="R16" s="655"/>
      <c r="S16" s="655"/>
      <c r="T16" s="655"/>
      <c r="U16" s="655"/>
      <c r="V16" s="655"/>
      <c r="W16" s="655"/>
      <c r="X16" s="655"/>
      <c r="Y16" s="655"/>
      <c r="Z16" s="655"/>
      <c r="AA16" s="656"/>
      <c r="AB16" s="656"/>
      <c r="AC16" s="655"/>
      <c r="AD16" s="655"/>
      <c r="AE16" s="655"/>
      <c r="AF16" s="655"/>
      <c r="AG16" s="655"/>
      <c r="AH16" s="655"/>
      <c r="AI16" s="655"/>
      <c r="AJ16" s="655"/>
      <c r="AK16" s="655"/>
      <c r="AL16" s="655"/>
      <c r="AM16" s="655"/>
      <c r="AN16" s="655"/>
      <c r="AO16" s="655"/>
      <c r="AP16" s="655"/>
      <c r="AQ16" s="655"/>
      <c r="AR16" s="655"/>
      <c r="AS16" s="655"/>
      <c r="AT16" s="657"/>
      <c r="AU16" s="657"/>
      <c r="AV16" s="657"/>
      <c r="AW16" s="655"/>
      <c r="AX16" s="655"/>
      <c r="AY16" s="655"/>
      <c r="AZ16" s="655"/>
      <c r="BA16" s="655"/>
      <c r="BB16" s="655"/>
      <c r="BC16" s="655"/>
      <c r="BD16" s="655"/>
      <c r="BE16" s="655"/>
      <c r="BF16" s="655"/>
      <c r="BG16" s="658"/>
    </row>
    <row r="17" ht="12.75" customHeight="1">
      <c r="A17" s="659"/>
      <c r="B17" s="660">
        <v>1</v>
      </c>
      <c r="C17" s="661" cm="1">
        <f t="array" ref="C17">'CALCULOS'!C35</f>
        <v>500</v>
      </c>
      <c r="D17" s="662" cm="1">
        <f t="array" ref="D17">'CALCULOS'!B39</f>
        <v>500.01</v>
      </c>
      <c r="E17" s="662"/>
      <c r="F17" s="663"/>
      <c r="G17" s="664"/>
      <c r="H17" s="665" cm="1">
        <f t="array" ref="H17">'CALCULOS'!J44</f>
        <v>500.02</v>
      </c>
      <c r="I17" s="666" cm="1">
        <f t="array" ref="I17">'CALCULOS'!J45</f>
        <v>0.00707106781186548</v>
      </c>
      <c r="J17" s="667">
        <v>0.5</v>
      </c>
      <c r="K17" s="663"/>
      <c r="L17" s="655"/>
      <c r="M17" s="655"/>
      <c r="N17" s="655"/>
      <c r="O17" s="655"/>
      <c r="P17" s="655"/>
      <c r="Q17" s="655"/>
      <c r="R17" s="655"/>
      <c r="S17" s="655"/>
      <c r="T17" s="668"/>
      <c r="U17" s="668"/>
      <c r="V17" s="668"/>
      <c r="W17" s="668"/>
      <c r="X17" s="668"/>
      <c r="Y17" s="668"/>
      <c r="Z17" s="668"/>
      <c r="AA17" s="668"/>
      <c r="AB17" s="668"/>
      <c r="AC17" s="668"/>
      <c r="AD17" s="668"/>
      <c r="AE17" s="668"/>
      <c r="AF17" s="668"/>
      <c r="AG17" s="655"/>
      <c r="AH17" s="669"/>
      <c r="AI17" s="669"/>
      <c r="AJ17" s="669"/>
      <c r="AK17" s="669"/>
      <c r="AL17" s="669"/>
      <c r="AM17" s="669"/>
      <c r="AN17" s="655"/>
      <c r="AO17" s="655"/>
      <c r="AP17" s="656"/>
      <c r="AQ17" s="656"/>
      <c r="AR17" s="656"/>
      <c r="AS17" s="670"/>
      <c r="AT17" s="657"/>
      <c r="AU17" s="657"/>
      <c r="AV17" s="657"/>
      <c r="AW17" s="655"/>
      <c r="AX17" s="655"/>
      <c r="AY17" s="655"/>
      <c r="AZ17" s="655"/>
      <c r="BA17" s="655"/>
      <c r="BB17" s="655"/>
      <c r="BC17" s="655"/>
      <c r="BD17" s="655"/>
      <c r="BE17" s="655"/>
      <c r="BF17" s="655"/>
      <c r="BG17" s="658"/>
    </row>
    <row r="18" ht="12.75" customHeight="1">
      <c r="A18" s="671"/>
      <c r="B18" s="660">
        <v>2</v>
      </c>
      <c r="C18" s="672"/>
      <c r="D18" s="673" cm="1">
        <f t="array" ref="D18">'CALCULOS'!B40</f>
        <v>500.02</v>
      </c>
      <c r="E18" s="673"/>
      <c r="F18" s="663"/>
      <c r="G18" s="655"/>
      <c r="H18" s="674"/>
      <c r="I18" s="674"/>
      <c r="J18" s="674"/>
      <c r="K18" s="655"/>
      <c r="L18" s="655"/>
      <c r="M18" s="655"/>
      <c r="N18" s="655"/>
      <c r="O18" s="655"/>
      <c r="P18" s="655"/>
      <c r="Q18" s="655"/>
      <c r="R18" s="655"/>
      <c r="S18" s="655"/>
      <c r="T18" s="675"/>
      <c r="U18" s="675"/>
      <c r="V18" s="676"/>
      <c r="W18" s="676"/>
      <c r="X18" s="676"/>
      <c r="Y18" s="677"/>
      <c r="Z18" s="678"/>
      <c r="AA18" s="679"/>
      <c r="AB18" s="679"/>
      <c r="AC18" s="680"/>
      <c r="AD18" s="680"/>
      <c r="AE18" s="680"/>
      <c r="AF18" s="680"/>
      <c r="AG18" s="655"/>
      <c r="AH18" s="669"/>
      <c r="AI18" s="669"/>
      <c r="AJ18" s="669"/>
      <c r="AK18" s="669"/>
      <c r="AL18" s="669"/>
      <c r="AM18" s="669"/>
      <c r="AN18" s="655"/>
      <c r="AO18" s="681"/>
      <c r="AP18" s="682"/>
      <c r="AQ18" s="655"/>
      <c r="AR18" s="670"/>
      <c r="AS18" s="670"/>
      <c r="AT18" s="657"/>
      <c r="AU18" s="657"/>
      <c r="AV18" s="657"/>
      <c r="AW18" s="655"/>
      <c r="AX18" s="655"/>
      <c r="AY18" s="655"/>
      <c r="AZ18" s="655"/>
      <c r="BA18" s="655"/>
      <c r="BB18" s="655"/>
      <c r="BC18" s="655"/>
      <c r="BD18" s="655"/>
      <c r="BE18" s="655"/>
      <c r="BF18" s="655"/>
      <c r="BG18" s="658"/>
    </row>
    <row r="19" ht="14.25" customHeight="1">
      <c r="A19" s="671"/>
      <c r="B19" s="660">
        <v>3</v>
      </c>
      <c r="C19" s="672"/>
      <c r="D19" s="673" cm="1">
        <f t="array" ref="D19">'CALCULOS'!B41</f>
        <v>500.01</v>
      </c>
      <c r="E19" s="673"/>
      <c r="F19" s="663"/>
      <c r="G19" s="655"/>
      <c r="H19" s="683"/>
      <c r="I19" s="683"/>
      <c r="J19" s="683"/>
      <c r="K19" s="655"/>
      <c r="L19" s="684"/>
      <c r="M19" s="655"/>
      <c r="N19" s="655"/>
      <c r="O19" s="655"/>
      <c r="P19" s="655"/>
      <c r="Q19" s="655"/>
      <c r="R19" s="655"/>
      <c r="S19" s="655"/>
      <c r="T19" s="675"/>
      <c r="U19" s="675"/>
      <c r="V19" s="676"/>
      <c r="W19" s="678"/>
      <c r="X19" s="676"/>
      <c r="Y19" s="676"/>
      <c r="Z19" s="678"/>
      <c r="AA19" s="685"/>
      <c r="AB19" s="685"/>
      <c r="AC19" s="680"/>
      <c r="AD19" s="680"/>
      <c r="AE19" s="680"/>
      <c r="AF19" s="680"/>
      <c r="AG19" s="655"/>
      <c r="AH19" s="686"/>
      <c r="AI19" s="686"/>
      <c r="AJ19" s="686"/>
      <c r="AK19" s="686"/>
      <c r="AL19" s="687"/>
      <c r="AM19" s="687"/>
      <c r="AN19" s="655"/>
      <c r="AO19" s="688"/>
      <c r="AP19" s="688"/>
      <c r="AQ19" s="688"/>
      <c r="AR19" s="688"/>
      <c r="AS19" s="689"/>
      <c r="AT19" s="690"/>
      <c r="AU19" s="690"/>
      <c r="AV19" s="690"/>
      <c r="AW19" s="691"/>
      <c r="AX19" s="691"/>
      <c r="AY19" s="692"/>
      <c r="AZ19" s="692"/>
      <c r="BA19" s="692"/>
      <c r="BB19" s="692"/>
      <c r="BC19" s="691"/>
      <c r="BD19" s="691"/>
      <c r="BE19" s="691"/>
      <c r="BF19" s="655"/>
      <c r="BG19" s="658"/>
    </row>
    <row r="20" ht="12.75" customHeight="1">
      <c r="A20" s="659"/>
      <c r="B20" s="660">
        <v>4</v>
      </c>
      <c r="C20" s="672"/>
      <c r="D20" s="673" cm="1">
        <f t="array" ref="D20">'CALCULOS'!B42</f>
        <v>500.02</v>
      </c>
      <c r="E20" s="673"/>
      <c r="F20" t="s" s="693">
        <v>255</v>
      </c>
      <c r="G20" s="694"/>
      <c r="H20" s="695"/>
      <c r="I20" s="696"/>
      <c r="J20" s="696"/>
      <c r="K20" s="655"/>
      <c r="L20" s="670"/>
      <c r="M20" s="697"/>
      <c r="N20" s="697"/>
      <c r="O20" s="698"/>
      <c r="P20" s="698"/>
      <c r="Q20" s="698"/>
      <c r="R20" s="655"/>
      <c r="S20" s="655"/>
      <c r="T20" s="675"/>
      <c r="U20" s="675"/>
      <c r="V20" s="676"/>
      <c r="W20" s="699"/>
      <c r="X20" s="676"/>
      <c r="Y20" s="676"/>
      <c r="Z20" s="678"/>
      <c r="AA20" s="685"/>
      <c r="AB20" s="685"/>
      <c r="AC20" s="680"/>
      <c r="AD20" s="680"/>
      <c r="AE20" s="680"/>
      <c r="AF20" s="680"/>
      <c r="AG20" s="655"/>
      <c r="AH20" s="686"/>
      <c r="AI20" s="686"/>
      <c r="AJ20" s="686"/>
      <c r="AK20" s="686"/>
      <c r="AL20" s="687"/>
      <c r="AM20" s="687"/>
      <c r="AN20" s="655"/>
      <c r="AO20" s="689"/>
      <c r="AP20" s="689"/>
      <c r="AQ20" s="670"/>
      <c r="AR20" s="689"/>
      <c r="AS20" s="689"/>
      <c r="AT20" s="690"/>
      <c r="AU20" s="690"/>
      <c r="AV20" s="690"/>
      <c r="AW20" s="691"/>
      <c r="AX20" s="700"/>
      <c r="AY20" s="701"/>
      <c r="AZ20" s="701"/>
      <c r="BA20" s="701"/>
      <c r="BB20" s="701"/>
      <c r="BC20" s="691"/>
      <c r="BD20" s="691"/>
      <c r="BE20" s="691"/>
      <c r="BF20" s="655"/>
      <c r="BG20" s="658"/>
    </row>
    <row r="21" ht="12.75" customHeight="1">
      <c r="A21" s="659"/>
      <c r="B21" s="660">
        <v>5</v>
      </c>
      <c r="C21" s="672"/>
      <c r="D21" s="673" cm="1">
        <f t="array" ref="D21">'CALCULOS'!B43</f>
        <v>500.02</v>
      </c>
      <c r="E21" s="673"/>
      <c r="F21" s="702"/>
      <c r="G21" s="655"/>
      <c r="H21" s="695"/>
      <c r="I21" s="696"/>
      <c r="J21" s="696"/>
      <c r="K21" s="655"/>
      <c r="L21" s="670"/>
      <c r="M21" s="703"/>
      <c r="N21" s="703"/>
      <c r="O21" s="703"/>
      <c r="P21" s="704"/>
      <c r="Q21" s="703"/>
      <c r="R21" s="655"/>
      <c r="S21" s="655"/>
      <c r="T21" s="675"/>
      <c r="U21" s="675"/>
      <c r="V21" s="705"/>
      <c r="W21" s="699"/>
      <c r="X21" s="677"/>
      <c r="Y21" s="677"/>
      <c r="Z21" s="706"/>
      <c r="AA21" s="679"/>
      <c r="AB21" s="679"/>
      <c r="AC21" s="680"/>
      <c r="AD21" s="680"/>
      <c r="AE21" s="680"/>
      <c r="AF21" s="680"/>
      <c r="AG21" s="655"/>
      <c r="AH21" s="686"/>
      <c r="AI21" s="686"/>
      <c r="AJ21" s="686"/>
      <c r="AK21" s="686"/>
      <c r="AL21" s="707"/>
      <c r="AM21" s="707"/>
      <c r="AN21" s="655"/>
      <c r="AO21" s="689"/>
      <c r="AP21" s="689"/>
      <c r="AQ21" s="670"/>
      <c r="AR21" s="689"/>
      <c r="AS21" s="689"/>
      <c r="AT21" s="690"/>
      <c r="AU21" s="690"/>
      <c r="AV21" s="690"/>
      <c r="AW21" s="691"/>
      <c r="AX21" s="700"/>
      <c r="AY21" s="708"/>
      <c r="AZ21" s="709"/>
      <c r="BA21" s="709"/>
      <c r="BB21" s="709"/>
      <c r="BC21" s="691"/>
      <c r="BD21" s="691"/>
      <c r="BE21" s="691"/>
      <c r="BF21" s="655"/>
      <c r="BG21" s="658"/>
    </row>
    <row r="22" ht="12.75" customHeight="1">
      <c r="A22" s="615"/>
      <c r="B22" s="710"/>
      <c r="C22" t="s" s="711">
        <v>256</v>
      </c>
      <c r="D22" s="712"/>
      <c r="E22" s="713" cm="1">
        <f t="array" ref="E22">'CALCULOS'!C44</f>
        <v>0.01</v>
      </c>
      <c r="F22" s="714"/>
      <c r="G22" s="655"/>
      <c r="H22" s="655"/>
      <c r="I22" s="655"/>
      <c r="J22" s="655"/>
      <c r="K22" s="655"/>
      <c r="L22" s="670"/>
      <c r="M22" s="715"/>
      <c r="N22" s="716"/>
      <c r="O22" s="717"/>
      <c r="P22" s="717"/>
      <c r="Q22" s="717"/>
      <c r="R22" s="698"/>
      <c r="S22" s="655"/>
      <c r="T22" s="675"/>
      <c r="U22" s="675"/>
      <c r="V22" s="676"/>
      <c r="W22" s="699"/>
      <c r="X22" s="670"/>
      <c r="Y22" s="670"/>
      <c r="Z22" s="670"/>
      <c r="AA22" s="670"/>
      <c r="AB22" s="670"/>
      <c r="AC22" s="670"/>
      <c r="AD22" s="670"/>
      <c r="AE22" s="670"/>
      <c r="AF22" s="670"/>
      <c r="AG22" s="655"/>
      <c r="AH22" s="670"/>
      <c r="AI22" s="670"/>
      <c r="AJ22" s="670"/>
      <c r="AK22" s="670"/>
      <c r="AL22" s="670"/>
      <c r="AM22" s="670"/>
      <c r="AN22" s="655"/>
      <c r="AO22" s="689"/>
      <c r="AP22" s="689"/>
      <c r="AQ22" s="670"/>
      <c r="AR22" s="689"/>
      <c r="AS22" s="689"/>
      <c r="AT22" s="690"/>
      <c r="AU22" s="690"/>
      <c r="AV22" s="690"/>
      <c r="AW22" s="691"/>
      <c r="AX22" s="718"/>
      <c r="AY22" s="708"/>
      <c r="AZ22" s="708"/>
      <c r="BA22" s="708"/>
      <c r="BB22" s="708"/>
      <c r="BC22" s="691"/>
      <c r="BD22" s="691"/>
      <c r="BE22" s="691"/>
      <c r="BF22" s="655"/>
      <c r="BG22" s="658"/>
    </row>
    <row r="23" ht="12.75" customHeight="1">
      <c r="A23" s="719"/>
      <c r="B23" s="687"/>
      <c r="C23" s="720"/>
      <c r="D23" s="721"/>
      <c r="E23" s="722"/>
      <c r="F23" s="655"/>
      <c r="G23" s="655"/>
      <c r="H23" s="655"/>
      <c r="I23" s="655"/>
      <c r="J23" s="655"/>
      <c r="K23" s="655"/>
      <c r="L23" s="670"/>
      <c r="M23" s="715"/>
      <c r="N23" s="716"/>
      <c r="O23" s="717"/>
      <c r="P23" s="717"/>
      <c r="Q23" s="717"/>
      <c r="R23" s="698"/>
      <c r="S23" s="655"/>
      <c r="T23" s="675"/>
      <c r="U23" s="675"/>
      <c r="V23" s="676"/>
      <c r="W23" s="723"/>
      <c r="X23" s="670"/>
      <c r="Y23" s="670"/>
      <c r="Z23" s="670"/>
      <c r="AA23" s="670"/>
      <c r="AB23" s="670"/>
      <c r="AC23" s="670"/>
      <c r="AD23" s="670"/>
      <c r="AE23" s="670"/>
      <c r="AF23" s="670"/>
      <c r="AG23" s="655"/>
      <c r="AH23" s="724"/>
      <c r="AI23" s="725"/>
      <c r="AJ23" s="725"/>
      <c r="AK23" s="726"/>
      <c r="AL23" s="727"/>
      <c r="AM23" s="727"/>
      <c r="AN23" s="655"/>
      <c r="AO23" s="681"/>
      <c r="AP23" s="728"/>
      <c r="AQ23" s="728"/>
      <c r="AR23" s="670"/>
      <c r="AS23" s="670"/>
      <c r="AT23" s="690"/>
      <c r="AU23" s="690"/>
      <c r="AV23" s="690"/>
      <c r="AW23" s="691"/>
      <c r="AX23" s="729"/>
      <c r="AY23" s="729"/>
      <c r="AZ23" s="729"/>
      <c r="BA23" s="730"/>
      <c r="BB23" s="731"/>
      <c r="BC23" s="691"/>
      <c r="BD23" s="691"/>
      <c r="BE23" s="691"/>
      <c r="BF23" s="655"/>
      <c r="BG23" s="658"/>
    </row>
    <row r="24" ht="13.5" customHeight="1">
      <c r="A24" s="732"/>
      <c r="B24" s="733"/>
      <c r="C24" t="s" s="734">
        <v>257</v>
      </c>
      <c r="D24" s="735"/>
      <c r="E24" s="735"/>
      <c r="F24" s="735"/>
      <c r="G24" s="735"/>
      <c r="H24" s="735"/>
      <c r="I24" s="735"/>
      <c r="J24" s="735"/>
      <c r="K24" s="733"/>
      <c r="L24" s="733"/>
      <c r="M24" s="655"/>
      <c r="N24" s="716"/>
      <c r="O24" s="717"/>
      <c r="P24" s="717"/>
      <c r="Q24" s="717"/>
      <c r="R24" s="698"/>
      <c r="S24" s="655"/>
      <c r="T24" s="675"/>
      <c r="U24" s="675"/>
      <c r="V24" s="676"/>
      <c r="W24" s="655"/>
      <c r="X24" s="670"/>
      <c r="Y24" s="670"/>
      <c r="Z24" s="670"/>
      <c r="AA24" s="670"/>
      <c r="AB24" s="670"/>
      <c r="AC24" s="670"/>
      <c r="AD24" s="670"/>
      <c r="AE24" s="670"/>
      <c r="AF24" s="670"/>
      <c r="AG24" s="655"/>
      <c r="AH24" s="736"/>
      <c r="AI24" s="725"/>
      <c r="AJ24" s="725"/>
      <c r="AK24" s="737"/>
      <c r="AL24" s="727"/>
      <c r="AM24" s="727"/>
      <c r="AN24" s="655"/>
      <c r="AO24" s="689"/>
      <c r="AP24" s="689"/>
      <c r="AQ24" s="670"/>
      <c r="AR24" s="689"/>
      <c r="AS24" s="738"/>
      <c r="AT24" s="690"/>
      <c r="AU24" s="690"/>
      <c r="AV24" s="690"/>
      <c r="AW24" s="691"/>
      <c r="AX24" s="729"/>
      <c r="AY24" s="729"/>
      <c r="AZ24" s="729"/>
      <c r="BA24" s="730"/>
      <c r="BB24" s="731"/>
      <c r="BC24" s="691"/>
      <c r="BD24" s="691"/>
      <c r="BE24" s="691"/>
      <c r="BF24" s="655"/>
      <c r="BG24" s="658"/>
    </row>
    <row r="25" ht="13.5" customHeight="1">
      <c r="A25" s="615"/>
      <c r="B25" s="739"/>
      <c r="C25" t="s" s="740">
        <v>258</v>
      </c>
      <c r="D25" t="s" s="741">
        <v>259</v>
      </c>
      <c r="E25" s="742"/>
      <c r="F25" t="s" s="740">
        <v>260</v>
      </c>
      <c r="G25" t="s" s="743">
        <v>261</v>
      </c>
      <c r="H25" s="744"/>
      <c r="I25" s="744"/>
      <c r="J25" s="744"/>
      <c r="K25" s="682"/>
      <c r="L25" s="682"/>
      <c r="M25" s="682"/>
      <c r="N25" s="716"/>
      <c r="O25" s="717"/>
      <c r="P25" s="717"/>
      <c r="Q25" s="717"/>
      <c r="R25" s="698"/>
      <c r="S25" s="655"/>
      <c r="T25" s="745"/>
      <c r="U25" s="745"/>
      <c r="V25" s="746"/>
      <c r="W25" s="746"/>
      <c r="X25" s="746"/>
      <c r="Y25" s="746"/>
      <c r="Z25" s="746"/>
      <c r="AA25" s="746"/>
      <c r="AB25" s="747"/>
      <c r="AC25" s="748"/>
      <c r="AD25" s="746"/>
      <c r="AE25" s="746"/>
      <c r="AF25" s="746"/>
      <c r="AG25" s="655"/>
      <c r="AH25" s="736"/>
      <c r="AI25" s="725"/>
      <c r="AJ25" s="725"/>
      <c r="AK25" s="737"/>
      <c r="AL25" s="727"/>
      <c r="AM25" s="727"/>
      <c r="AN25" s="655"/>
      <c r="AO25" s="682"/>
      <c r="AP25" s="687"/>
      <c r="AQ25" s="687"/>
      <c r="AR25" s="749"/>
      <c r="AS25" s="750"/>
      <c r="AT25" s="751"/>
      <c r="AU25" s="751"/>
      <c r="AV25" s="751"/>
      <c r="AW25" s="691"/>
      <c r="AX25" s="729"/>
      <c r="AY25" s="729"/>
      <c r="AZ25" s="729"/>
      <c r="BA25" s="730"/>
      <c r="BB25" s="731"/>
      <c r="BC25" s="691"/>
      <c r="BD25" s="691"/>
      <c r="BE25" s="691"/>
      <c r="BF25" s="655"/>
      <c r="BG25" s="658"/>
    </row>
    <row r="26" ht="12.75" customHeight="1">
      <c r="A26" s="615"/>
      <c r="B26" s="739"/>
      <c r="C26" s="752"/>
      <c r="D26" s="753"/>
      <c r="E26" s="753"/>
      <c r="F26" s="754"/>
      <c r="G26" s="755"/>
      <c r="H26" s="616"/>
      <c r="I26" s="616"/>
      <c r="J26" s="616"/>
      <c r="K26" s="616"/>
      <c r="L26" s="616"/>
      <c r="M26" s="616"/>
      <c r="N26" s="716"/>
      <c r="O26" s="717"/>
      <c r="P26" s="717"/>
      <c r="Q26" s="717"/>
      <c r="R26" s="698"/>
      <c r="S26" s="655"/>
      <c r="T26" s="745"/>
      <c r="U26" s="745"/>
      <c r="V26" s="746"/>
      <c r="W26" s="746"/>
      <c r="X26" s="746"/>
      <c r="Y26" s="746"/>
      <c r="Z26" s="746"/>
      <c r="AA26" s="746"/>
      <c r="AB26" s="746"/>
      <c r="AC26" s="746"/>
      <c r="AD26" s="746"/>
      <c r="AE26" s="746"/>
      <c r="AF26" s="748"/>
      <c r="AG26" s="655"/>
      <c r="AH26" s="736"/>
      <c r="AI26" s="725"/>
      <c r="AJ26" s="725"/>
      <c r="AK26" s="737"/>
      <c r="AL26" s="727"/>
      <c r="AM26" s="727"/>
      <c r="AN26" s="655"/>
      <c r="AO26" s="682"/>
      <c r="AP26" s="687"/>
      <c r="AQ26" s="687"/>
      <c r="AR26" s="749"/>
      <c r="AS26" s="750"/>
      <c r="AT26" s="751"/>
      <c r="AU26" s="751"/>
      <c r="AV26" s="751"/>
      <c r="AW26" s="691"/>
      <c r="AX26" s="729"/>
      <c r="AY26" s="729"/>
      <c r="AZ26" s="729"/>
      <c r="BA26" s="730"/>
      <c r="BB26" s="731"/>
      <c r="BC26" s="691"/>
      <c r="BD26" s="691"/>
      <c r="BE26" s="691"/>
      <c r="BF26" s="655"/>
      <c r="BG26" s="658"/>
    </row>
    <row r="27" ht="13.5" customHeight="1">
      <c r="A27" s="615"/>
      <c r="B27" s="739"/>
      <c r="C27" t="s" s="756">
        <v>86</v>
      </c>
      <c r="D27" t="str" s="757" cm="1">
        <f t="array" ref="D27">C27</f>
        <v>g</v>
      </c>
      <c r="E27" s="757"/>
      <c r="F27" t="str" s="757" cm="1">
        <f t="array" ref="F27">D27</f>
        <v>g</v>
      </c>
      <c r="G27" s="755"/>
      <c r="H27" s="655"/>
      <c r="I27" s="655"/>
      <c r="J27" s="655"/>
      <c r="K27" s="655"/>
      <c r="L27" s="655"/>
      <c r="M27" s="670"/>
      <c r="N27" s="716"/>
      <c r="O27" s="716"/>
      <c r="P27" s="716"/>
      <c r="Q27" s="716"/>
      <c r="R27" s="704"/>
      <c r="S27" s="670"/>
      <c r="T27" s="670"/>
      <c r="U27" s="670"/>
      <c r="V27" s="670"/>
      <c r="W27" s="670"/>
      <c r="X27" s="670"/>
      <c r="Y27" s="670"/>
      <c r="Z27" s="758"/>
      <c r="AA27" s="758"/>
      <c r="AB27" s="758"/>
      <c r="AC27" s="758"/>
      <c r="AD27" s="758"/>
      <c r="AE27" s="758"/>
      <c r="AF27" s="655"/>
      <c r="AG27" s="655"/>
      <c r="AH27" s="736"/>
      <c r="AI27" s="725"/>
      <c r="AJ27" s="725"/>
      <c r="AK27" s="737"/>
      <c r="AL27" s="727"/>
      <c r="AM27" s="727"/>
      <c r="AN27" s="655"/>
      <c r="AO27" s="682"/>
      <c r="AP27" s="687"/>
      <c r="AQ27" s="687"/>
      <c r="AR27" s="749"/>
      <c r="AS27" s="750"/>
      <c r="AT27" s="751"/>
      <c r="AU27" s="751"/>
      <c r="AV27" s="751"/>
      <c r="AW27" s="691"/>
      <c r="AX27" s="729"/>
      <c r="AY27" s="729"/>
      <c r="AZ27" s="729"/>
      <c r="BA27" s="730"/>
      <c r="BB27" s="731"/>
      <c r="BC27" s="691"/>
      <c r="BD27" s="691"/>
      <c r="BE27" s="691"/>
      <c r="BF27" s="655"/>
      <c r="BG27" s="658"/>
    </row>
    <row r="28" ht="12.75" customHeight="1">
      <c r="A28" s="615"/>
      <c r="B28" s="739"/>
      <c r="C28" s="759" cm="1">
        <f t="array" ref="C28">'CALCULOS'!B59</f>
        <v>5</v>
      </c>
      <c r="D28" s="760" cm="1">
        <f t="array" ref="D28">'CALCULOS'!Q59</f>
        <v>-6e-06</v>
      </c>
      <c r="E28" s="760"/>
      <c r="F28" s="761" cm="1">
        <f t="array" ref="F28">'CALCULOS'!S59</f>
        <v>0.0103281318898111</v>
      </c>
      <c r="G28" s="755"/>
      <c r="H28" s="655"/>
      <c r="I28" s="655"/>
      <c r="J28" s="655"/>
      <c r="K28" s="655"/>
      <c r="L28" s="655"/>
      <c r="M28" s="762" cm="1">
        <f t="array" ref="M28">D23</f>
        <v>0</v>
      </c>
      <c r="N28" s="762" cm="1">
        <f t="array" ref="N28">-E28</f>
      </c>
      <c r="O28" s="763" cm="1">
        <f t="array" ref="O28">-F28</f>
        <v>-0.0103281318898111</v>
      </c>
      <c r="P28" s="762"/>
      <c r="Q28" s="670"/>
      <c r="R28" s="670"/>
      <c r="S28" s="670"/>
      <c r="T28" s="670"/>
      <c r="U28" s="670"/>
      <c r="V28" s="670"/>
      <c r="W28" s="670"/>
      <c r="X28" s="670"/>
      <c r="Y28" s="670"/>
      <c r="Z28" s="764"/>
      <c r="AA28" s="765"/>
      <c r="AB28" s="766"/>
      <c r="AC28" s="766"/>
      <c r="AD28" s="767"/>
      <c r="AE28" s="767"/>
      <c r="AF28" s="655"/>
      <c r="AG28" s="655"/>
      <c r="AH28" s="736"/>
      <c r="AI28" s="725"/>
      <c r="AJ28" s="725"/>
      <c r="AK28" s="737"/>
      <c r="AL28" s="727"/>
      <c r="AM28" s="727"/>
      <c r="AN28" s="655"/>
      <c r="AO28" s="682"/>
      <c r="AP28" s="687"/>
      <c r="AQ28" s="687"/>
      <c r="AR28" s="749"/>
      <c r="AS28" s="750"/>
      <c r="AT28" s="751"/>
      <c r="AU28" s="751"/>
      <c r="AV28" s="751"/>
      <c r="AW28" s="691"/>
      <c r="AX28" s="729"/>
      <c r="AY28" s="729"/>
      <c r="AZ28" s="729"/>
      <c r="BA28" s="730"/>
      <c r="BB28" s="731"/>
      <c r="BC28" s="691"/>
      <c r="BD28" s="691"/>
      <c r="BE28" s="691"/>
      <c r="BF28" s="655"/>
      <c r="BG28" s="658"/>
    </row>
    <row r="29" ht="12.75" customHeight="1">
      <c r="A29" s="615"/>
      <c r="B29" s="739"/>
      <c r="C29" s="768" cm="1">
        <f t="array" ref="C29">'CALCULOS'!B60</f>
        <v>10</v>
      </c>
      <c r="D29" s="769" cm="1">
        <f t="array" ref="D29">'CALCULOS'!Q60</f>
        <v>3.9e-05</v>
      </c>
      <c r="E29" s="769"/>
      <c r="F29" s="770" cm="1">
        <f t="array" ref="F29">'CALCULOS'!S60</f>
        <v>0.0103290256254097</v>
      </c>
      <c r="G29" s="755"/>
      <c r="H29" s="655"/>
      <c r="I29" s="655"/>
      <c r="J29" s="655"/>
      <c r="K29" s="655"/>
      <c r="L29" s="655"/>
      <c r="M29" s="762" cm="1">
        <f t="array" ref="M29">D24</f>
      </c>
      <c r="N29" s="762" cm="1">
        <f t="array" ref="N29">-E29</f>
      </c>
      <c r="O29" s="763" cm="1">
        <f t="array" ref="O29">-F29</f>
        <v>-0.0103290256254097</v>
      </c>
      <c r="P29" s="762"/>
      <c r="Q29" s="670"/>
      <c r="R29" s="670"/>
      <c r="S29" s="771"/>
      <c r="T29" s="772">
        <v>0.01</v>
      </c>
      <c r="U29" s="773"/>
      <c r="V29" s="771"/>
      <c r="W29" s="771"/>
      <c r="X29" s="771"/>
      <c r="Y29" s="771"/>
      <c r="Z29" s="774"/>
      <c r="AA29" s="765"/>
      <c r="AB29" s="766"/>
      <c r="AC29" s="766"/>
      <c r="AD29" s="767"/>
      <c r="AE29" s="767"/>
      <c r="AF29" s="655"/>
      <c r="AG29" s="655"/>
      <c r="AH29" s="736"/>
      <c r="AI29" s="725"/>
      <c r="AJ29" s="725"/>
      <c r="AK29" s="737"/>
      <c r="AL29" s="727"/>
      <c r="AM29" s="727"/>
      <c r="AN29" s="655"/>
      <c r="AO29" s="682"/>
      <c r="AP29" s="687"/>
      <c r="AQ29" s="687"/>
      <c r="AR29" s="749"/>
      <c r="AS29" s="750"/>
      <c r="AT29" s="690"/>
      <c r="AU29" s="690"/>
      <c r="AV29" s="690"/>
      <c r="AW29" s="691"/>
      <c r="AX29" s="729"/>
      <c r="AY29" s="729"/>
      <c r="AZ29" s="729"/>
      <c r="BA29" s="730"/>
      <c r="BB29" s="731"/>
      <c r="BC29" s="691"/>
      <c r="BD29" s="691"/>
      <c r="BE29" s="691"/>
      <c r="BF29" s="655"/>
      <c r="BG29" s="658"/>
    </row>
    <row r="30" ht="14.25" customHeight="1">
      <c r="A30" s="615"/>
      <c r="B30" s="739"/>
      <c r="C30" s="768" cm="1">
        <f t="array" ref="C30">'CALCULOS'!B61</f>
        <v>15</v>
      </c>
      <c r="D30" s="769" cm="1">
        <f t="array" ref="D30">'CALCULOS'!Q61</f>
        <v>-6.1e-05</v>
      </c>
      <c r="E30" s="769"/>
      <c r="F30" s="770" cm="1">
        <f t="array" ref="F30">'CALCULOS'!S61</f>
        <v>0.0103329162998284</v>
      </c>
      <c r="G30" s="755"/>
      <c r="H30" s="655"/>
      <c r="I30" s="655"/>
      <c r="J30" s="655"/>
      <c r="K30" s="655"/>
      <c r="L30" s="655"/>
      <c r="M30" s="775"/>
      <c r="N30" s="762" cm="1">
        <f t="array" ref="N30">-E30</f>
      </c>
      <c r="O30" s="763" cm="1">
        <f t="array" ref="O30">-F30</f>
        <v>-0.0103329162998284</v>
      </c>
      <c r="P30" s="762"/>
      <c r="Q30" s="670"/>
      <c r="R30" s="670"/>
      <c r="S30" s="776"/>
      <c r="T30" s="777"/>
      <c r="U30" s="777"/>
      <c r="V30" s="776"/>
      <c r="W30" s="776"/>
      <c r="X30" s="771"/>
      <c r="Y30" s="776"/>
      <c r="Z30" s="774"/>
      <c r="AA30" s="778"/>
      <c r="AB30" s="778"/>
      <c r="AC30" s="778"/>
      <c r="AD30" s="779"/>
      <c r="AE30" s="779"/>
      <c r="AF30" s="655"/>
      <c r="AG30" s="655"/>
      <c r="AH30" s="736"/>
      <c r="AI30" s="725"/>
      <c r="AJ30" s="725"/>
      <c r="AK30" s="737"/>
      <c r="AL30" s="727"/>
      <c r="AM30" s="727"/>
      <c r="AN30" s="655"/>
      <c r="AO30" s="682"/>
      <c r="AP30" s="687"/>
      <c r="AQ30" s="687"/>
      <c r="AR30" s="749"/>
      <c r="AS30" s="750"/>
      <c r="AT30" s="690"/>
      <c r="AU30" s="690"/>
      <c r="AV30" s="690"/>
      <c r="AW30" s="691"/>
      <c r="AX30" s="729"/>
      <c r="AY30" s="729"/>
      <c r="AZ30" s="729"/>
      <c r="BA30" s="730"/>
      <c r="BB30" s="731"/>
      <c r="BC30" s="691"/>
      <c r="BD30" s="691"/>
      <c r="BE30" s="691"/>
      <c r="BF30" s="655"/>
      <c r="BG30" s="658"/>
    </row>
    <row r="31" ht="14.25" customHeight="1">
      <c r="A31" s="615"/>
      <c r="B31" s="739"/>
      <c r="C31" s="768" cm="1">
        <f t="array" ref="C31">'CALCULOS'!B62</f>
        <v>100</v>
      </c>
      <c r="D31" s="769" cm="1">
        <f t="array" ref="D31">'CALCULOS'!Q62</f>
        <v>-0.01008</v>
      </c>
      <c r="E31" s="769"/>
      <c r="F31" s="770" cm="1">
        <f t="array" ref="F31">'CALCULOS'!S62</f>
        <v>0.0103986261563372</v>
      </c>
      <c r="G31" s="755"/>
      <c r="H31" s="655"/>
      <c r="I31" s="655"/>
      <c r="J31" s="655"/>
      <c r="K31" s="655"/>
      <c r="L31" s="655"/>
      <c r="M31" s="762" cm="1">
        <f t="array" ref="M31">D28</f>
        <v>-6e-06</v>
      </c>
      <c r="N31" s="762" cm="1">
        <f t="array" ref="N31">-E31</f>
      </c>
      <c r="O31" s="763" cm="1">
        <f t="array" ref="O31">-F31</f>
        <v>-0.0103986261563372</v>
      </c>
      <c r="P31" s="762" cm="1">
        <f t="array" ref="P31">D28+F28</f>
        <v>0.0103221318898111</v>
      </c>
      <c r="Q31" s="762" cm="1">
        <f t="array" ref="Q31">D28-F28</f>
        <v>-0.0103341318898111</v>
      </c>
      <c r="R31" s="780" cm="1">
        <f t="array" ref="R31">-I31</f>
        <v>0</v>
      </c>
      <c r="S31" s="776"/>
      <c r="T31" s="777"/>
      <c r="U31" s="777"/>
      <c r="V31" s="776"/>
      <c r="W31" s="776"/>
      <c r="X31" s="771"/>
      <c r="Y31" s="776"/>
      <c r="Z31" s="774"/>
      <c r="AA31" s="779"/>
      <c r="AB31" s="778"/>
      <c r="AC31" s="778"/>
      <c r="AD31" s="779"/>
      <c r="AE31" s="779"/>
      <c r="AF31" s="655"/>
      <c r="AG31" s="655"/>
      <c r="AH31" s="736"/>
      <c r="AI31" s="725"/>
      <c r="AJ31" s="725"/>
      <c r="AK31" s="737"/>
      <c r="AL31" s="727"/>
      <c r="AM31" s="727"/>
      <c r="AN31" s="655"/>
      <c r="AO31" s="682"/>
      <c r="AP31" s="687"/>
      <c r="AQ31" s="687"/>
      <c r="AR31" s="749"/>
      <c r="AS31" s="750"/>
      <c r="AT31" s="690"/>
      <c r="AU31" s="690"/>
      <c r="AV31" s="690"/>
      <c r="AW31" s="691"/>
      <c r="AX31" s="729"/>
      <c r="AY31" s="729"/>
      <c r="AZ31" s="729"/>
      <c r="BA31" s="730"/>
      <c r="BB31" s="731"/>
      <c r="BC31" s="751"/>
      <c r="BD31" s="751"/>
      <c r="BE31" s="751"/>
      <c r="BF31" s="655"/>
      <c r="BG31" s="658"/>
    </row>
    <row r="32" ht="12.75" customHeight="1">
      <c r="A32" s="615"/>
      <c r="B32" s="739"/>
      <c r="C32" s="768" cm="1">
        <f t="array" ref="C32">'CALCULOS'!B63</f>
        <v>150</v>
      </c>
      <c r="D32" s="769" cm="1">
        <f t="array" ref="D32">'CALCULOS'!Q63</f>
        <v>-0.00996</v>
      </c>
      <c r="E32" s="769"/>
      <c r="F32" s="770" cm="1">
        <f t="array" ref="F32">'CALCULOS'!S63</f>
        <v>0.0104826297244184</v>
      </c>
      <c r="G32" s="755"/>
      <c r="H32" s="655"/>
      <c r="I32" s="655"/>
      <c r="J32" s="655"/>
      <c r="K32" s="655"/>
      <c r="L32" s="655"/>
      <c r="M32" s="762" cm="1">
        <f t="array" ref="M32">D29</f>
        <v>3.9e-05</v>
      </c>
      <c r="N32" s="762" cm="1">
        <f t="array" ref="N32">-E32</f>
      </c>
      <c r="O32" s="763" cm="1">
        <f t="array" ref="O32">-F32</f>
        <v>-0.0104826297244184</v>
      </c>
      <c r="P32" s="762" cm="1">
        <f t="array" ref="P32">D29+F29</f>
        <v>0.0103680256254097</v>
      </c>
      <c r="Q32" s="762" cm="1">
        <f t="array" ref="Q32">D29-F29</f>
        <v>-0.0102900256254097</v>
      </c>
      <c r="R32" s="780" cm="1">
        <f t="array" ref="R32">-I32</f>
        <v>0</v>
      </c>
      <c r="S32" s="781"/>
      <c r="T32" s="782">
        <v>1</v>
      </c>
      <c r="U32" s="782"/>
      <c r="V32" s="668"/>
      <c r="W32" s="668"/>
      <c r="X32" s="668"/>
      <c r="Y32" s="668"/>
      <c r="Z32" s="774"/>
      <c r="AA32" s="779"/>
      <c r="AB32" s="778"/>
      <c r="AC32" s="778"/>
      <c r="AD32" s="779"/>
      <c r="AE32" s="779"/>
      <c r="AF32" s="655"/>
      <c r="AG32" s="655"/>
      <c r="AH32" s="736"/>
      <c r="AI32" s="725"/>
      <c r="AJ32" s="725"/>
      <c r="AK32" s="737"/>
      <c r="AL32" s="727"/>
      <c r="AM32" s="727"/>
      <c r="AN32" s="655"/>
      <c r="AO32" s="682"/>
      <c r="AP32" s="687"/>
      <c r="AQ32" s="687"/>
      <c r="AR32" s="749"/>
      <c r="AS32" s="750"/>
      <c r="AT32" s="690"/>
      <c r="AU32" s="690"/>
      <c r="AV32" s="690"/>
      <c r="AW32" s="691"/>
      <c r="AX32" s="729"/>
      <c r="AY32" s="729"/>
      <c r="AZ32" s="729"/>
      <c r="BA32" s="730"/>
      <c r="BB32" s="731"/>
      <c r="BC32" s="751"/>
      <c r="BD32" s="751"/>
      <c r="BE32" s="751"/>
      <c r="BF32" s="655"/>
      <c r="BG32" s="658"/>
    </row>
    <row r="33" ht="12.75" customHeight="1">
      <c r="A33" s="783" cm="1">
        <f t="array" ref="A33">'CALCULOS'!B64</f>
        <v>500</v>
      </c>
      <c r="B33" s="739"/>
      <c r="C33" s="768" cm="1">
        <f t="array" ref="C33">'CALCULOS'!B64</f>
        <v>500</v>
      </c>
      <c r="D33" s="769" cm="1">
        <f t="array" ref="D33">'CALCULOS'!Q64</f>
        <v>0.010079</v>
      </c>
      <c r="E33" s="784"/>
      <c r="F33" s="770" cm="1">
        <f t="array" ref="F33">'CALCULOS'!S64</f>
        <v>0.0118455505013486</v>
      </c>
      <c r="G33" s="755"/>
      <c r="H33" s="655"/>
      <c r="I33" s="655"/>
      <c r="J33" s="655"/>
      <c r="K33" s="655"/>
      <c r="L33" s="655"/>
      <c r="M33" s="762" cm="1">
        <f t="array" ref="M33">D30</f>
        <v>-6.1e-05</v>
      </c>
      <c r="N33" s="762" cm="1">
        <f t="array" ref="N33">-E33</f>
      </c>
      <c r="O33" s="763" cm="1">
        <f t="array" ref="O33">-F33</f>
        <v>-0.0118455505013486</v>
      </c>
      <c r="P33" s="762" cm="1">
        <f t="array" ref="P33">D30+F30</f>
        <v>0.0102719162998284</v>
      </c>
      <c r="Q33" s="762" cm="1">
        <f t="array" ref="Q33">D30-F30</f>
        <v>-0.0103939162998284</v>
      </c>
      <c r="R33" s="780" cm="1">
        <f t="array" ref="R33">-I33</f>
        <v>0</v>
      </c>
      <c r="S33" s="781"/>
      <c r="T33" s="785">
        <v>10</v>
      </c>
      <c r="U33" s="668"/>
      <c r="V33" s="668"/>
      <c r="W33" s="668"/>
      <c r="X33" s="668"/>
      <c r="Y33" s="668"/>
      <c r="Z33" s="786"/>
      <c r="AA33" s="787"/>
      <c r="AB33" s="788"/>
      <c r="AC33" s="788"/>
      <c r="AD33" s="779"/>
      <c r="AE33" s="779"/>
      <c r="AF33" s="655"/>
      <c r="AG33" s="655"/>
      <c r="AH33" s="655"/>
      <c r="AI33" s="655"/>
      <c r="AJ33" s="655"/>
      <c r="AK33" s="655"/>
      <c r="AL33" s="655"/>
      <c r="AM33" s="655"/>
      <c r="AN33" s="655"/>
      <c r="AO33" s="682"/>
      <c r="AP33" s="687"/>
      <c r="AQ33" s="687"/>
      <c r="AR33" s="749"/>
      <c r="AS33" s="750"/>
      <c r="AT33" s="751"/>
      <c r="AU33" s="751"/>
      <c r="AV33" s="751"/>
      <c r="AW33" s="691"/>
      <c r="AX33" s="789"/>
      <c r="AY33" s="730"/>
      <c r="AZ33" s="731"/>
      <c r="BA33" s="730"/>
      <c r="BB33" s="731"/>
      <c r="BC33" s="751"/>
      <c r="BD33" s="751"/>
      <c r="BE33" s="751"/>
      <c r="BF33" s="655"/>
      <c r="BG33" s="658"/>
    </row>
    <row r="34" ht="12.75" customHeight="1">
      <c r="A34" s="783" cm="1">
        <f t="array" ref="A34">'CALCULOS'!B65</f>
        <v>800</v>
      </c>
      <c r="B34" s="739"/>
      <c r="C34" s="768" cm="1">
        <f t="array" ref="C34">'CALCULOS'!B65</f>
        <v>800</v>
      </c>
      <c r="D34" s="769" cm="1">
        <f t="array" ref="D34">'CALCULOS'!Q65</f>
        <v>0.030118</v>
      </c>
      <c r="E34" s="790"/>
      <c r="F34" s="770" cm="1">
        <f t="array" ref="F34">'CALCULOS'!S65</f>
        <v>0.0138715874058104</v>
      </c>
      <c r="G34" s="755"/>
      <c r="H34" s="655"/>
      <c r="I34" s="655"/>
      <c r="J34" s="655"/>
      <c r="K34" s="655"/>
      <c r="L34" s="655"/>
      <c r="M34" s="762" cm="1">
        <f t="array" ref="M34">D31</f>
        <v>-0.01008</v>
      </c>
      <c r="N34" s="762" cm="1">
        <f t="array" ref="N34">-E34</f>
      </c>
      <c r="O34" s="763" cm="1">
        <f t="array" ref="O34">-F34</f>
        <v>-0.0138715874058104</v>
      </c>
      <c r="P34" s="762" cm="1">
        <f t="array" ref="P34">D31+F31</f>
        <v>0.0003186261563372</v>
      </c>
      <c r="Q34" s="762" cm="1">
        <f t="array" ref="Q34">D31-F31</f>
        <v>-0.0204786261563372</v>
      </c>
      <c r="R34" s="780" cm="1">
        <f t="array" ref="R34">-I34</f>
        <v>0</v>
      </c>
      <c r="S34" s="781"/>
      <c r="T34" s="785">
        <v>20</v>
      </c>
      <c r="U34" s="668"/>
      <c r="V34" s="668"/>
      <c r="W34" s="668"/>
      <c r="X34" s="668"/>
      <c r="Y34" s="668"/>
      <c r="Z34" s="791"/>
      <c r="AA34" s="791"/>
      <c r="AB34" s="791"/>
      <c r="AC34" s="791"/>
      <c r="AD34" s="791"/>
      <c r="AE34" s="791"/>
      <c r="AF34" s="655"/>
      <c r="AG34" s="655"/>
      <c r="AH34" s="655"/>
      <c r="AI34" s="655"/>
      <c r="AJ34" s="655"/>
      <c r="AK34" s="655"/>
      <c r="AL34" s="655"/>
      <c r="AM34" s="655"/>
      <c r="AN34" s="655"/>
      <c r="AO34" s="682"/>
      <c r="AP34" s="687"/>
      <c r="AQ34" s="687"/>
      <c r="AR34" s="749"/>
      <c r="AS34" s="750"/>
      <c r="AT34" s="751"/>
      <c r="AU34" s="751"/>
      <c r="AV34" s="751"/>
      <c r="AW34" s="691"/>
      <c r="AX34" s="789"/>
      <c r="AY34" s="730"/>
      <c r="AZ34" s="731"/>
      <c r="BA34" s="730"/>
      <c r="BB34" s="731"/>
      <c r="BC34" s="751"/>
      <c r="BD34" s="751"/>
      <c r="BE34" s="751"/>
      <c r="BF34" s="655"/>
      <c r="BG34" s="658"/>
    </row>
    <row r="35" ht="12.75" customHeight="1">
      <c r="A35" s="783" cm="1">
        <f t="array" ref="A35">'CALCULOS'!B66</f>
        <v>900</v>
      </c>
      <c r="B35" s="739"/>
      <c r="C35" s="768" cm="1">
        <f t="array" ref="C35">'CALCULOS'!B66</f>
        <v>900</v>
      </c>
      <c r="D35" s="769" cm="1">
        <f t="array" ref="D35">'CALCULOS'!Q66</f>
        <v>0.01996</v>
      </c>
      <c r="E35" s="790"/>
      <c r="F35" s="770" cm="1">
        <f t="array" ref="F35">'CALCULOS'!S66</f>
        <v>0.0146745680754659</v>
      </c>
      <c r="G35" s="755"/>
      <c r="H35" s="655"/>
      <c r="I35" s="655"/>
      <c r="J35" s="655"/>
      <c r="K35" s="655"/>
      <c r="L35" s="655"/>
      <c r="M35" s="762" cm="1">
        <f t="array" ref="M35">D32</f>
        <v>-0.00996</v>
      </c>
      <c r="N35" s="762" cm="1">
        <f t="array" ref="N35">-E35</f>
      </c>
      <c r="O35" s="763" cm="1">
        <f t="array" ref="O35">-F35</f>
        <v>-0.0146745680754659</v>
      </c>
      <c r="P35" s="762" cm="1">
        <f t="array" ref="P35">D32+F32</f>
        <v>0.0005226297244184</v>
      </c>
      <c r="Q35" s="762" cm="1">
        <f t="array" ref="Q35">D32-F32</f>
        <v>-0.0204426297244184</v>
      </c>
      <c r="R35" s="780" cm="1">
        <f t="array" ref="R35">-I35</f>
        <v>0</v>
      </c>
      <c r="S35" s="668"/>
      <c r="T35" s="785">
        <v>40</v>
      </c>
      <c r="U35" s="668"/>
      <c r="V35" s="668"/>
      <c r="W35" s="668"/>
      <c r="X35" s="668"/>
      <c r="Y35" s="668"/>
      <c r="Z35" s="792"/>
      <c r="AA35" s="792"/>
      <c r="AB35" s="792"/>
      <c r="AC35" s="792"/>
      <c r="AD35" s="792"/>
      <c r="AE35" s="792"/>
      <c r="AF35" s="676"/>
      <c r="AG35" s="676"/>
      <c r="AH35" s="676"/>
      <c r="AI35" s="676"/>
      <c r="AJ35" s="676"/>
      <c r="AK35" s="676"/>
      <c r="AL35" s="676"/>
      <c r="AM35" s="655"/>
      <c r="AN35" s="655"/>
      <c r="AO35" s="682"/>
      <c r="AP35" s="687"/>
      <c r="AQ35" s="687"/>
      <c r="AR35" s="749"/>
      <c r="AS35" s="750"/>
      <c r="AT35" s="751"/>
      <c r="AU35" s="751"/>
      <c r="AV35" s="751"/>
      <c r="AW35" s="691"/>
      <c r="AX35" s="789"/>
      <c r="AY35" s="730"/>
      <c r="AZ35" s="731"/>
      <c r="BA35" s="793"/>
      <c r="BB35" s="731"/>
      <c r="BC35" s="691"/>
      <c r="BD35" s="691"/>
      <c r="BE35" s="691"/>
      <c r="BF35" s="655"/>
      <c r="BG35" s="658"/>
    </row>
    <row r="36" ht="13.5" customHeight="1">
      <c r="A36" s="783" cm="1">
        <f t="array" ref="A36">'CALCULOS'!B67</f>
        <v>1000</v>
      </c>
      <c r="B36" s="739"/>
      <c r="C36" s="794" cm="1">
        <f t="array" ref="C36">'CALCULOS'!B67</f>
        <v>1000</v>
      </c>
      <c r="D36" s="769" cm="1">
        <f t="array" ref="D36">'CALCULOS'!Q67</f>
        <v>0.029059</v>
      </c>
      <c r="E36" s="790"/>
      <c r="F36" s="770" cm="1">
        <f t="array" ref="F36">'CALCULOS'!S67</f>
        <v>0.0155264037991679</v>
      </c>
      <c r="G36" s="755"/>
      <c r="H36" s="655"/>
      <c r="I36" s="655"/>
      <c r="J36" s="655"/>
      <c r="K36" s="655"/>
      <c r="L36" s="655"/>
      <c r="M36" s="762" cm="1">
        <f t="array" ref="M36">D33</f>
        <v>0.010079</v>
      </c>
      <c r="N36" s="762" cm="1">
        <f t="array" ref="N36">-E36</f>
      </c>
      <c r="O36" s="763" cm="1">
        <f t="array" ref="O36">-F36</f>
        <v>-0.0155264037991679</v>
      </c>
      <c r="P36" s="762" cm="1">
        <f t="array" ref="P36">D33+F33</f>
        <v>0.0219245505013486</v>
      </c>
      <c r="Q36" s="762" cm="1">
        <f t="array" ref="Q36">D33-F33</f>
        <v>-0.0017665505013486</v>
      </c>
      <c r="R36" s="780" cm="1">
        <f t="array" ref="R36">-I36</f>
        <v>0</v>
      </c>
      <c r="S36" s="668"/>
      <c r="T36" s="785">
        <v>60</v>
      </c>
      <c r="U36" s="668"/>
      <c r="V36" s="668"/>
      <c r="W36" s="668"/>
      <c r="X36" s="668"/>
      <c r="Y36" s="668"/>
      <c r="Z36" s="792"/>
      <c r="AA36" s="792"/>
      <c r="AB36" s="792"/>
      <c r="AC36" s="792"/>
      <c r="AD36" s="792"/>
      <c r="AE36" s="792"/>
      <c r="AF36" s="676"/>
      <c r="AG36" s="676"/>
      <c r="AH36" s="676"/>
      <c r="AI36" s="676"/>
      <c r="AJ36" s="676"/>
      <c r="AK36" s="676"/>
      <c r="AL36" s="676"/>
      <c r="AM36" s="655"/>
      <c r="AN36" s="655"/>
      <c r="AO36" s="682"/>
      <c r="AP36" s="687"/>
      <c r="AQ36" s="687"/>
      <c r="AR36" s="749"/>
      <c r="AS36" s="750"/>
      <c r="AT36" s="751"/>
      <c r="AU36" s="751"/>
      <c r="AV36" s="751"/>
      <c r="AW36" s="691"/>
      <c r="AX36" s="789"/>
      <c r="AY36" s="730"/>
      <c r="AZ36" s="731"/>
      <c r="BA36" s="793"/>
      <c r="BB36" s="731"/>
      <c r="BC36" s="691"/>
      <c r="BD36" s="691"/>
      <c r="BE36" s="691"/>
      <c r="BF36" s="655"/>
      <c r="BG36" s="658"/>
    </row>
    <row r="37" ht="12.75" customHeight="1">
      <c r="A37" s="783" cm="1">
        <f t="array" ref="A37">'CALCULOS'!B68</f>
        <v>1200</v>
      </c>
      <c r="B37" s="795"/>
      <c r="C37" s="794" cm="1">
        <f t="array" ref="C37">'CALCULOS'!B68</f>
        <v>1200</v>
      </c>
      <c r="D37" s="769" cm="1">
        <f t="array" ref="D37">'CALCULOS'!Q68</f>
        <v>0.03892</v>
      </c>
      <c r="E37" s="796"/>
      <c r="F37" s="770" cm="1">
        <f t="array" ref="F37">'CALCULOS'!S68</f>
        <v>0.0173180895637844</v>
      </c>
      <c r="G37" s="755"/>
      <c r="H37" s="655"/>
      <c r="I37" s="655"/>
      <c r="J37" s="655"/>
      <c r="K37" s="655"/>
      <c r="L37" s="655"/>
      <c r="M37" s="762" cm="1">
        <f t="array" ref="M37">D34</f>
        <v>0.030118</v>
      </c>
      <c r="N37" s="762" cm="1">
        <f t="array" ref="N37">-E37</f>
      </c>
      <c r="O37" s="763" cm="1">
        <f t="array" ref="O37">-F37</f>
        <v>-0.0173180895637844</v>
      </c>
      <c r="P37" s="762" cm="1">
        <f t="array" ref="P37">D34+F34</f>
        <v>0.0439895874058104</v>
      </c>
      <c r="Q37" s="762" cm="1">
        <f t="array" ref="Q37">D34-F34</f>
        <v>0.0162464125941896</v>
      </c>
      <c r="R37" s="780" cm="1">
        <f t="array" ref="R37">-I37</f>
        <v>0</v>
      </c>
      <c r="S37" s="670"/>
      <c r="T37" s="670"/>
      <c r="U37" s="797"/>
      <c r="V37" s="668"/>
      <c r="W37" s="682"/>
      <c r="X37" s="670"/>
      <c r="Y37" s="670"/>
      <c r="Z37" s="798"/>
      <c r="AA37" s="798"/>
      <c r="AB37" s="792"/>
      <c r="AC37" s="791"/>
      <c r="AD37" s="791"/>
      <c r="AE37" s="791"/>
      <c r="AF37" s="655"/>
      <c r="AG37" s="655"/>
      <c r="AH37" s="670"/>
      <c r="AI37" s="670"/>
      <c r="AJ37" s="799"/>
      <c r="AK37" s="799"/>
      <c r="AL37" s="676"/>
      <c r="AM37" s="655"/>
      <c r="AN37" s="655"/>
      <c r="AO37" s="682"/>
      <c r="AP37" s="687"/>
      <c r="AQ37" s="800"/>
      <c r="AR37" s="749"/>
      <c r="AS37" s="750"/>
      <c r="AT37" s="690"/>
      <c r="AU37" s="690"/>
      <c r="AV37" s="690"/>
      <c r="AW37" s="691"/>
      <c r="AX37" s="789"/>
      <c r="AY37" s="730"/>
      <c r="AZ37" s="731"/>
      <c r="BA37" s="793"/>
      <c r="BB37" s="731"/>
      <c r="BC37" s="691"/>
      <c r="BD37" s="691"/>
      <c r="BE37" s="691"/>
      <c r="BF37" s="655"/>
      <c r="BG37" s="658"/>
    </row>
    <row r="38" ht="12.75" customHeight="1">
      <c r="A38" s="783" cm="1">
        <f t="array" ref="A38">'CALCULOS'!B69</f>
        <v>0</v>
      </c>
      <c r="B38" s="801" cm="1">
        <f t="array" ref="B38">'CALCULOS'!Q69</f>
        <v>0</v>
      </c>
      <c r="C38" s="802"/>
      <c r="D38" s="802" cm="1">
        <f t="array" ref="D38">'CALCULOS'!F69</f>
        <v>0.005</v>
      </c>
      <c r="E38" s="803" cm="1">
        <f t="array" ref="E38">'CALCULOS'!S69</f>
        <v>0.0103279555898864</v>
      </c>
      <c r="F38" t="str" s="804" cm="1">
        <f t="array" ref="F38">IF((ABS(B38)&lt;ABS(D38)),IF((ABS(E38)+ABS(B38))&gt;ABS(D38)," No cumple","Cumple"),"No cumple")</f>
        <v> No cumple</v>
      </c>
      <c r="G38" s="655"/>
      <c r="H38" t="s" s="805">
        <v>264</v>
      </c>
      <c r="I38" s="657"/>
      <c r="J38" s="657"/>
      <c r="K38" s="657"/>
      <c r="L38" s="657"/>
      <c r="M38" s="762" cm="1">
        <f t="array" ref="M38">D35</f>
        <v>0.01996</v>
      </c>
      <c r="N38" s="762"/>
      <c r="O38" s="763"/>
      <c r="P38" s="762" cm="1">
        <f t="array" ref="P38">D35+F35</f>
        <v>0.0346345680754659</v>
      </c>
      <c r="Q38" s="762" cm="1">
        <f t="array" ref="Q38">D35-F35</f>
        <v>0.0052854319245341</v>
      </c>
      <c r="R38" s="780" cm="1">
        <f t="array" ref="R38">-I38</f>
        <v>0</v>
      </c>
      <c r="S38" s="670"/>
      <c r="T38" s="670"/>
      <c r="U38" s="670"/>
      <c r="V38" s="670"/>
      <c r="W38" s="682"/>
      <c r="X38" s="670"/>
      <c r="Y38" s="670"/>
      <c r="Z38" s="798"/>
      <c r="AA38" s="798"/>
      <c r="AB38" s="792"/>
      <c r="AC38" s="791"/>
      <c r="AD38" s="791"/>
      <c r="AE38" s="791"/>
      <c r="AF38" s="655"/>
      <c r="AG38" s="655"/>
      <c r="AH38" s="670"/>
      <c r="AI38" s="670"/>
      <c r="AJ38" s="799"/>
      <c r="AK38" s="799"/>
      <c r="AL38" s="676"/>
      <c r="AM38" s="655"/>
      <c r="AN38" s="655"/>
      <c r="AO38" s="806"/>
      <c r="AP38" s="687"/>
      <c r="AQ38" s="687"/>
      <c r="AR38" s="749"/>
      <c r="AS38" s="750"/>
      <c r="AT38" s="690"/>
      <c r="AU38" s="690"/>
      <c r="AV38" s="690"/>
      <c r="AW38" s="691"/>
      <c r="AX38" s="789"/>
      <c r="AY38" s="730"/>
      <c r="AZ38" s="731"/>
      <c r="BA38" s="793"/>
      <c r="BB38" s="731"/>
      <c r="BC38" s="691"/>
      <c r="BD38" s="691"/>
      <c r="BE38" s="691"/>
      <c r="BF38" s="655"/>
      <c r="BG38" s="658"/>
    </row>
    <row r="39" ht="15" customHeight="1">
      <c r="A39" s="719"/>
      <c r="B39" s="655"/>
      <c r="C39" s="655"/>
      <c r="D39" s="655"/>
      <c r="E39" s="655"/>
      <c r="F39" s="655"/>
      <c r="G39" s="655"/>
      <c r="H39" t="s" s="805">
        <v>265</v>
      </c>
      <c r="I39" s="657"/>
      <c r="J39" s="657"/>
      <c r="K39" s="657"/>
      <c r="L39" s="657"/>
      <c r="M39" s="762" cm="1">
        <f t="array" ref="M39">D36</f>
        <v>0.029059</v>
      </c>
      <c r="N39" s="758"/>
      <c r="O39" s="807">
        <v>0.1</v>
      </c>
      <c r="P39" s="762" cm="1">
        <f t="array" ref="P39">D36+F36</f>
        <v>0.0445854037991679</v>
      </c>
      <c r="Q39" s="762" cm="1">
        <f t="array" ref="Q39">D36-F36</f>
        <v>0.0135325962008321</v>
      </c>
      <c r="R39" s="780" cm="1">
        <f t="array" ref="R39">-I39</f>
        <v>0</v>
      </c>
      <c r="S39" s="808"/>
      <c r="T39" s="758"/>
      <c r="U39" s="758"/>
      <c r="V39" s="758"/>
      <c r="W39" s="809"/>
      <c r="X39" s="810"/>
      <c r="Y39" s="758"/>
      <c r="Z39" s="758"/>
      <c r="AA39" s="758"/>
      <c r="AB39" s="758"/>
      <c r="AC39" s="791"/>
      <c r="AD39" s="791"/>
      <c r="AE39" s="791"/>
      <c r="AF39" s="655"/>
      <c r="AG39" s="655"/>
      <c r="AH39" s="686"/>
      <c r="AI39" s="668"/>
      <c r="AJ39" s="668"/>
      <c r="AK39" s="668"/>
      <c r="AL39" s="668"/>
      <c r="AM39" s="655"/>
      <c r="AN39" s="655"/>
      <c r="AO39" s="806"/>
      <c r="AP39" s="687"/>
      <c r="AQ39" s="687"/>
      <c r="AR39" s="750"/>
      <c r="AS39" s="750"/>
      <c r="AT39" s="690"/>
      <c r="AU39" s="690"/>
      <c r="AV39" s="690"/>
      <c r="AW39" s="691"/>
      <c r="AX39" s="789"/>
      <c r="AY39" s="730"/>
      <c r="AZ39" s="731"/>
      <c r="BA39" s="793"/>
      <c r="BB39" s="731"/>
      <c r="BC39" s="691"/>
      <c r="BD39" s="691"/>
      <c r="BE39" s="691"/>
      <c r="BF39" s="655"/>
      <c r="BG39" s="658"/>
    </row>
    <row r="40" ht="15" customHeight="1">
      <c r="A40" s="719"/>
      <c r="B40" s="655"/>
      <c r="C40" s="655"/>
      <c r="D40" s="655"/>
      <c r="E40" s="655"/>
      <c r="F40" s="655"/>
      <c r="G40" s="655"/>
      <c r="H40" s="616"/>
      <c r="I40" s="657"/>
      <c r="J40" s="657"/>
      <c r="K40" s="657"/>
      <c r="L40" s="657"/>
      <c r="M40" s="762" cm="1">
        <f t="array" ref="M40">D37</f>
        <v>0.03892</v>
      </c>
      <c r="N40" s="811"/>
      <c r="O40" s="807"/>
      <c r="P40" s="762" cm="1">
        <f t="array" ref="P40">D37+F37</f>
        <v>0.0562380895637844</v>
      </c>
      <c r="Q40" s="762" cm="1">
        <f t="array" ref="Q40">D37-F37</f>
        <v>0.0216019104362156</v>
      </c>
      <c r="R40" s="780" cm="1">
        <f t="array" ref="R40">-I40</f>
        <v>0</v>
      </c>
      <c r="S40" s="808"/>
      <c r="T40" s="810"/>
      <c r="U40" s="810"/>
      <c r="V40" s="810"/>
      <c r="W40" s="812"/>
      <c r="X40" s="810"/>
      <c r="Y40" s="758"/>
      <c r="Z40" s="758"/>
      <c r="AA40" s="758"/>
      <c r="AB40" s="758"/>
      <c r="AC40" s="791"/>
      <c r="AD40" s="791"/>
      <c r="AE40" s="791"/>
      <c r="AF40" s="655"/>
      <c r="AG40" s="655"/>
      <c r="AH40" s="686"/>
      <c r="AI40" s="668"/>
      <c r="AJ40" s="668"/>
      <c r="AK40" s="668"/>
      <c r="AL40" s="668"/>
      <c r="AM40" s="655"/>
      <c r="AN40" s="655"/>
      <c r="AO40" s="806"/>
      <c r="AP40" s="687"/>
      <c r="AQ40" s="687"/>
      <c r="AR40" s="750"/>
      <c r="AS40" s="750"/>
      <c r="AT40" s="751"/>
      <c r="AU40" s="751"/>
      <c r="AV40" s="751"/>
      <c r="AW40" s="691"/>
      <c r="AX40" s="789"/>
      <c r="AY40" s="730"/>
      <c r="AZ40" s="731"/>
      <c r="BA40" s="793"/>
      <c r="BB40" s="731"/>
      <c r="BC40" s="691"/>
      <c r="BD40" s="691"/>
      <c r="BE40" s="691"/>
      <c r="BF40" s="655"/>
      <c r="BG40" s="658"/>
    </row>
    <row r="41" ht="15" customHeight="1">
      <c r="A41" s="719"/>
      <c r="B41" s="655"/>
      <c r="C41" s="655"/>
      <c r="D41" s="655"/>
      <c r="E41" s="655"/>
      <c r="F41" s="655"/>
      <c r="G41" s="655"/>
      <c r="H41" s="657"/>
      <c r="I41" s="657"/>
      <c r="J41" s="657"/>
      <c r="K41" s="657"/>
      <c r="L41" s="657"/>
      <c r="M41" s="616"/>
      <c r="N41" s="716"/>
      <c r="O41" s="716"/>
      <c r="P41" s="762"/>
      <c r="Q41" s="762"/>
      <c r="R41" s="670"/>
      <c r="S41" s="670"/>
      <c r="T41" s="670"/>
      <c r="U41" s="670"/>
      <c r="V41" s="670"/>
      <c r="W41" s="670"/>
      <c r="X41" s="670"/>
      <c r="Y41" s="670"/>
      <c r="Z41" s="758"/>
      <c r="AA41" s="758"/>
      <c r="AB41" s="758"/>
      <c r="AC41" s="758"/>
      <c r="AD41" s="758"/>
      <c r="AE41" s="758"/>
      <c r="AF41" s="655"/>
      <c r="AG41" s="655"/>
      <c r="AH41" s="813"/>
      <c r="AI41" s="814"/>
      <c r="AJ41" s="814"/>
      <c r="AK41" s="814"/>
      <c r="AL41" s="814"/>
      <c r="AM41" s="655"/>
      <c r="AN41" s="655"/>
      <c r="AO41" s="806"/>
      <c r="AP41" s="687"/>
      <c r="AQ41" s="687"/>
      <c r="AR41" s="750"/>
      <c r="AS41" s="750"/>
      <c r="AT41" s="751"/>
      <c r="AU41" s="751"/>
      <c r="AV41" s="751"/>
      <c r="AW41" s="691"/>
      <c r="AX41" s="789"/>
      <c r="AY41" s="730"/>
      <c r="AZ41" s="731"/>
      <c r="BA41" s="793"/>
      <c r="BB41" s="731"/>
      <c r="BC41" s="691"/>
      <c r="BD41" s="691"/>
      <c r="BE41" s="691"/>
      <c r="BF41" s="655"/>
      <c r="BG41" s="658"/>
    </row>
    <row r="42" ht="15" customHeight="1">
      <c r="A42" s="815"/>
      <c r="B42" s="816"/>
      <c r="C42" s="816"/>
      <c r="D42" s="816"/>
      <c r="E42" s="816"/>
      <c r="F42" s="817"/>
      <c r="G42" s="816"/>
      <c r="H42" s="616"/>
      <c r="I42" s="657"/>
      <c r="J42" s="657"/>
      <c r="K42" s="657"/>
      <c r="L42" s="657"/>
      <c r="M42" s="616"/>
      <c r="N42" s="811"/>
      <c r="O42" s="807"/>
      <c r="P42" s="807"/>
      <c r="Q42" s="791"/>
      <c r="R42" s="791"/>
      <c r="S42" s="758"/>
      <c r="T42" s="818"/>
      <c r="U42" s="818"/>
      <c r="V42" s="818"/>
      <c r="W42" s="809"/>
      <c r="X42" s="819"/>
      <c r="Y42" s="820"/>
      <c r="Z42" s="820"/>
      <c r="AA42" s="821"/>
      <c r="AB42" s="821"/>
      <c r="AC42" s="791"/>
      <c r="AD42" s="791"/>
      <c r="AE42" s="791"/>
      <c r="AF42" s="655"/>
      <c r="AG42" s="655"/>
      <c r="AH42" s="813"/>
      <c r="AI42" s="814"/>
      <c r="AJ42" s="814"/>
      <c r="AK42" s="814"/>
      <c r="AL42" s="814"/>
      <c r="AM42" s="655"/>
      <c r="AN42" s="655"/>
      <c r="AO42" s="806"/>
      <c r="AP42" s="687"/>
      <c r="AQ42" s="687"/>
      <c r="AR42" s="750"/>
      <c r="AS42" s="750"/>
      <c r="AT42" s="751"/>
      <c r="AU42" s="751"/>
      <c r="AV42" s="751"/>
      <c r="AW42" s="691"/>
      <c r="AX42" s="789"/>
      <c r="AY42" s="730"/>
      <c r="AZ42" s="731"/>
      <c r="BA42" s="793"/>
      <c r="BB42" s="731"/>
      <c r="BC42" s="691"/>
      <c r="BD42" s="691"/>
      <c r="BE42" s="691"/>
      <c r="BF42" s="655"/>
      <c r="BG42" s="658"/>
    </row>
    <row r="43" ht="15" customHeight="1">
      <c r="A43" s="815"/>
      <c r="B43" s="816"/>
      <c r="C43" s="816"/>
      <c r="D43" s="822"/>
      <c r="E43" s="805"/>
      <c r="F43" s="816"/>
      <c r="G43" s="816"/>
      <c r="H43" s="816"/>
      <c r="I43" s="657"/>
      <c r="J43" s="657"/>
      <c r="K43" s="657"/>
      <c r="L43" s="657"/>
      <c r="M43" s="616"/>
      <c r="N43" s="758"/>
      <c r="O43" s="807"/>
      <c r="P43" s="807"/>
      <c r="Q43" s="791"/>
      <c r="R43" s="791"/>
      <c r="S43" s="758"/>
      <c r="T43" s="818"/>
      <c r="U43" s="818"/>
      <c r="V43" s="818"/>
      <c r="W43" s="809"/>
      <c r="X43" s="819"/>
      <c r="Y43" s="820"/>
      <c r="Z43" s="820"/>
      <c r="AA43" s="821"/>
      <c r="AB43" s="821"/>
      <c r="AC43" s="791"/>
      <c r="AD43" s="791"/>
      <c r="AE43" s="791"/>
      <c r="AF43" s="655"/>
      <c r="AG43" s="655"/>
      <c r="AH43" s="813"/>
      <c r="AI43" s="814"/>
      <c r="AJ43" s="814"/>
      <c r="AK43" s="814"/>
      <c r="AL43" s="814"/>
      <c r="AM43" s="655"/>
      <c r="AN43" s="655"/>
      <c r="AO43" s="806"/>
      <c r="AP43" s="687"/>
      <c r="AQ43" s="687"/>
      <c r="AR43" s="750"/>
      <c r="AS43" s="750"/>
      <c r="AT43" s="751"/>
      <c r="AU43" s="751"/>
      <c r="AV43" s="751"/>
      <c r="AW43" s="691"/>
      <c r="AX43" s="789"/>
      <c r="AY43" s="730"/>
      <c r="AZ43" s="731"/>
      <c r="BA43" s="793"/>
      <c r="BB43" s="731"/>
      <c r="BC43" s="691"/>
      <c r="BD43" s="691"/>
      <c r="BE43" s="691"/>
      <c r="BF43" s="655"/>
      <c r="BG43" s="658"/>
    </row>
    <row r="44" ht="15" customHeight="1">
      <c r="A44" s="719"/>
      <c r="B44" s="823"/>
      <c r="C44" s="824"/>
      <c r="D44" s="703"/>
      <c r="E44" s="825"/>
      <c r="F44" s="825"/>
      <c r="G44" s="655"/>
      <c r="H44" s="655"/>
      <c r="I44" s="655"/>
      <c r="J44" s="655"/>
      <c r="K44" s="655"/>
      <c r="L44" s="670"/>
      <c r="M44" s="616"/>
      <c r="N44" s="811"/>
      <c r="O44" s="807"/>
      <c r="P44" s="807"/>
      <c r="Q44" s="791"/>
      <c r="R44" s="791"/>
      <c r="S44" s="758"/>
      <c r="T44" s="818"/>
      <c r="U44" s="818"/>
      <c r="V44" s="818"/>
      <c r="W44" s="809"/>
      <c r="X44" s="819"/>
      <c r="Y44" s="820"/>
      <c r="Z44" s="820"/>
      <c r="AA44" s="821"/>
      <c r="AB44" s="821"/>
      <c r="AC44" s="791"/>
      <c r="AD44" s="791"/>
      <c r="AE44" s="791"/>
      <c r="AF44" s="655"/>
      <c r="AG44" s="655"/>
      <c r="AH44" s="813"/>
      <c r="AI44" s="814"/>
      <c r="AJ44" s="814"/>
      <c r="AK44" s="814"/>
      <c r="AL44" s="814"/>
      <c r="AM44" s="655"/>
      <c r="AN44" s="655"/>
      <c r="AO44" s="806"/>
      <c r="AP44" s="687"/>
      <c r="AQ44" s="687"/>
      <c r="AR44" s="750"/>
      <c r="AS44" s="750"/>
      <c r="AT44" s="690"/>
      <c r="AU44" s="690"/>
      <c r="AV44" s="690"/>
      <c r="AW44" s="691"/>
      <c r="AX44" s="789"/>
      <c r="AY44" s="730"/>
      <c r="AZ44" s="731"/>
      <c r="BA44" s="793"/>
      <c r="BB44" s="731"/>
      <c r="BC44" s="691"/>
      <c r="BD44" s="691"/>
      <c r="BE44" s="691"/>
      <c r="BF44" s="655"/>
      <c r="BG44" s="658"/>
    </row>
    <row r="45" ht="15" customHeight="1">
      <c r="A45" s="719"/>
      <c r="B45" s="823"/>
      <c r="C45" s="824"/>
      <c r="D45" s="703"/>
      <c r="E45" s="825"/>
      <c r="F45" s="825"/>
      <c r="G45" s="655"/>
      <c r="H45" s="655"/>
      <c r="I45" s="655"/>
      <c r="J45" s="655"/>
      <c r="K45" s="655"/>
      <c r="L45" s="670"/>
      <c r="M45" s="616"/>
      <c r="N45" s="758"/>
      <c r="O45" s="807"/>
      <c r="P45" s="807"/>
      <c r="Q45" s="791"/>
      <c r="R45" s="791"/>
      <c r="S45" s="758"/>
      <c r="T45" s="818"/>
      <c r="U45" s="818"/>
      <c r="V45" s="818"/>
      <c r="W45" s="826"/>
      <c r="X45" s="819"/>
      <c r="Y45" s="820"/>
      <c r="Z45" s="820"/>
      <c r="AA45" s="821"/>
      <c r="AB45" s="821"/>
      <c r="AC45" s="791"/>
      <c r="AD45" s="791"/>
      <c r="AE45" s="791"/>
      <c r="AF45" s="655"/>
      <c r="AG45" s="655"/>
      <c r="AH45" s="813"/>
      <c r="AI45" s="814"/>
      <c r="AJ45" s="814"/>
      <c r="AK45" s="814"/>
      <c r="AL45" s="814"/>
      <c r="AM45" s="655"/>
      <c r="AN45" s="655"/>
      <c r="AO45" s="806"/>
      <c r="AP45" s="687"/>
      <c r="AQ45" s="687"/>
      <c r="AR45" s="750"/>
      <c r="AS45" s="750"/>
      <c r="AT45" s="690"/>
      <c r="AU45" s="690"/>
      <c r="AV45" s="690"/>
      <c r="AW45" s="691"/>
      <c r="AX45" s="789"/>
      <c r="AY45" s="730"/>
      <c r="AZ45" s="731"/>
      <c r="BA45" s="793"/>
      <c r="BB45" s="731"/>
      <c r="BC45" s="691"/>
      <c r="BD45" s="691"/>
      <c r="BE45" s="691"/>
      <c r="BF45" s="655"/>
      <c r="BG45" s="658"/>
    </row>
    <row r="46" ht="15" customHeight="1">
      <c r="A46" s="719"/>
      <c r="B46" s="823"/>
      <c r="C46" s="824"/>
      <c r="D46" s="616"/>
      <c r="E46" s="616"/>
      <c r="F46" s="616"/>
      <c r="G46" s="616"/>
      <c r="H46" s="616"/>
      <c r="I46" s="616"/>
      <c r="J46" s="616"/>
      <c r="K46" s="655"/>
      <c r="L46" s="670"/>
      <c r="M46" s="616"/>
      <c r="N46" s="811"/>
      <c r="O46" s="807"/>
      <c r="P46" s="807"/>
      <c r="Q46" s="791"/>
      <c r="R46" s="791"/>
      <c r="S46" s="827"/>
      <c r="T46" s="827"/>
      <c r="U46" s="828"/>
      <c r="V46" s="829"/>
      <c r="W46" s="809"/>
      <c r="X46" s="819"/>
      <c r="Y46" s="830"/>
      <c r="Z46" s="830"/>
      <c r="AA46" s="831"/>
      <c r="AB46" s="831"/>
      <c r="AC46" s="791"/>
      <c r="AD46" s="791"/>
      <c r="AE46" s="791"/>
      <c r="AF46" s="655"/>
      <c r="AG46" s="655"/>
      <c r="AH46" s="813"/>
      <c r="AI46" s="832"/>
      <c r="AJ46" s="832"/>
      <c r="AK46" s="833"/>
      <c r="AL46" s="833"/>
      <c r="AM46" s="655"/>
      <c r="AN46" s="655"/>
      <c r="AO46" s="806"/>
      <c r="AP46" s="687"/>
      <c r="AQ46" s="687"/>
      <c r="AR46" s="750"/>
      <c r="AS46" s="750"/>
      <c r="AT46" s="751"/>
      <c r="AU46" s="751"/>
      <c r="AV46" s="751"/>
      <c r="AW46" s="691"/>
      <c r="AX46" s="789"/>
      <c r="AY46" s="730"/>
      <c r="AZ46" s="731"/>
      <c r="BA46" s="793"/>
      <c r="BB46" s="731"/>
      <c r="BC46" s="691"/>
      <c r="BD46" s="691"/>
      <c r="BE46" s="691"/>
      <c r="BF46" s="655"/>
      <c r="BG46" s="658"/>
    </row>
    <row r="47" ht="15" customHeight="1">
      <c r="A47" s="815"/>
      <c r="B47" t="s" s="834">
        <v>266</v>
      </c>
      <c r="C47" s="687"/>
      <c r="D47" t="s" s="834">
        <v>267</v>
      </c>
      <c r="E47" s="687"/>
      <c r="F47" s="687"/>
      <c r="G47" t="s" s="834">
        <v>268</v>
      </c>
      <c r="H47" s="687"/>
      <c r="I47" s="816"/>
      <c r="J47" s="655"/>
      <c r="K47" s="655"/>
      <c r="L47" s="670"/>
      <c r="M47" s="835" cm="1">
        <f t="array" ref="M47">C28</f>
        <v>5</v>
      </c>
      <c r="N47" s="758"/>
      <c r="O47" s="807"/>
      <c r="P47" s="807"/>
      <c r="Q47" s="791"/>
      <c r="R47" s="791"/>
      <c r="S47" s="827"/>
      <c r="T47" s="836"/>
      <c r="U47" s="827"/>
      <c r="V47" s="837"/>
      <c r="W47" s="809"/>
      <c r="X47" s="819"/>
      <c r="Y47" s="838"/>
      <c r="Z47" s="839"/>
      <c r="AA47" s="840"/>
      <c r="AB47" s="839"/>
      <c r="AC47" s="791"/>
      <c r="AD47" s="791"/>
      <c r="AE47" s="791"/>
      <c r="AF47" s="655"/>
      <c r="AG47" s="655"/>
      <c r="AH47" s="813"/>
      <c r="AI47" s="841"/>
      <c r="AJ47" s="842"/>
      <c r="AK47" s="843"/>
      <c r="AL47" s="842"/>
      <c r="AM47" s="655"/>
      <c r="AN47" s="655"/>
      <c r="AO47" s="730"/>
      <c r="AP47" s="730"/>
      <c r="AQ47" s="844"/>
      <c r="AR47" s="845"/>
      <c r="AS47" s="718"/>
      <c r="AT47" s="751"/>
      <c r="AU47" s="751"/>
      <c r="AV47" s="751"/>
      <c r="AW47" s="691"/>
      <c r="AX47" s="789"/>
      <c r="AY47" s="730"/>
      <c r="AZ47" s="731"/>
      <c r="BA47" s="793"/>
      <c r="BB47" s="731"/>
      <c r="BC47" s="691"/>
      <c r="BD47" s="691"/>
      <c r="BE47" s="691"/>
      <c r="BF47" s="655"/>
      <c r="BG47" s="658"/>
    </row>
    <row r="48" ht="15" customHeight="1">
      <c r="A48" s="815"/>
      <c r="B48" s="687"/>
      <c r="C48" s="687"/>
      <c r="D48" s="687"/>
      <c r="E48" s="687"/>
      <c r="F48" s="687"/>
      <c r="G48" s="687"/>
      <c r="H48" s="687"/>
      <c r="I48" s="816"/>
      <c r="J48" s="655"/>
      <c r="K48" s="655"/>
      <c r="L48" s="670"/>
      <c r="M48" s="835"/>
      <c r="N48" s="758"/>
      <c r="O48" s="807"/>
      <c r="P48" s="807"/>
      <c r="Q48" s="791"/>
      <c r="R48" s="791"/>
      <c r="S48" s="827"/>
      <c r="T48" s="836"/>
      <c r="U48" s="827"/>
      <c r="V48" s="837"/>
      <c r="W48" s="809"/>
      <c r="X48" s="819"/>
      <c r="Y48" s="838"/>
      <c r="Z48" s="839"/>
      <c r="AA48" s="840"/>
      <c r="AB48" s="839"/>
      <c r="AC48" s="791"/>
      <c r="AD48" s="791"/>
      <c r="AE48" s="791"/>
      <c r="AF48" s="655"/>
      <c r="AG48" s="655"/>
      <c r="AH48" s="813"/>
      <c r="AI48" s="841"/>
      <c r="AJ48" s="842"/>
      <c r="AK48" s="843"/>
      <c r="AL48" s="842"/>
      <c r="AM48" s="655"/>
      <c r="AN48" s="655"/>
      <c r="AO48" s="730"/>
      <c r="AP48" s="730"/>
      <c r="AQ48" s="844"/>
      <c r="AR48" s="845"/>
      <c r="AS48" s="718"/>
      <c r="AT48" s="751"/>
      <c r="AU48" s="751"/>
      <c r="AV48" s="751"/>
      <c r="AW48" s="691"/>
      <c r="AX48" s="789"/>
      <c r="AY48" s="730"/>
      <c r="AZ48" s="731"/>
      <c r="BA48" s="793"/>
      <c r="BB48" s="731"/>
      <c r="BC48" s="691"/>
      <c r="BD48" s="691"/>
      <c r="BE48" s="691"/>
      <c r="BF48" s="655"/>
      <c r="BG48" s="658"/>
    </row>
    <row r="49" ht="15" customHeight="1">
      <c r="A49" s="815"/>
      <c r="B49" s="687"/>
      <c r="C49" s="687"/>
      <c r="D49" s="687"/>
      <c r="E49" s="687"/>
      <c r="F49" s="687"/>
      <c r="G49" s="687"/>
      <c r="H49" s="687"/>
      <c r="I49" s="816"/>
      <c r="J49" s="655"/>
      <c r="K49" s="655"/>
      <c r="L49" s="670"/>
      <c r="M49" s="835"/>
      <c r="N49" s="758"/>
      <c r="O49" s="807"/>
      <c r="P49" s="807"/>
      <c r="Q49" s="791"/>
      <c r="R49" s="791"/>
      <c r="S49" s="827"/>
      <c r="T49" s="836"/>
      <c r="U49" s="827"/>
      <c r="V49" s="837"/>
      <c r="W49" s="809"/>
      <c r="X49" s="819"/>
      <c r="Y49" s="838"/>
      <c r="Z49" s="839"/>
      <c r="AA49" s="840"/>
      <c r="AB49" s="839"/>
      <c r="AC49" s="791"/>
      <c r="AD49" s="791"/>
      <c r="AE49" s="791"/>
      <c r="AF49" s="655"/>
      <c r="AG49" s="655"/>
      <c r="AH49" s="813"/>
      <c r="AI49" s="841"/>
      <c r="AJ49" s="842"/>
      <c r="AK49" s="843"/>
      <c r="AL49" s="842"/>
      <c r="AM49" s="655"/>
      <c r="AN49" s="655"/>
      <c r="AO49" s="730"/>
      <c r="AP49" s="730"/>
      <c r="AQ49" s="844"/>
      <c r="AR49" s="845"/>
      <c r="AS49" s="718"/>
      <c r="AT49" s="751"/>
      <c r="AU49" s="751"/>
      <c r="AV49" s="751"/>
      <c r="AW49" s="691"/>
      <c r="AX49" s="789"/>
      <c r="AY49" s="730"/>
      <c r="AZ49" s="731"/>
      <c r="BA49" s="793"/>
      <c r="BB49" s="731"/>
      <c r="BC49" s="691"/>
      <c r="BD49" s="691"/>
      <c r="BE49" s="691"/>
      <c r="BF49" s="655"/>
      <c r="BG49" s="658"/>
    </row>
    <row r="50" ht="15" customHeight="1">
      <c r="A50" t="s" s="846">
        <v>269</v>
      </c>
      <c r="B50" s="616"/>
      <c r="C50" s="655"/>
      <c r="D50" s="655"/>
      <c r="E50" s="847"/>
      <c r="F50" s="848"/>
      <c r="G50" s="655"/>
      <c r="H50" s="655"/>
      <c r="I50" s="655"/>
      <c r="J50" s="655"/>
      <c r="K50" s="655"/>
      <c r="L50" s="670"/>
      <c r="M50" s="835" cm="1">
        <f t="array" ref="M50">C29</f>
        <v>10</v>
      </c>
      <c r="N50" s="849"/>
      <c r="O50" s="717"/>
      <c r="P50" s="717"/>
      <c r="Q50" s="655"/>
      <c r="R50" s="655"/>
      <c r="S50" s="655"/>
      <c r="T50" s="655"/>
      <c r="U50" s="655"/>
      <c r="V50" s="850"/>
      <c r="W50" s="851"/>
      <c r="X50" s="655"/>
      <c r="Y50" s="841"/>
      <c r="Z50" s="841"/>
      <c r="AA50" s="841"/>
      <c r="AB50" s="841"/>
      <c r="AC50" s="655"/>
      <c r="AD50" s="655"/>
      <c r="AE50" s="655"/>
      <c r="AF50" s="655"/>
      <c r="AG50" s="655"/>
      <c r="AH50" s="655"/>
      <c r="AI50" s="841"/>
      <c r="AJ50" s="841"/>
      <c r="AK50" s="841"/>
      <c r="AL50" s="841"/>
      <c r="AM50" s="655"/>
      <c r="AN50" s="655"/>
      <c r="AO50" s="687"/>
      <c r="AP50" s="687"/>
      <c r="AQ50" s="750"/>
      <c r="AR50" s="729"/>
      <c r="AS50" s="682"/>
      <c r="AT50" s="751"/>
      <c r="AU50" s="751"/>
      <c r="AV50" s="751"/>
      <c r="AW50" s="691"/>
      <c r="AX50" s="789"/>
      <c r="AY50" s="730"/>
      <c r="AZ50" s="731"/>
      <c r="BA50" s="793"/>
      <c r="BB50" s="731"/>
      <c r="BC50" s="691"/>
      <c r="BD50" s="691"/>
      <c r="BE50" s="691"/>
      <c r="BF50" s="691"/>
      <c r="BG50" s="658"/>
    </row>
    <row r="51" ht="15" customHeight="1">
      <c r="A51" s="719"/>
      <c r="B51" s="616"/>
      <c r="C51" s="655"/>
      <c r="D51" s="655"/>
      <c r="E51" s="847"/>
      <c r="F51" s="848"/>
      <c r="G51" s="655"/>
      <c r="H51" s="655"/>
      <c r="I51" s="655"/>
      <c r="J51" s="655"/>
      <c r="K51" s="655"/>
      <c r="L51" s="670"/>
      <c r="M51" s="835"/>
      <c r="N51" s="849"/>
      <c r="O51" s="717"/>
      <c r="P51" s="717"/>
      <c r="Q51" s="655"/>
      <c r="R51" s="655"/>
      <c r="S51" s="655"/>
      <c r="T51" s="655"/>
      <c r="U51" s="655"/>
      <c r="V51" s="850"/>
      <c r="W51" s="851"/>
      <c r="X51" s="655"/>
      <c r="Y51" s="841"/>
      <c r="Z51" s="841"/>
      <c r="AA51" s="841"/>
      <c r="AB51" s="841"/>
      <c r="AC51" s="655"/>
      <c r="AD51" s="655"/>
      <c r="AE51" s="655"/>
      <c r="AF51" s="655"/>
      <c r="AG51" s="655"/>
      <c r="AH51" s="655"/>
      <c r="AI51" s="841"/>
      <c r="AJ51" s="841"/>
      <c r="AK51" s="841"/>
      <c r="AL51" s="841"/>
      <c r="AM51" s="655"/>
      <c r="AN51" s="655"/>
      <c r="AO51" s="687"/>
      <c r="AP51" s="687"/>
      <c r="AQ51" s="750"/>
      <c r="AR51" s="729"/>
      <c r="AS51" s="682"/>
      <c r="AT51" s="751"/>
      <c r="AU51" s="751"/>
      <c r="AV51" s="751"/>
      <c r="AW51" s="691"/>
      <c r="AX51" s="789"/>
      <c r="AY51" s="730"/>
      <c r="AZ51" s="731"/>
      <c r="BA51" s="793"/>
      <c r="BB51" s="731"/>
      <c r="BC51" s="691"/>
      <c r="BD51" s="691"/>
      <c r="BE51" s="691"/>
      <c r="BF51" s="691"/>
      <c r="BG51" s="658"/>
    </row>
    <row r="52" ht="15" customHeight="1">
      <c r="A52" s="719"/>
      <c r="B52" s="655"/>
      <c r="C52" s="655"/>
      <c r="D52" s="655"/>
      <c r="E52" s="655"/>
      <c r="F52" s="655"/>
      <c r="G52" s="852"/>
      <c r="H52" s="655"/>
      <c r="I52" s="655"/>
      <c r="J52" s="655"/>
      <c r="K52" s="655"/>
      <c r="L52" s="670"/>
      <c r="M52" s="835" cm="1">
        <f t="array" ref="M52">C30</f>
        <v>15</v>
      </c>
      <c r="N52" s="670"/>
      <c r="O52" s="717"/>
      <c r="P52" s="717"/>
      <c r="Q52" s="655"/>
      <c r="R52" s="655"/>
      <c r="S52" s="670"/>
      <c r="T52" s="670"/>
      <c r="U52" s="670"/>
      <c r="V52" s="655"/>
      <c r="W52" s="655"/>
      <c r="X52" s="813"/>
      <c r="Y52" s="841"/>
      <c r="Z52" s="841"/>
      <c r="AA52" s="841"/>
      <c r="AB52" s="841"/>
      <c r="AC52" s="655"/>
      <c r="AD52" s="655"/>
      <c r="AE52" s="655"/>
      <c r="AF52" s="655"/>
      <c r="AG52" s="655"/>
      <c r="AH52" s="813"/>
      <c r="AI52" s="841"/>
      <c r="AJ52" s="841"/>
      <c r="AK52" s="841"/>
      <c r="AL52" s="841"/>
      <c r="AM52" s="655"/>
      <c r="AN52" s="655"/>
      <c r="AO52" s="687"/>
      <c r="AP52" s="687"/>
      <c r="AQ52" s="750"/>
      <c r="AR52" s="729"/>
      <c r="AS52" s="682"/>
      <c r="AT52" s="751"/>
      <c r="AU52" s="751"/>
      <c r="AV52" s="751"/>
      <c r="AW52" s="691"/>
      <c r="AX52" s="789"/>
      <c r="AY52" s="730"/>
      <c r="AZ52" s="731"/>
      <c r="BA52" s="793"/>
      <c r="BB52" s="731"/>
      <c r="BC52" s="691"/>
      <c r="BD52" s="691"/>
      <c r="BE52" s="691"/>
      <c r="BF52" s="691"/>
      <c r="BG52" s="658"/>
    </row>
    <row r="53" ht="15" customHeight="1">
      <c r="A53" s="719"/>
      <c r="B53" s="616"/>
      <c r="C53" s="616"/>
      <c r="D53" s="616"/>
      <c r="E53" s="616"/>
      <c r="F53" s="616"/>
      <c r="G53" s="616"/>
      <c r="H53" s="616"/>
      <c r="I53" s="655"/>
      <c r="J53" s="655"/>
      <c r="K53" s="655"/>
      <c r="L53" s="670"/>
      <c r="M53" s="835" cm="1">
        <f t="array" ref="M53">C31</f>
        <v>100</v>
      </c>
      <c r="N53" s="849"/>
      <c r="O53" s="717"/>
      <c r="P53" s="717"/>
      <c r="Q53" s="655"/>
      <c r="R53" s="655"/>
      <c r="S53" s="670"/>
      <c r="T53" s="670"/>
      <c r="U53" s="670"/>
      <c r="V53" s="853"/>
      <c r="W53" s="853"/>
      <c r="X53" s="813"/>
      <c r="Y53" s="655"/>
      <c r="Z53" s="854"/>
      <c r="AA53" s="843"/>
      <c r="AB53" s="843"/>
      <c r="AC53" s="655"/>
      <c r="AD53" s="655"/>
      <c r="AE53" s="655"/>
      <c r="AF53" s="655"/>
      <c r="AG53" s="655"/>
      <c r="AH53" s="655"/>
      <c r="AI53" s="655"/>
      <c r="AJ53" s="655"/>
      <c r="AK53" s="655"/>
      <c r="AL53" s="655"/>
      <c r="AM53" s="655"/>
      <c r="AN53" s="655"/>
      <c r="AO53" s="687"/>
      <c r="AP53" s="687"/>
      <c r="AQ53" s="750"/>
      <c r="AR53" s="729"/>
      <c r="AS53" s="682"/>
      <c r="AT53" s="690"/>
      <c r="AU53" s="690"/>
      <c r="AV53" s="690"/>
      <c r="AW53" s="691"/>
      <c r="AX53" s="789"/>
      <c r="AY53" s="730"/>
      <c r="AZ53" s="731"/>
      <c r="BA53" s="793"/>
      <c r="BB53" s="731"/>
      <c r="BC53" s="691"/>
      <c r="BD53" s="691"/>
      <c r="BE53" s="691"/>
      <c r="BF53" s="691"/>
      <c r="BG53" s="658"/>
    </row>
    <row r="54" ht="15" customHeight="1">
      <c r="A54" s="719"/>
      <c r="B54" s="655"/>
      <c r="C54" s="655"/>
      <c r="D54" s="616"/>
      <c r="E54" s="616"/>
      <c r="F54" s="616"/>
      <c r="G54" s="616"/>
      <c r="H54" s="616"/>
      <c r="I54" s="616"/>
      <c r="J54" s="616"/>
      <c r="K54" s="655"/>
      <c r="L54" s="670"/>
      <c r="M54" s="835" cm="1">
        <f t="array" ref="M54">C32</f>
        <v>150</v>
      </c>
      <c r="N54" s="670"/>
      <c r="O54" s="717"/>
      <c r="P54" s="717"/>
      <c r="Q54" s="655"/>
      <c r="R54" s="655"/>
      <c r="S54" s="670"/>
      <c r="T54" s="670"/>
      <c r="U54" s="670"/>
      <c r="V54" s="853"/>
      <c r="W54" s="853"/>
      <c r="X54" s="655"/>
      <c r="Y54" s="855"/>
      <c r="Z54" s="856"/>
      <c r="AA54" s="842"/>
      <c r="AB54" s="856"/>
      <c r="AC54" s="655"/>
      <c r="AD54" s="655"/>
      <c r="AE54" s="655"/>
      <c r="AF54" s="655"/>
      <c r="AG54" s="655"/>
      <c r="AH54" s="857"/>
      <c r="AI54" s="857"/>
      <c r="AJ54" s="857"/>
      <c r="AK54" s="857"/>
      <c r="AL54" s="857"/>
      <c r="AM54" s="857"/>
      <c r="AN54" s="857"/>
      <c r="AO54" s="857"/>
      <c r="AP54" s="857"/>
      <c r="AQ54" s="857"/>
      <c r="AR54" s="851"/>
      <c r="AS54" s="851"/>
      <c r="AT54" s="858"/>
      <c r="AU54" s="858"/>
      <c r="AV54" s="858"/>
      <c r="AW54" s="691"/>
      <c r="AX54" s="789"/>
      <c r="AY54" s="730"/>
      <c r="AZ54" s="731"/>
      <c r="BA54" s="793"/>
      <c r="BB54" s="731"/>
      <c r="BC54" s="691"/>
      <c r="BD54" s="691"/>
      <c r="BE54" s="691"/>
      <c r="BF54" s="691"/>
      <c r="BG54" s="658"/>
    </row>
    <row r="55" ht="15" customHeight="1">
      <c r="A55" s="615"/>
      <c r="B55" s="616"/>
      <c r="C55" s="616"/>
      <c r="D55" s="616"/>
      <c r="E55" s="616"/>
      <c r="F55" s="616"/>
      <c r="G55" s="616"/>
      <c r="H55" s="616"/>
      <c r="I55" s="616"/>
      <c r="J55" s="616"/>
      <c r="K55" s="655"/>
      <c r="L55" s="670"/>
      <c r="M55" s="835" cm="1">
        <f t="array" ref="M55">C33</f>
        <v>500</v>
      </c>
      <c r="N55" s="849"/>
      <c r="O55" s="717"/>
      <c r="P55" s="717"/>
      <c r="Q55" s="655"/>
      <c r="R55" s="655"/>
      <c r="S55" s="799"/>
      <c r="T55" s="705"/>
      <c r="U55" s="859"/>
      <c r="V55" s="860"/>
      <c r="W55" s="687"/>
      <c r="X55" s="860"/>
      <c r="Y55" s="861"/>
      <c r="Z55" s="729"/>
      <c r="AA55" s="862"/>
      <c r="AB55" s="863"/>
      <c r="AC55" s="655"/>
      <c r="AD55" s="655"/>
      <c r="AE55" s="655"/>
      <c r="AF55" s="655"/>
      <c r="AG55" s="655"/>
      <c r="AH55" s="864"/>
      <c r="AI55" s="864"/>
      <c r="AJ55" s="864"/>
      <c r="AK55" s="864"/>
      <c r="AL55" s="864"/>
      <c r="AM55" s="864"/>
      <c r="AN55" s="864"/>
      <c r="AO55" s="864"/>
      <c r="AP55" s="864"/>
      <c r="AQ55" s="851"/>
      <c r="AR55" s="851"/>
      <c r="AS55" s="851"/>
      <c r="AT55" s="858"/>
      <c r="AU55" s="858"/>
      <c r="AV55" s="858"/>
      <c r="AW55" s="691"/>
      <c r="AX55" s="789"/>
      <c r="AY55" s="730"/>
      <c r="AZ55" s="731"/>
      <c r="BA55" s="793"/>
      <c r="BB55" s="731"/>
      <c r="BC55" s="691"/>
      <c r="BD55" s="691"/>
      <c r="BE55" s="691"/>
      <c r="BF55" s="691"/>
      <c r="BG55" s="658"/>
    </row>
    <row r="56" ht="12.75" customHeight="1">
      <c r="A56" s="615"/>
      <c r="B56" s="616"/>
      <c r="C56" s="616"/>
      <c r="D56" s="616"/>
      <c r="E56" s="616"/>
      <c r="F56" s="616"/>
      <c r="G56" s="616"/>
      <c r="H56" s="616"/>
      <c r="I56" s="616"/>
      <c r="J56" s="616"/>
      <c r="K56" s="655"/>
      <c r="L56" s="670"/>
      <c r="M56" s="835" cm="1">
        <f t="array" ref="M56">C34</f>
        <v>800</v>
      </c>
      <c r="N56" s="670"/>
      <c r="O56" s="717"/>
      <c r="P56" s="717"/>
      <c r="Q56" s="655"/>
      <c r="R56" s="655"/>
      <c r="S56" s="799"/>
      <c r="T56" s="705"/>
      <c r="U56" s="859"/>
      <c r="V56" s="860"/>
      <c r="W56" s="800"/>
      <c r="X56" s="655"/>
      <c r="Y56" s="655"/>
      <c r="Z56" s="655"/>
      <c r="AA56" s="655"/>
      <c r="AB56" s="655"/>
      <c r="AC56" s="655"/>
      <c r="AD56" s="655"/>
      <c r="AE56" s="655"/>
      <c r="AF56" s="655"/>
      <c r="AG56" s="655"/>
      <c r="AH56" s="865"/>
      <c r="AI56" s="745"/>
      <c r="AJ56" s="745"/>
      <c r="AK56" s="745"/>
      <c r="AL56" s="745"/>
      <c r="AM56" s="745"/>
      <c r="AN56" s="745"/>
      <c r="AO56" s="745"/>
      <c r="AP56" s="745"/>
      <c r="AQ56" s="687"/>
      <c r="AR56" s="655"/>
      <c r="AS56" s="655"/>
      <c r="AT56" s="690"/>
      <c r="AU56" s="866"/>
      <c r="AV56" s="690"/>
      <c r="AW56" s="691"/>
      <c r="AX56" s="789"/>
      <c r="AY56" s="730"/>
      <c r="AZ56" s="731"/>
      <c r="BA56" s="793"/>
      <c r="BB56" s="731"/>
      <c r="BC56" s="691"/>
      <c r="BD56" s="691"/>
      <c r="BE56" s="691"/>
      <c r="BF56" s="691"/>
      <c r="BG56" s="658"/>
    </row>
    <row r="57" ht="12.75" customHeight="1">
      <c r="A57" s="719"/>
      <c r="B57" s="655"/>
      <c r="C57" s="655"/>
      <c r="D57" s="655"/>
      <c r="E57" s="655"/>
      <c r="F57" s="655"/>
      <c r="G57" s="655"/>
      <c r="H57" s="655"/>
      <c r="I57" s="655"/>
      <c r="J57" s="655"/>
      <c r="K57" s="655"/>
      <c r="L57" s="670"/>
      <c r="M57" s="835" cm="1">
        <f t="array" ref="M57">C35</f>
        <v>900</v>
      </c>
      <c r="N57" s="849"/>
      <c r="O57" s="717"/>
      <c r="P57" s="717"/>
      <c r="Q57" s="655"/>
      <c r="R57" s="655"/>
      <c r="S57" s="799"/>
      <c r="T57" s="705"/>
      <c r="U57" s="859"/>
      <c r="V57" s="860"/>
      <c r="W57" s="800"/>
      <c r="X57" s="655"/>
      <c r="Y57" s="655"/>
      <c r="Z57" s="655"/>
      <c r="AA57" s="655"/>
      <c r="AB57" s="655"/>
      <c r="AC57" s="655"/>
      <c r="AD57" s="655"/>
      <c r="AE57" s="655"/>
      <c r="AF57" s="655"/>
      <c r="AG57" s="655"/>
      <c r="AH57" s="865"/>
      <c r="AI57" s="865"/>
      <c r="AJ57" s="865"/>
      <c r="AK57" s="865"/>
      <c r="AL57" s="865"/>
      <c r="AM57" s="865"/>
      <c r="AN57" s="865"/>
      <c r="AO57" s="865"/>
      <c r="AP57" s="865"/>
      <c r="AQ57" s="867"/>
      <c r="AR57" s="655"/>
      <c r="AS57" s="655"/>
      <c r="AT57" s="690"/>
      <c r="AU57" s="866"/>
      <c r="AV57" s="751"/>
      <c r="AW57" s="691"/>
      <c r="AX57" s="789"/>
      <c r="AY57" s="730"/>
      <c r="AZ57" s="731"/>
      <c r="BA57" s="793"/>
      <c r="BB57" s="731"/>
      <c r="BC57" s="691"/>
      <c r="BD57" s="691"/>
      <c r="BE57" s="691"/>
      <c r="BF57" s="691"/>
      <c r="BG57" s="658"/>
    </row>
    <row r="58" ht="12.75" customHeight="1">
      <c r="A58" s="719"/>
      <c r="B58" s="655"/>
      <c r="C58" s="655"/>
      <c r="D58" s="655"/>
      <c r="E58" s="655"/>
      <c r="F58" s="655"/>
      <c r="G58" s="655"/>
      <c r="H58" s="655"/>
      <c r="I58" s="655"/>
      <c r="J58" s="655"/>
      <c r="K58" s="655"/>
      <c r="L58" s="670"/>
      <c r="M58" s="868" cm="1">
        <f t="array" ref="M58">C36</f>
        <v>1000</v>
      </c>
      <c r="N58" s="670"/>
      <c r="O58" s="717"/>
      <c r="P58" s="717"/>
      <c r="Q58" s="655"/>
      <c r="R58" s="655"/>
      <c r="S58" s="799"/>
      <c r="T58" s="705"/>
      <c r="U58" s="859"/>
      <c r="V58" s="860"/>
      <c r="W58" s="655"/>
      <c r="X58" s="655"/>
      <c r="Y58" s="655"/>
      <c r="Z58" s="655"/>
      <c r="AA58" s="655"/>
      <c r="AB58" s="655"/>
      <c r="AC58" s="655"/>
      <c r="AD58" s="655"/>
      <c r="AE58" s="655"/>
      <c r="AF58" s="655"/>
      <c r="AG58" s="655"/>
      <c r="AH58" s="869"/>
      <c r="AI58" s="869"/>
      <c r="AJ58" s="869"/>
      <c r="AK58" s="869"/>
      <c r="AL58" s="869"/>
      <c r="AM58" s="869"/>
      <c r="AN58" s="869"/>
      <c r="AO58" s="869"/>
      <c r="AP58" s="869"/>
      <c r="AQ58" s="867"/>
      <c r="AR58" s="655"/>
      <c r="AS58" s="655"/>
      <c r="AT58" s="690"/>
      <c r="AU58" s="751"/>
      <c r="AV58" s="690"/>
      <c r="AW58" s="691"/>
      <c r="AX58" s="789"/>
      <c r="AY58" s="730"/>
      <c r="AZ58" s="731"/>
      <c r="BA58" s="793"/>
      <c r="BB58" s="731"/>
      <c r="BC58" s="691"/>
      <c r="BD58" s="691"/>
      <c r="BE58" s="691"/>
      <c r="BF58" s="691"/>
      <c r="BG58" s="658"/>
    </row>
    <row r="59" ht="12.75" customHeight="1">
      <c r="A59" s="719"/>
      <c r="B59" s="655"/>
      <c r="C59" s="655"/>
      <c r="D59" s="655"/>
      <c r="E59" s="655"/>
      <c r="F59" s="655"/>
      <c r="G59" s="655"/>
      <c r="H59" s="655"/>
      <c r="I59" s="655"/>
      <c r="J59" s="655"/>
      <c r="K59" s="655"/>
      <c r="L59" s="670"/>
      <c r="M59" s="868" cm="1">
        <f t="array" ref="M59">C37</f>
        <v>1200</v>
      </c>
      <c r="N59" s="849"/>
      <c r="O59" s="717"/>
      <c r="P59" s="717"/>
      <c r="Q59" s="655"/>
      <c r="R59" s="655"/>
      <c r="S59" s="799"/>
      <c r="T59" s="705"/>
      <c r="U59" s="859"/>
      <c r="V59" s="860"/>
      <c r="W59" s="655"/>
      <c r="X59" s="655"/>
      <c r="Y59" s="655"/>
      <c r="Z59" s="655"/>
      <c r="AA59" s="655"/>
      <c r="AB59" s="655"/>
      <c r="AC59" s="655"/>
      <c r="AD59" s="655"/>
      <c r="AE59" s="655"/>
      <c r="AF59" s="655"/>
      <c r="AG59" s="655"/>
      <c r="AH59" s="869"/>
      <c r="AI59" s="869"/>
      <c r="AJ59" s="869"/>
      <c r="AK59" s="869"/>
      <c r="AL59" s="869"/>
      <c r="AM59" s="869"/>
      <c r="AN59" s="869"/>
      <c r="AO59" s="869"/>
      <c r="AP59" s="869"/>
      <c r="AQ59" s="867"/>
      <c r="AR59" s="655"/>
      <c r="AS59" s="655"/>
      <c r="AT59" s="690"/>
      <c r="AU59" s="751"/>
      <c r="AV59" s="690"/>
      <c r="AW59" s="691"/>
      <c r="AX59" s="789"/>
      <c r="AY59" s="730"/>
      <c r="AZ59" s="731"/>
      <c r="BA59" s="793"/>
      <c r="BB59" s="731"/>
      <c r="BC59" s="691"/>
      <c r="BD59" s="691"/>
      <c r="BE59" s="691"/>
      <c r="BF59" s="691"/>
      <c r="BG59" s="658"/>
    </row>
    <row r="60" ht="12.75" customHeight="1">
      <c r="A60" s="719"/>
      <c r="B60" s="655"/>
      <c r="C60" s="655"/>
      <c r="D60" s="655"/>
      <c r="E60" s="655"/>
      <c r="F60" s="655"/>
      <c r="G60" s="655"/>
      <c r="H60" s="655"/>
      <c r="I60" s="655"/>
      <c r="J60" s="655"/>
      <c r="K60" s="655"/>
      <c r="L60" s="670"/>
      <c r="M60" s="670"/>
      <c r="N60" s="670"/>
      <c r="O60" s="870"/>
      <c r="P60" s="870"/>
      <c r="Q60" s="655"/>
      <c r="R60" s="655"/>
      <c r="S60" s="799"/>
      <c r="T60" s="705"/>
      <c r="U60" s="859"/>
      <c r="V60" s="860"/>
      <c r="W60" s="655"/>
      <c r="X60" s="655"/>
      <c r="Y60" s="655"/>
      <c r="Z60" s="655"/>
      <c r="AA60" s="655"/>
      <c r="AB60" s="655"/>
      <c r="AC60" s="655"/>
      <c r="AD60" s="655"/>
      <c r="AE60" s="655"/>
      <c r="AF60" s="655"/>
      <c r="AG60" s="655"/>
      <c r="AH60" s="869"/>
      <c r="AI60" s="869"/>
      <c r="AJ60" s="869"/>
      <c r="AK60" s="869"/>
      <c r="AL60" s="869"/>
      <c r="AM60" s="869"/>
      <c r="AN60" s="869"/>
      <c r="AO60" s="869"/>
      <c r="AP60" s="869"/>
      <c r="AQ60" s="867"/>
      <c r="AR60" s="655"/>
      <c r="AS60" s="655"/>
      <c r="AT60" s="690"/>
      <c r="AU60" s="751"/>
      <c r="AV60" s="690"/>
      <c r="AW60" s="691"/>
      <c r="AX60" s="789"/>
      <c r="AY60" s="730"/>
      <c r="AZ60" s="731"/>
      <c r="BA60" s="793"/>
      <c r="BB60" s="731"/>
      <c r="BC60" s="691"/>
      <c r="BD60" s="691"/>
      <c r="BE60" s="691"/>
      <c r="BF60" s="691"/>
      <c r="BG60" s="658"/>
    </row>
    <row r="61" ht="12.75" customHeight="1">
      <c r="A61" s="719"/>
      <c r="B61" s="655"/>
      <c r="C61" s="655"/>
      <c r="D61" s="655"/>
      <c r="E61" s="655"/>
      <c r="F61" s="655"/>
      <c r="G61" s="655"/>
      <c r="H61" s="655"/>
      <c r="I61" s="655"/>
      <c r="J61" s="655"/>
      <c r="K61" s="655"/>
      <c r="L61" s="682"/>
      <c r="M61" s="871"/>
      <c r="N61" s="871"/>
      <c r="O61" s="717"/>
      <c r="P61" s="717"/>
      <c r="Q61" s="655"/>
      <c r="R61" s="655"/>
      <c r="S61" s="799"/>
      <c r="T61" s="705"/>
      <c r="U61" s="859"/>
      <c r="V61" s="860"/>
      <c r="W61" s="655"/>
      <c r="X61" s="655"/>
      <c r="Y61" s="655"/>
      <c r="Z61" s="655"/>
      <c r="AA61" s="655"/>
      <c r="AB61" s="655"/>
      <c r="AC61" s="655"/>
      <c r="AD61" s="655"/>
      <c r="AE61" s="655"/>
      <c r="AF61" s="655"/>
      <c r="AG61" s="655"/>
      <c r="AH61" s="869"/>
      <c r="AI61" s="869"/>
      <c r="AJ61" s="869"/>
      <c r="AK61" s="869"/>
      <c r="AL61" s="869"/>
      <c r="AM61" s="869"/>
      <c r="AN61" s="869"/>
      <c r="AO61" s="869"/>
      <c r="AP61" s="869"/>
      <c r="AQ61" s="867"/>
      <c r="AR61" s="655"/>
      <c r="AS61" s="655"/>
      <c r="AT61" s="690"/>
      <c r="AU61" s="751"/>
      <c r="AV61" s="690"/>
      <c r="AW61" s="691"/>
      <c r="AX61" s="789"/>
      <c r="AY61" s="730"/>
      <c r="AZ61" s="731"/>
      <c r="BA61" s="793"/>
      <c r="BB61" s="731"/>
      <c r="BC61" s="691"/>
      <c r="BD61" s="691"/>
      <c r="BE61" s="691"/>
      <c r="BF61" s="691"/>
      <c r="BG61" s="658"/>
    </row>
    <row r="62" ht="12.75" customHeight="1">
      <c r="A62" s="719"/>
      <c r="B62" s="655"/>
      <c r="C62" s="655"/>
      <c r="D62" s="655"/>
      <c r="E62" s="655"/>
      <c r="F62" s="655"/>
      <c r="G62" s="655"/>
      <c r="H62" s="655"/>
      <c r="I62" s="655"/>
      <c r="J62" s="655"/>
      <c r="K62" s="655"/>
      <c r="L62" s="670"/>
      <c r="M62" s="871"/>
      <c r="N62" s="871"/>
      <c r="O62" s="717"/>
      <c r="P62" s="717"/>
      <c r="Q62" s="655"/>
      <c r="R62" s="655"/>
      <c r="S62" s="799"/>
      <c r="T62" s="705"/>
      <c r="U62" s="859"/>
      <c r="V62" s="860"/>
      <c r="W62" s="655"/>
      <c r="X62" s="655"/>
      <c r="Y62" s="655"/>
      <c r="Z62" s="655"/>
      <c r="AA62" s="655"/>
      <c r="AB62" s="655"/>
      <c r="AC62" s="655"/>
      <c r="AD62" s="655"/>
      <c r="AE62" s="655"/>
      <c r="AF62" s="655"/>
      <c r="AG62" s="655"/>
      <c r="AH62" s="869"/>
      <c r="AI62" s="869"/>
      <c r="AJ62" s="869"/>
      <c r="AK62" s="869"/>
      <c r="AL62" s="869"/>
      <c r="AM62" s="869"/>
      <c r="AN62" s="869"/>
      <c r="AO62" s="869"/>
      <c r="AP62" s="869"/>
      <c r="AQ62" s="867"/>
      <c r="AR62" s="655"/>
      <c r="AS62" s="655"/>
      <c r="AT62" s="690"/>
      <c r="AU62" s="751"/>
      <c r="AV62" s="690"/>
      <c r="AW62" s="691"/>
      <c r="AX62" s="789"/>
      <c r="AY62" s="730"/>
      <c r="AZ62" s="731"/>
      <c r="BA62" s="793"/>
      <c r="BB62" s="731"/>
      <c r="BC62" s="691"/>
      <c r="BD62" s="691"/>
      <c r="BE62" s="691"/>
      <c r="BF62" s="691"/>
      <c r="BG62" s="658"/>
    </row>
    <row r="63" ht="12.75" customHeight="1">
      <c r="A63" s="872"/>
      <c r="B63" s="655"/>
      <c r="C63" s="655"/>
      <c r="D63" s="655"/>
      <c r="E63" s="655"/>
      <c r="F63" s="655"/>
      <c r="G63" s="655"/>
      <c r="H63" s="655"/>
      <c r="I63" s="655"/>
      <c r="J63" s="655"/>
      <c r="K63" s="655"/>
      <c r="L63" s="670"/>
      <c r="M63" s="698"/>
      <c r="N63" s="698"/>
      <c r="O63" s="717"/>
      <c r="P63" s="717"/>
      <c r="Q63" s="655"/>
      <c r="R63" s="655"/>
      <c r="S63" s="799"/>
      <c r="T63" s="705"/>
      <c r="U63" s="859"/>
      <c r="V63" s="860"/>
      <c r="W63" s="655"/>
      <c r="X63" s="655"/>
      <c r="Y63" s="655"/>
      <c r="Z63" s="655"/>
      <c r="AA63" s="655"/>
      <c r="AB63" s="655"/>
      <c r="AC63" s="655"/>
      <c r="AD63" s="655"/>
      <c r="AE63" s="655"/>
      <c r="AF63" s="655"/>
      <c r="AG63" s="655"/>
      <c r="AH63" s="869"/>
      <c r="AI63" s="869"/>
      <c r="AJ63" s="869"/>
      <c r="AK63" s="869"/>
      <c r="AL63" s="869"/>
      <c r="AM63" s="869"/>
      <c r="AN63" s="869"/>
      <c r="AO63" s="869"/>
      <c r="AP63" s="869"/>
      <c r="AQ63" s="867"/>
      <c r="AR63" s="655"/>
      <c r="AS63" s="655"/>
      <c r="AT63" s="690"/>
      <c r="AU63" s="751"/>
      <c r="AV63" s="690"/>
      <c r="AW63" s="691"/>
      <c r="AX63" s="789"/>
      <c r="AY63" s="730"/>
      <c r="AZ63" s="731"/>
      <c r="BA63" s="793"/>
      <c r="BB63" s="731"/>
      <c r="BC63" s="691"/>
      <c r="BD63" s="691"/>
      <c r="BE63" s="691"/>
      <c r="BF63" s="691"/>
      <c r="BG63" s="658"/>
    </row>
    <row r="64" ht="12.75" customHeight="1">
      <c r="A64" s="872"/>
      <c r="B64" s="616"/>
      <c r="C64" s="616"/>
      <c r="D64" s="616"/>
      <c r="E64" s="616"/>
      <c r="F64" s="616"/>
      <c r="G64" s="616"/>
      <c r="H64" s="616"/>
      <c r="I64" s="655"/>
      <c r="J64" s="655"/>
      <c r="K64" s="655"/>
      <c r="L64" s="670"/>
      <c r="M64" s="698"/>
      <c r="N64" s="698"/>
      <c r="O64" s="717"/>
      <c r="P64" s="717"/>
      <c r="Q64" s="655"/>
      <c r="R64" s="655"/>
      <c r="S64" s="799"/>
      <c r="T64" s="705"/>
      <c r="U64" s="859"/>
      <c r="V64" s="860"/>
      <c r="W64" s="655"/>
      <c r="X64" s="655"/>
      <c r="Y64" s="655"/>
      <c r="Z64" s="655"/>
      <c r="AA64" s="655"/>
      <c r="AB64" s="655"/>
      <c r="AC64" s="655"/>
      <c r="AD64" s="655"/>
      <c r="AE64" s="655"/>
      <c r="AF64" s="655"/>
      <c r="AG64" s="655"/>
      <c r="AH64" s="869"/>
      <c r="AI64" s="869"/>
      <c r="AJ64" s="869"/>
      <c r="AK64" s="869"/>
      <c r="AL64" s="869"/>
      <c r="AM64" s="869"/>
      <c r="AN64" s="869"/>
      <c r="AO64" s="869"/>
      <c r="AP64" s="869"/>
      <c r="AQ64" s="867"/>
      <c r="AR64" s="655"/>
      <c r="AS64" s="655"/>
      <c r="AT64" s="690"/>
      <c r="AU64" s="751"/>
      <c r="AV64" s="690"/>
      <c r="AW64" s="691"/>
      <c r="AX64" s="789"/>
      <c r="AY64" s="730"/>
      <c r="AZ64" s="731"/>
      <c r="BA64" s="793"/>
      <c r="BB64" s="731"/>
      <c r="BC64" s="691"/>
      <c r="BD64" s="691"/>
      <c r="BE64" s="691"/>
      <c r="BF64" s="691"/>
      <c r="BG64" s="658"/>
    </row>
    <row r="65" ht="21.75" customHeight="1">
      <c r="A65" s="873"/>
      <c r="B65" s="655"/>
      <c r="C65" s="655"/>
      <c r="D65" s="655"/>
      <c r="E65" s="655"/>
      <c r="F65" s="655"/>
      <c r="G65" s="655"/>
      <c r="H65" s="655"/>
      <c r="I65" s="655"/>
      <c r="J65" s="655"/>
      <c r="K65" s="655"/>
      <c r="L65" s="670"/>
      <c r="M65" s="655"/>
      <c r="N65" s="655"/>
      <c r="O65" s="874"/>
      <c r="P65" s="874"/>
      <c r="Q65" s="655"/>
      <c r="R65" s="655"/>
      <c r="S65" s="655"/>
      <c r="T65" s="655"/>
      <c r="U65" s="655"/>
      <c r="V65" s="655"/>
      <c r="W65" s="655"/>
      <c r="X65" s="655"/>
      <c r="Y65" s="655"/>
      <c r="Z65" s="655"/>
      <c r="AA65" s="655"/>
      <c r="AB65" s="655"/>
      <c r="AC65" s="655"/>
      <c r="AD65" s="655"/>
      <c r="AE65" s="655"/>
      <c r="AF65" s="655"/>
      <c r="AG65" s="655"/>
      <c r="AH65" s="869"/>
      <c r="AI65" s="869"/>
      <c r="AJ65" s="869"/>
      <c r="AK65" s="869"/>
      <c r="AL65" s="869"/>
      <c r="AM65" s="869"/>
      <c r="AN65" s="869"/>
      <c r="AO65" s="869"/>
      <c r="AP65" s="869"/>
      <c r="AQ65" s="867"/>
      <c r="AR65" s="655"/>
      <c r="AS65" s="655"/>
      <c r="AT65" s="690"/>
      <c r="AU65" s="751"/>
      <c r="AV65" s="690"/>
      <c r="AW65" s="691"/>
      <c r="AX65" s="789"/>
      <c r="AY65" s="730"/>
      <c r="AZ65" s="731"/>
      <c r="BA65" s="793"/>
      <c r="BB65" s="731"/>
      <c r="BC65" s="691"/>
      <c r="BD65" s="691"/>
      <c r="BE65" s="691"/>
      <c r="BF65" s="691"/>
      <c r="BG65" s="658"/>
    </row>
    <row r="66" ht="12.75" customHeight="1">
      <c r="A66" s="719"/>
      <c r="B66" s="655"/>
      <c r="C66" s="655"/>
      <c r="D66" s="655"/>
      <c r="E66" s="655"/>
      <c r="F66" s="655"/>
      <c r="G66" s="655"/>
      <c r="H66" s="655"/>
      <c r="I66" s="655"/>
      <c r="J66" s="655"/>
      <c r="K66" s="655"/>
      <c r="L66" s="655"/>
      <c r="M66" s="655"/>
      <c r="N66" s="655"/>
      <c r="O66" s="655"/>
      <c r="P66" s="655"/>
      <c r="Q66" s="655"/>
      <c r="R66" s="655"/>
      <c r="S66" s="655"/>
      <c r="T66" s="655"/>
      <c r="U66" s="655"/>
      <c r="V66" s="655"/>
      <c r="W66" s="655"/>
      <c r="X66" s="655"/>
      <c r="Y66" s="655"/>
      <c r="Z66" s="655"/>
      <c r="AA66" s="655"/>
      <c r="AB66" s="655"/>
      <c r="AC66" s="655"/>
      <c r="AD66" s="655"/>
      <c r="AE66" s="655"/>
      <c r="AF66" s="655"/>
      <c r="AG66" s="655"/>
      <c r="AH66" s="869"/>
      <c r="AI66" s="869"/>
      <c r="AJ66" s="869"/>
      <c r="AK66" s="869"/>
      <c r="AL66" s="869"/>
      <c r="AM66" s="869"/>
      <c r="AN66" s="869"/>
      <c r="AO66" s="869"/>
      <c r="AP66" s="869"/>
      <c r="AQ66" s="867"/>
      <c r="AR66" s="655"/>
      <c r="AS66" s="655"/>
      <c r="AT66" s="690"/>
      <c r="AU66" s="751"/>
      <c r="AV66" s="690"/>
      <c r="AW66" s="691"/>
      <c r="AX66" s="789"/>
      <c r="AY66" s="730"/>
      <c r="AZ66" s="731"/>
      <c r="BA66" s="793"/>
      <c r="BB66" s="731"/>
      <c r="BC66" s="691"/>
      <c r="BD66" s="691"/>
      <c r="BE66" s="691"/>
      <c r="BF66" s="691"/>
      <c r="BG66" s="658"/>
    </row>
    <row r="67" ht="12.75" customHeight="1">
      <c r="A67" s="615"/>
      <c r="B67" s="616"/>
      <c r="C67" s="616"/>
      <c r="D67" s="616"/>
      <c r="E67" s="616"/>
      <c r="F67" s="616"/>
      <c r="G67" s="616"/>
      <c r="H67" s="616"/>
      <c r="I67" s="682"/>
      <c r="J67" s="816"/>
      <c r="K67" s="655"/>
      <c r="L67" s="655"/>
      <c r="M67" s="655"/>
      <c r="N67" s="655"/>
      <c r="O67" s="655"/>
      <c r="P67" s="655"/>
      <c r="Q67" s="655"/>
      <c r="R67" s="655"/>
      <c r="S67" s="655"/>
      <c r="T67" s="655"/>
      <c r="U67" s="655"/>
      <c r="V67" s="816"/>
      <c r="W67" s="816"/>
      <c r="X67" s="816"/>
      <c r="Y67" s="816"/>
      <c r="Z67" s="816"/>
      <c r="AA67" s="816"/>
      <c r="AB67" s="816"/>
      <c r="AC67" s="816"/>
      <c r="AD67" s="816"/>
      <c r="AE67" s="816"/>
      <c r="AF67" s="816"/>
      <c r="AG67" s="816"/>
      <c r="AH67" s="869"/>
      <c r="AI67" s="869"/>
      <c r="AJ67" s="869"/>
      <c r="AK67" s="869"/>
      <c r="AL67" s="869"/>
      <c r="AM67" s="869"/>
      <c r="AN67" s="869"/>
      <c r="AO67" s="869"/>
      <c r="AP67" s="869"/>
      <c r="AQ67" s="867"/>
      <c r="AR67" s="655"/>
      <c r="AS67" s="655"/>
      <c r="AT67" s="690"/>
      <c r="AU67" s="751"/>
      <c r="AV67" s="690"/>
      <c r="AW67" s="875"/>
      <c r="AX67" s="789"/>
      <c r="AY67" s="730"/>
      <c r="AZ67" s="731"/>
      <c r="BA67" s="793"/>
      <c r="BB67" s="731"/>
      <c r="BC67" s="691"/>
      <c r="BD67" s="691"/>
      <c r="BE67" s="691"/>
      <c r="BF67" s="691"/>
      <c r="BG67" s="876"/>
    </row>
    <row r="68" ht="12.75" customHeight="1">
      <c r="A68" s="872"/>
      <c r="B68" s="616"/>
      <c r="C68" s="616"/>
      <c r="D68" s="616"/>
      <c r="E68" s="616"/>
      <c r="F68" s="877"/>
      <c r="G68" s="816"/>
      <c r="H68" s="816"/>
      <c r="I68" s="816"/>
      <c r="J68" s="655"/>
      <c r="K68" s="655"/>
      <c r="L68" s="655"/>
      <c r="M68" s="655"/>
      <c r="N68" s="655"/>
      <c r="O68" s="655"/>
      <c r="P68" s="655"/>
      <c r="Q68" s="655"/>
      <c r="R68" s="655"/>
      <c r="S68" s="655"/>
      <c r="T68" s="655"/>
      <c r="U68" s="878"/>
      <c r="V68" s="655"/>
      <c r="W68" s="655"/>
      <c r="X68" s="655"/>
      <c r="Y68" s="655"/>
      <c r="Z68" s="655"/>
      <c r="AA68" s="655"/>
      <c r="AB68" s="655"/>
      <c r="AC68" s="655"/>
      <c r="AD68" s="655"/>
      <c r="AE68" s="655"/>
      <c r="AF68" s="655"/>
      <c r="AG68" s="655"/>
      <c r="AH68" s="869"/>
      <c r="AI68" s="869"/>
      <c r="AJ68" s="869"/>
      <c r="AK68" s="869"/>
      <c r="AL68" s="869"/>
      <c r="AM68" s="869"/>
      <c r="AN68" s="869"/>
      <c r="AO68" s="869"/>
      <c r="AP68" s="869"/>
      <c r="AQ68" s="867"/>
      <c r="AR68" s="655"/>
      <c r="AS68" s="655"/>
      <c r="AT68" s="690"/>
      <c r="AU68" s="751"/>
      <c r="AV68" s="690"/>
      <c r="AW68" s="691"/>
      <c r="AX68" s="789"/>
      <c r="AY68" s="730"/>
      <c r="AZ68" s="731"/>
      <c r="BA68" s="793"/>
      <c r="BB68" s="731"/>
      <c r="BC68" s="691"/>
      <c r="BD68" s="691"/>
      <c r="BE68" s="691"/>
      <c r="BF68" s="691"/>
      <c r="BG68" s="658"/>
    </row>
    <row r="69" ht="12.75" customHeight="1">
      <c r="A69" s="872"/>
      <c r="B69" s="879"/>
      <c r="C69" s="655"/>
      <c r="D69" s="655"/>
      <c r="E69" s="655"/>
      <c r="F69" s="655"/>
      <c r="G69" s="655"/>
      <c r="H69" s="655"/>
      <c r="I69" s="655"/>
      <c r="J69" s="655"/>
      <c r="K69" s="655"/>
      <c r="L69" s="655"/>
      <c r="M69" s="655"/>
      <c r="N69" s="655"/>
      <c r="O69" s="655"/>
      <c r="P69" s="655"/>
      <c r="Q69" s="655"/>
      <c r="R69" s="655"/>
      <c r="S69" s="655"/>
      <c r="T69" s="655"/>
      <c r="U69" s="655"/>
      <c r="V69" s="655"/>
      <c r="W69" s="655"/>
      <c r="X69" s="655"/>
      <c r="Y69" s="655"/>
      <c r="Z69" s="655"/>
      <c r="AA69" s="655"/>
      <c r="AB69" s="655"/>
      <c r="AC69" s="655"/>
      <c r="AD69" s="655"/>
      <c r="AE69" s="655"/>
      <c r="AF69" s="655"/>
      <c r="AG69" s="655"/>
      <c r="AH69" s="869"/>
      <c r="AI69" s="869"/>
      <c r="AJ69" s="869"/>
      <c r="AK69" s="869"/>
      <c r="AL69" s="869"/>
      <c r="AM69" s="869"/>
      <c r="AN69" s="869"/>
      <c r="AO69" s="869"/>
      <c r="AP69" s="869"/>
      <c r="AQ69" s="867"/>
      <c r="AR69" s="655"/>
      <c r="AS69" s="655"/>
      <c r="AT69" s="690"/>
      <c r="AU69" s="751"/>
      <c r="AV69" s="690"/>
      <c r="AW69" s="691"/>
      <c r="AX69" s="789"/>
      <c r="AY69" s="730"/>
      <c r="AZ69" s="731"/>
      <c r="BA69" s="793"/>
      <c r="BB69" s="731"/>
      <c r="BC69" s="691"/>
      <c r="BD69" s="691"/>
      <c r="BE69" s="691"/>
      <c r="BF69" s="691"/>
      <c r="BG69" s="658"/>
    </row>
    <row r="70" ht="12.75" customHeight="1">
      <c r="A70" s="880"/>
      <c r="B70" s="881"/>
      <c r="C70" s="881"/>
      <c r="D70" s="881"/>
      <c r="E70" s="881"/>
      <c r="F70" s="881"/>
      <c r="G70" s="881"/>
      <c r="H70" s="881"/>
      <c r="I70" s="881"/>
      <c r="J70" s="655"/>
      <c r="K70" s="655"/>
      <c r="L70" s="655"/>
      <c r="M70" s="655"/>
      <c r="N70" s="655"/>
      <c r="O70" s="655"/>
      <c r="P70" s="655"/>
      <c r="Q70" s="655"/>
      <c r="R70" s="655"/>
      <c r="S70" s="655"/>
      <c r="T70" s="655"/>
      <c r="U70" s="655"/>
      <c r="V70" s="655"/>
      <c r="W70" s="655"/>
      <c r="X70" s="655"/>
      <c r="Y70" s="655"/>
      <c r="Z70" s="655"/>
      <c r="AA70" s="655"/>
      <c r="AB70" s="655"/>
      <c r="AC70" s="655"/>
      <c r="AD70" s="655"/>
      <c r="AE70" s="655"/>
      <c r="AF70" s="655"/>
      <c r="AG70" s="655"/>
      <c r="AH70" s="867"/>
      <c r="AI70" s="867"/>
      <c r="AJ70" s="867"/>
      <c r="AK70" s="867"/>
      <c r="AL70" s="867"/>
      <c r="AM70" s="867"/>
      <c r="AN70" s="867"/>
      <c r="AO70" s="867"/>
      <c r="AP70" s="867"/>
      <c r="AQ70" s="867"/>
      <c r="AR70" s="655"/>
      <c r="AS70" s="655"/>
      <c r="AT70" s="690"/>
      <c r="AU70" s="751"/>
      <c r="AV70" s="690"/>
      <c r="AW70" s="691"/>
      <c r="AX70" s="789"/>
      <c r="AY70" s="730"/>
      <c r="AZ70" s="731"/>
      <c r="BA70" s="793"/>
      <c r="BB70" s="731"/>
      <c r="BC70" s="691"/>
      <c r="BD70" s="691"/>
      <c r="BE70" s="691"/>
      <c r="BF70" s="691"/>
      <c r="BG70" s="658"/>
    </row>
    <row r="71" ht="12.75" customHeight="1">
      <c r="A71" s="880"/>
      <c r="B71" s="881"/>
      <c r="C71" s="881"/>
      <c r="D71" s="881"/>
      <c r="E71" s="881"/>
      <c r="F71" s="881"/>
      <c r="G71" s="881"/>
      <c r="H71" s="881"/>
      <c r="I71" s="881"/>
      <c r="J71" s="655"/>
      <c r="K71" s="655"/>
      <c r="L71" s="655"/>
      <c r="M71" s="655"/>
      <c r="N71" s="655"/>
      <c r="O71" s="655"/>
      <c r="P71" s="655"/>
      <c r="Q71" s="655"/>
      <c r="R71" s="655"/>
      <c r="S71" s="655"/>
      <c r="T71" s="655"/>
      <c r="U71" s="655"/>
      <c r="V71" s="655"/>
      <c r="W71" s="655"/>
      <c r="X71" s="655"/>
      <c r="Y71" s="655"/>
      <c r="Z71" s="655"/>
      <c r="AA71" s="655"/>
      <c r="AB71" s="655"/>
      <c r="AC71" s="655"/>
      <c r="AD71" s="655"/>
      <c r="AE71" s="655"/>
      <c r="AF71" s="655"/>
      <c r="AG71" s="655"/>
      <c r="AH71" s="655"/>
      <c r="AI71" s="655"/>
      <c r="AJ71" s="655"/>
      <c r="AK71" s="655"/>
      <c r="AL71" s="655"/>
      <c r="AM71" s="655"/>
      <c r="AN71" s="655"/>
      <c r="AO71" s="655"/>
      <c r="AP71" s="655"/>
      <c r="AQ71" s="655"/>
      <c r="AR71" s="655"/>
      <c r="AS71" s="655"/>
      <c r="AT71" s="690"/>
      <c r="AU71" s="690"/>
      <c r="AV71" s="690"/>
      <c r="AW71" s="691"/>
      <c r="AX71" s="789"/>
      <c r="AY71" s="730"/>
      <c r="AZ71" s="731"/>
      <c r="BA71" s="793"/>
      <c r="BB71" s="731"/>
      <c r="BC71" s="691"/>
      <c r="BD71" s="691"/>
      <c r="BE71" s="691"/>
      <c r="BF71" s="691"/>
      <c r="BG71" s="658"/>
    </row>
    <row r="72" ht="12.75" customHeight="1">
      <c r="A72" s="880"/>
      <c r="B72" s="881"/>
      <c r="C72" s="881"/>
      <c r="D72" s="881"/>
      <c r="E72" s="881"/>
      <c r="F72" s="881"/>
      <c r="G72" s="881"/>
      <c r="H72" s="881"/>
      <c r="I72" s="881"/>
      <c r="J72" s="655"/>
      <c r="K72" s="655"/>
      <c r="L72" s="655"/>
      <c r="M72" s="655"/>
      <c r="N72" s="655"/>
      <c r="O72" s="655"/>
      <c r="P72" s="655"/>
      <c r="Q72" s="655"/>
      <c r="R72" s="655"/>
      <c r="S72" s="655"/>
      <c r="T72" s="655"/>
      <c r="U72" s="655"/>
      <c r="V72" s="655"/>
      <c r="W72" s="655"/>
      <c r="X72" s="655"/>
      <c r="Y72" s="655"/>
      <c r="Z72" s="655"/>
      <c r="AA72" s="655"/>
      <c r="AB72" s="655"/>
      <c r="AC72" s="655"/>
      <c r="AD72" s="655"/>
      <c r="AE72" s="655"/>
      <c r="AF72" s="655"/>
      <c r="AG72" s="655"/>
      <c r="AH72" s="655"/>
      <c r="AI72" s="655"/>
      <c r="AJ72" s="655"/>
      <c r="AK72" s="655"/>
      <c r="AL72" s="655"/>
      <c r="AM72" s="655"/>
      <c r="AN72" s="655"/>
      <c r="AO72" s="655"/>
      <c r="AP72" s="655"/>
      <c r="AQ72" s="655"/>
      <c r="AR72" s="655"/>
      <c r="AS72" s="655"/>
      <c r="AT72" s="690"/>
      <c r="AU72" s="690"/>
      <c r="AV72" s="690"/>
      <c r="AW72" s="691"/>
      <c r="AX72" s="789"/>
      <c r="AY72" s="730"/>
      <c r="AZ72" s="731"/>
      <c r="BA72" s="793"/>
      <c r="BB72" s="731"/>
      <c r="BC72" s="691"/>
      <c r="BD72" s="691"/>
      <c r="BE72" s="691"/>
      <c r="BF72" s="691"/>
      <c r="BG72" s="658"/>
    </row>
    <row r="73" ht="12.75" customHeight="1">
      <c r="A73" s="880"/>
      <c r="B73" s="881"/>
      <c r="C73" s="881"/>
      <c r="D73" s="881"/>
      <c r="E73" s="881"/>
      <c r="F73" s="881"/>
      <c r="G73" s="881"/>
      <c r="H73" s="881"/>
      <c r="I73" s="881"/>
      <c r="J73" s="655"/>
      <c r="K73" s="655"/>
      <c r="L73" s="655"/>
      <c r="M73" s="655"/>
      <c r="N73" s="655"/>
      <c r="O73" s="655"/>
      <c r="P73" s="655"/>
      <c r="Q73" s="655"/>
      <c r="R73" s="655"/>
      <c r="S73" s="655"/>
      <c r="T73" s="655"/>
      <c r="U73" s="655"/>
      <c r="V73" s="655"/>
      <c r="W73" s="655"/>
      <c r="X73" s="655"/>
      <c r="Y73" s="655"/>
      <c r="Z73" s="655"/>
      <c r="AA73" s="655"/>
      <c r="AB73" s="655"/>
      <c r="AC73" s="655"/>
      <c r="AD73" s="655"/>
      <c r="AE73" s="655"/>
      <c r="AF73" s="655"/>
      <c r="AG73" s="655"/>
      <c r="AH73" s="655"/>
      <c r="AI73" s="655"/>
      <c r="AJ73" s="655"/>
      <c r="AK73" s="655"/>
      <c r="AL73" s="655"/>
      <c r="AM73" s="655"/>
      <c r="AN73" s="655"/>
      <c r="AO73" s="655"/>
      <c r="AP73" s="655"/>
      <c r="AQ73" s="655"/>
      <c r="AR73" s="655"/>
      <c r="AS73" s="655"/>
      <c r="AT73" s="690"/>
      <c r="AU73" s="690"/>
      <c r="AV73" s="690"/>
      <c r="AW73" s="691"/>
      <c r="AX73" s="789"/>
      <c r="AY73" s="730"/>
      <c r="AZ73" s="731"/>
      <c r="BA73" s="793"/>
      <c r="BB73" s="731"/>
      <c r="BC73" s="691"/>
      <c r="BD73" s="691"/>
      <c r="BE73" s="691"/>
      <c r="BF73" s="691"/>
      <c r="BG73" s="658"/>
    </row>
    <row r="74" ht="12.75" customHeight="1">
      <c r="A74" s="882"/>
      <c r="B74" s="881"/>
      <c r="C74" s="881"/>
      <c r="D74" s="881"/>
      <c r="E74" s="881"/>
      <c r="F74" s="881"/>
      <c r="G74" s="881"/>
      <c r="H74" s="881"/>
      <c r="I74" s="881"/>
      <c r="J74" s="655"/>
      <c r="K74" s="655"/>
      <c r="L74" s="655"/>
      <c r="M74" s="655"/>
      <c r="N74" s="655"/>
      <c r="O74" s="655"/>
      <c r="P74" s="655"/>
      <c r="Q74" s="655"/>
      <c r="R74" s="655"/>
      <c r="S74" s="655"/>
      <c r="T74" s="655"/>
      <c r="U74" s="655"/>
      <c r="V74" s="655"/>
      <c r="W74" s="655"/>
      <c r="X74" s="655"/>
      <c r="Y74" s="655"/>
      <c r="Z74" s="655"/>
      <c r="AA74" s="655"/>
      <c r="AB74" s="655"/>
      <c r="AC74" s="655"/>
      <c r="AD74" s="655"/>
      <c r="AE74" s="655"/>
      <c r="AF74" s="655"/>
      <c r="AG74" s="655"/>
      <c r="AH74" s="865"/>
      <c r="AI74" s="883"/>
      <c r="AJ74" s="883"/>
      <c r="AK74" s="865"/>
      <c r="AL74" s="865"/>
      <c r="AM74" s="655"/>
      <c r="AN74" s="884"/>
      <c r="AO74" s="884"/>
      <c r="AP74" s="884"/>
      <c r="AQ74" s="724"/>
      <c r="AR74" s="884"/>
      <c r="AS74" s="655"/>
      <c r="AT74" s="690"/>
      <c r="AU74" s="690"/>
      <c r="AV74" s="690"/>
      <c r="AW74" s="691"/>
      <c r="AX74" s="789"/>
      <c r="AY74" s="730"/>
      <c r="AZ74" s="731"/>
      <c r="BA74" s="793"/>
      <c r="BB74" s="731"/>
      <c r="BC74" s="691"/>
      <c r="BD74" s="691"/>
      <c r="BE74" s="691"/>
      <c r="BF74" s="691"/>
      <c r="BG74" s="658"/>
    </row>
    <row r="75" ht="12.75" customHeight="1">
      <c r="A75" s="880"/>
      <c r="B75" s="881"/>
      <c r="C75" s="881"/>
      <c r="D75" s="881"/>
      <c r="E75" s="881"/>
      <c r="F75" s="881"/>
      <c r="G75" s="881"/>
      <c r="H75" s="881"/>
      <c r="I75" s="881"/>
      <c r="J75" s="655"/>
      <c r="K75" s="655"/>
      <c r="L75" s="655"/>
      <c r="M75" s="655"/>
      <c r="N75" s="655"/>
      <c r="O75" s="655"/>
      <c r="P75" s="655"/>
      <c r="Q75" s="655"/>
      <c r="R75" s="655"/>
      <c r="S75" s="655"/>
      <c r="T75" s="655"/>
      <c r="U75" s="655"/>
      <c r="V75" s="655"/>
      <c r="W75" s="655"/>
      <c r="X75" s="655"/>
      <c r="Y75" s="655"/>
      <c r="Z75" s="655"/>
      <c r="AA75" s="655"/>
      <c r="AB75" s="655"/>
      <c r="AC75" s="655"/>
      <c r="AD75" s="655"/>
      <c r="AE75" s="655"/>
      <c r="AF75" s="655"/>
      <c r="AG75" s="655"/>
      <c r="AH75" s="745"/>
      <c r="AI75" s="745"/>
      <c r="AJ75" s="745"/>
      <c r="AK75" s="745"/>
      <c r="AL75" s="745"/>
      <c r="AM75" s="655"/>
      <c r="AN75" s="884"/>
      <c r="AO75" s="884"/>
      <c r="AP75" s="884"/>
      <c r="AQ75" s="724"/>
      <c r="AR75" s="884"/>
      <c r="AS75" s="655"/>
      <c r="AT75" s="690"/>
      <c r="AU75" s="690"/>
      <c r="AV75" s="690"/>
      <c r="AW75" s="691"/>
      <c r="AX75" s="789"/>
      <c r="AY75" s="730"/>
      <c r="AZ75" s="731"/>
      <c r="BA75" s="793"/>
      <c r="BB75" s="731"/>
      <c r="BC75" s="691"/>
      <c r="BD75" s="691"/>
      <c r="BE75" s="691"/>
      <c r="BF75" s="691"/>
      <c r="BG75" s="658"/>
    </row>
    <row r="76" ht="12.75" customHeight="1">
      <c r="A76" s="880"/>
      <c r="B76" s="881"/>
      <c r="C76" s="881"/>
      <c r="D76" s="881"/>
      <c r="E76" s="881"/>
      <c r="F76" s="881"/>
      <c r="G76" s="881"/>
      <c r="H76" s="881"/>
      <c r="I76" s="881"/>
      <c r="J76" s="655"/>
      <c r="K76" s="655"/>
      <c r="L76" s="655"/>
      <c r="M76" s="655"/>
      <c r="N76" s="655"/>
      <c r="O76" s="655"/>
      <c r="P76" s="655"/>
      <c r="Q76" s="655"/>
      <c r="R76" s="655"/>
      <c r="S76" s="655"/>
      <c r="T76" s="655"/>
      <c r="U76" s="655"/>
      <c r="V76" s="655"/>
      <c r="W76" s="655"/>
      <c r="X76" s="655"/>
      <c r="Y76" s="655"/>
      <c r="Z76" s="655"/>
      <c r="AA76" s="655"/>
      <c r="AB76" s="655"/>
      <c r="AC76" s="655"/>
      <c r="AD76" s="655"/>
      <c r="AE76" s="655"/>
      <c r="AF76" s="655"/>
      <c r="AG76" s="655"/>
      <c r="AH76" s="745"/>
      <c r="AI76" s="745"/>
      <c r="AJ76" s="745"/>
      <c r="AK76" s="865"/>
      <c r="AL76" s="865"/>
      <c r="AM76" s="655"/>
      <c r="AN76" s="884"/>
      <c r="AO76" s="884"/>
      <c r="AP76" s="884"/>
      <c r="AQ76" s="884"/>
      <c r="AR76" s="884"/>
      <c r="AS76" s="655"/>
      <c r="AT76" s="690"/>
      <c r="AU76" s="690"/>
      <c r="AV76" s="690"/>
      <c r="AW76" s="691"/>
      <c r="AX76" s="789"/>
      <c r="AY76" s="730"/>
      <c r="AZ76" s="731"/>
      <c r="BA76" s="793"/>
      <c r="BB76" s="731"/>
      <c r="BC76" s="691"/>
      <c r="BD76" s="691"/>
      <c r="BE76" s="691"/>
      <c r="BF76" s="691"/>
      <c r="BG76" s="658"/>
    </row>
    <row r="77" ht="12.75" customHeight="1">
      <c r="A77" s="880"/>
      <c r="B77" s="881"/>
      <c r="C77" s="881"/>
      <c r="D77" s="881"/>
      <c r="E77" s="881"/>
      <c r="F77" s="881"/>
      <c r="G77" s="881"/>
      <c r="H77" s="881"/>
      <c r="I77" s="881"/>
      <c r="J77" s="655"/>
      <c r="K77" s="655"/>
      <c r="L77" s="655"/>
      <c r="M77" s="655"/>
      <c r="N77" s="655"/>
      <c r="O77" s="655"/>
      <c r="P77" s="655"/>
      <c r="Q77" s="655"/>
      <c r="R77" s="655"/>
      <c r="S77" s="655"/>
      <c r="T77" s="655"/>
      <c r="U77" s="655"/>
      <c r="V77" s="655"/>
      <c r="W77" s="655"/>
      <c r="X77" s="655"/>
      <c r="Y77" s="655"/>
      <c r="Z77" s="655"/>
      <c r="AA77" s="655"/>
      <c r="AB77" s="655"/>
      <c r="AC77" s="655"/>
      <c r="AD77" s="655"/>
      <c r="AE77" s="655"/>
      <c r="AF77" s="655"/>
      <c r="AG77" s="655"/>
      <c r="AH77" s="865"/>
      <c r="AI77" s="883"/>
      <c r="AJ77" s="883"/>
      <c r="AK77" s="865"/>
      <c r="AL77" s="865"/>
      <c r="AM77" s="655"/>
      <c r="AN77" s="884"/>
      <c r="AO77" s="884"/>
      <c r="AP77" s="884"/>
      <c r="AQ77" s="724"/>
      <c r="AR77" s="884"/>
      <c r="AS77" s="655"/>
      <c r="AT77" s="690"/>
      <c r="AU77" s="690"/>
      <c r="AV77" s="690"/>
      <c r="AW77" s="691"/>
      <c r="AX77" s="789"/>
      <c r="AY77" s="730"/>
      <c r="AZ77" s="731"/>
      <c r="BA77" s="793"/>
      <c r="BB77" s="731"/>
      <c r="BC77" s="691"/>
      <c r="BD77" s="691"/>
      <c r="BE77" s="691"/>
      <c r="BF77" s="691"/>
      <c r="BG77" s="658"/>
    </row>
    <row r="78" ht="12.75" customHeight="1">
      <c r="A78" s="885"/>
      <c r="B78" s="886"/>
      <c r="C78" s="886"/>
      <c r="D78" s="886"/>
      <c r="E78" s="886"/>
      <c r="F78" s="886"/>
      <c r="G78" s="886"/>
      <c r="H78" s="886"/>
      <c r="I78" s="886"/>
      <c r="J78" s="657"/>
      <c r="K78" s="887"/>
      <c r="L78" s="887"/>
      <c r="M78" s="887"/>
      <c r="N78" s="887"/>
      <c r="O78" s="887"/>
      <c r="P78" s="887"/>
      <c r="Q78" s="887"/>
      <c r="R78" s="887"/>
      <c r="S78" s="887"/>
      <c r="T78" s="887"/>
      <c r="U78" s="887"/>
      <c r="V78" s="887"/>
      <c r="W78" s="887"/>
      <c r="X78" s="887"/>
      <c r="Y78" s="887"/>
      <c r="Z78" s="887"/>
      <c r="AA78" s="887"/>
      <c r="AB78" s="887"/>
      <c r="AC78" s="887"/>
      <c r="AD78" s="887"/>
      <c r="AE78" s="887"/>
      <c r="AF78" s="887"/>
      <c r="AG78" s="887"/>
      <c r="AH78" s="888"/>
      <c r="AI78" s="888"/>
      <c r="AJ78" s="888"/>
      <c r="AK78" s="888"/>
      <c r="AL78" s="888"/>
      <c r="AM78" s="887"/>
      <c r="AN78" s="884"/>
      <c r="AO78" s="884"/>
      <c r="AP78" s="884"/>
      <c r="AQ78" s="724"/>
      <c r="AR78" s="884"/>
      <c r="AS78" s="887"/>
      <c r="AT78" s="690"/>
      <c r="AU78" s="690"/>
      <c r="AV78" s="690"/>
      <c r="AW78" s="889"/>
      <c r="AX78" s="789"/>
      <c r="AY78" s="730"/>
      <c r="AZ78" s="731"/>
      <c r="BA78" s="793"/>
      <c r="BB78" s="731"/>
      <c r="BC78" s="889"/>
      <c r="BD78" s="889"/>
      <c r="BE78" s="889"/>
      <c r="BF78" s="889"/>
      <c r="BG78" s="890"/>
    </row>
    <row r="79" ht="12.75" customHeight="1">
      <c r="A79" s="891"/>
      <c r="B79" s="656"/>
      <c r="C79" s="656"/>
      <c r="D79" s="656"/>
      <c r="E79" s="656"/>
      <c r="F79" s="656"/>
      <c r="G79" s="656"/>
      <c r="H79" s="656"/>
      <c r="I79" s="656"/>
      <c r="J79" s="655"/>
      <c r="K79" s="655"/>
      <c r="L79" s="655"/>
      <c r="M79" s="655"/>
      <c r="N79" s="655"/>
      <c r="O79" s="655"/>
      <c r="P79" s="655"/>
      <c r="Q79" s="655"/>
      <c r="R79" s="655"/>
      <c r="S79" s="655"/>
      <c r="T79" s="655"/>
      <c r="U79" s="655"/>
      <c r="V79" s="655"/>
      <c r="W79" s="655"/>
      <c r="X79" s="655"/>
      <c r="Y79" s="655"/>
      <c r="Z79" s="655"/>
      <c r="AA79" s="655"/>
      <c r="AB79" s="655"/>
      <c r="AC79" s="655"/>
      <c r="AD79" s="655"/>
      <c r="AE79" s="655"/>
      <c r="AF79" s="655"/>
      <c r="AG79" s="655"/>
      <c r="AH79" s="892"/>
      <c r="AI79" s="893"/>
      <c r="AJ79" s="893"/>
      <c r="AK79" s="894"/>
      <c r="AL79" s="894"/>
      <c r="AM79" s="655"/>
      <c r="AN79" s="884"/>
      <c r="AO79" s="884"/>
      <c r="AP79" s="884"/>
      <c r="AQ79" s="724"/>
      <c r="AR79" s="884"/>
      <c r="AS79" s="655"/>
      <c r="AT79" s="690"/>
      <c r="AU79" s="690"/>
      <c r="AV79" s="690"/>
      <c r="AW79" s="691"/>
      <c r="AX79" s="789"/>
      <c r="AY79" s="730"/>
      <c r="AZ79" s="731"/>
      <c r="BA79" s="793"/>
      <c r="BB79" s="731"/>
      <c r="BC79" s="691"/>
      <c r="BD79" s="691"/>
      <c r="BE79" s="691"/>
      <c r="BF79" s="691"/>
      <c r="BG79" s="658"/>
    </row>
    <row r="80" ht="12.75" customHeight="1">
      <c r="A80" s="719"/>
      <c r="B80" s="655"/>
      <c r="C80" s="655"/>
      <c r="D80" s="655"/>
      <c r="E80" s="655"/>
      <c r="F80" s="655"/>
      <c r="G80" s="655"/>
      <c r="H80" s="895"/>
      <c r="I80" s="895"/>
      <c r="J80" s="655"/>
      <c r="K80" s="655"/>
      <c r="L80" s="655"/>
      <c r="M80" s="655"/>
      <c r="N80" s="655"/>
      <c r="O80" s="655"/>
      <c r="P80" s="655"/>
      <c r="Q80" s="655"/>
      <c r="R80" s="655"/>
      <c r="S80" s="655"/>
      <c r="T80" s="655"/>
      <c r="U80" s="655"/>
      <c r="V80" s="655"/>
      <c r="W80" s="655"/>
      <c r="X80" s="655"/>
      <c r="Y80" s="655"/>
      <c r="Z80" s="655"/>
      <c r="AA80" s="655"/>
      <c r="AB80" s="655"/>
      <c r="AC80" s="655"/>
      <c r="AD80" s="655"/>
      <c r="AE80" s="655"/>
      <c r="AF80" s="655"/>
      <c r="AG80" s="655"/>
      <c r="AH80" s="892"/>
      <c r="AI80" s="893"/>
      <c r="AJ80" s="893"/>
      <c r="AK80" s="894"/>
      <c r="AL80" s="894"/>
      <c r="AM80" s="655"/>
      <c r="AN80" s="655"/>
      <c r="AO80" s="896"/>
      <c r="AP80" s="655"/>
      <c r="AQ80" s="655"/>
      <c r="AR80" s="655"/>
      <c r="AS80" s="655"/>
      <c r="AT80" s="690"/>
      <c r="AU80" s="690"/>
      <c r="AV80" s="690"/>
      <c r="AW80" s="691"/>
      <c r="AX80" s="718"/>
      <c r="AY80" s="730"/>
      <c r="AZ80" s="691"/>
      <c r="BA80" s="730"/>
      <c r="BB80" s="730"/>
      <c r="BC80" s="691"/>
      <c r="BD80" s="691"/>
      <c r="BE80" s="691"/>
      <c r="BF80" s="691"/>
      <c r="BG80" s="658"/>
    </row>
    <row r="81" ht="12.75" customHeight="1">
      <c r="A81" s="719"/>
      <c r="B81" s="655"/>
      <c r="C81" s="655"/>
      <c r="D81" s="655"/>
      <c r="E81" s="655"/>
      <c r="F81" s="655"/>
      <c r="G81" s="655"/>
      <c r="H81" s="655"/>
      <c r="I81" s="655"/>
      <c r="J81" s="655"/>
      <c r="K81" s="655"/>
      <c r="L81" s="655"/>
      <c r="M81" s="655"/>
      <c r="N81" s="655"/>
      <c r="O81" s="655"/>
      <c r="P81" s="655"/>
      <c r="Q81" s="655"/>
      <c r="R81" s="655"/>
      <c r="S81" s="655"/>
      <c r="T81" s="655"/>
      <c r="U81" s="655"/>
      <c r="V81" s="655"/>
      <c r="W81" s="655"/>
      <c r="X81" s="655"/>
      <c r="Y81" s="655"/>
      <c r="Z81" s="655"/>
      <c r="AA81" s="655"/>
      <c r="AB81" s="655"/>
      <c r="AC81" s="655"/>
      <c r="AD81" s="655"/>
      <c r="AE81" s="655"/>
      <c r="AF81" s="655"/>
      <c r="AG81" s="655"/>
      <c r="AH81" s="892"/>
      <c r="AI81" s="893"/>
      <c r="AJ81" s="893"/>
      <c r="AK81" s="894"/>
      <c r="AL81" s="894"/>
      <c r="AM81" s="655"/>
      <c r="AN81" s="655"/>
      <c r="AO81" s="655"/>
      <c r="AP81" s="655"/>
      <c r="AQ81" s="655"/>
      <c r="AR81" s="655"/>
      <c r="AS81" s="655"/>
      <c r="AT81" s="690"/>
      <c r="AU81" s="690"/>
      <c r="AV81" s="690"/>
      <c r="AW81" s="691"/>
      <c r="AX81" s="691"/>
      <c r="AY81" s="692"/>
      <c r="AZ81" s="692"/>
      <c r="BA81" s="692"/>
      <c r="BB81" s="692"/>
      <c r="BC81" s="691"/>
      <c r="BD81" s="751"/>
      <c r="BE81" s="751"/>
      <c r="BF81" s="751"/>
      <c r="BG81" s="658"/>
    </row>
    <row r="82" ht="12.75" customHeight="1">
      <c r="A82" s="719"/>
      <c r="B82" s="655"/>
      <c r="C82" s="655"/>
      <c r="D82" s="655"/>
      <c r="E82" s="655"/>
      <c r="F82" s="655"/>
      <c r="G82" s="655"/>
      <c r="H82" s="655"/>
      <c r="I82" s="897"/>
      <c r="J82" s="655"/>
      <c r="K82" s="655"/>
      <c r="L82" s="655"/>
      <c r="M82" s="655"/>
      <c r="N82" s="655"/>
      <c r="O82" s="655"/>
      <c r="P82" s="655"/>
      <c r="Q82" s="655"/>
      <c r="R82" s="655"/>
      <c r="S82" s="655"/>
      <c r="T82" s="655"/>
      <c r="U82" s="655"/>
      <c r="V82" s="655"/>
      <c r="W82" s="655"/>
      <c r="X82" s="655"/>
      <c r="Y82" s="655"/>
      <c r="Z82" s="655"/>
      <c r="AA82" s="655"/>
      <c r="AB82" s="655"/>
      <c r="AC82" s="655"/>
      <c r="AD82" s="655"/>
      <c r="AE82" s="655"/>
      <c r="AF82" s="655"/>
      <c r="AG82" s="655"/>
      <c r="AH82" s="892"/>
      <c r="AI82" s="893"/>
      <c r="AJ82" s="893"/>
      <c r="AK82" s="894"/>
      <c r="AL82" s="894"/>
      <c r="AM82" s="655"/>
      <c r="AN82" s="655"/>
      <c r="AO82" s="896"/>
      <c r="AP82" s="655"/>
      <c r="AQ82" s="655"/>
      <c r="AR82" s="655"/>
      <c r="AS82" s="863"/>
      <c r="AT82" s="690"/>
      <c r="AU82" s="690"/>
      <c r="AV82" s="690"/>
      <c r="AW82" s="691"/>
      <c r="AX82" s="700"/>
      <c r="AY82" s="701"/>
      <c r="AZ82" s="701"/>
      <c r="BA82" s="701"/>
      <c r="BB82" s="701"/>
      <c r="BC82" s="691"/>
      <c r="BD82" s="751"/>
      <c r="BE82" s="751"/>
      <c r="BF82" s="751"/>
      <c r="BG82" s="658"/>
    </row>
    <row r="83" ht="12.75" customHeight="1">
      <c r="A83" s="719"/>
      <c r="B83" s="655"/>
      <c r="C83" s="655"/>
      <c r="D83" s="655"/>
      <c r="E83" s="655"/>
      <c r="F83" s="655"/>
      <c r="G83" s="655"/>
      <c r="H83" s="655"/>
      <c r="I83" s="655"/>
      <c r="J83" s="655"/>
      <c r="K83" s="887"/>
      <c r="L83" s="887"/>
      <c r="M83" s="887"/>
      <c r="N83" s="887"/>
      <c r="O83" s="887"/>
      <c r="P83" s="887"/>
      <c r="Q83" s="887"/>
      <c r="R83" s="887"/>
      <c r="S83" s="887"/>
      <c r="T83" s="887"/>
      <c r="U83" s="887"/>
      <c r="V83" s="655"/>
      <c r="W83" s="655"/>
      <c r="X83" s="655"/>
      <c r="Y83" s="655"/>
      <c r="Z83" s="655"/>
      <c r="AA83" s="655"/>
      <c r="AB83" s="655"/>
      <c r="AC83" s="655"/>
      <c r="AD83" s="655"/>
      <c r="AE83" s="655"/>
      <c r="AF83" s="655"/>
      <c r="AG83" s="655"/>
      <c r="AH83" s="892"/>
      <c r="AI83" s="893"/>
      <c r="AJ83" s="893"/>
      <c r="AK83" s="894"/>
      <c r="AL83" s="894"/>
      <c r="AM83" s="655"/>
      <c r="AN83" s="655"/>
      <c r="AO83" s="896"/>
      <c r="AP83" s="655"/>
      <c r="AQ83" s="655"/>
      <c r="AR83" s="655"/>
      <c r="AS83" s="863"/>
      <c r="AT83" s="690"/>
      <c r="AU83" s="690"/>
      <c r="AV83" s="690"/>
      <c r="AW83" s="691"/>
      <c r="AX83" s="700"/>
      <c r="AY83" s="708"/>
      <c r="AZ83" s="709"/>
      <c r="BA83" s="709"/>
      <c r="BB83" s="709"/>
      <c r="BC83" s="691"/>
      <c r="BD83" s="751"/>
      <c r="BE83" s="751"/>
      <c r="BF83" s="751"/>
      <c r="BG83" s="658"/>
    </row>
    <row r="84" ht="12.75" customHeight="1">
      <c r="A84" s="719"/>
      <c r="B84" s="655"/>
      <c r="C84" s="655"/>
      <c r="D84" s="655"/>
      <c r="E84" s="655"/>
      <c r="F84" s="655"/>
      <c r="G84" s="655"/>
      <c r="H84" s="655"/>
      <c r="I84" s="655"/>
      <c r="J84" s="655"/>
      <c r="K84" s="887"/>
      <c r="L84" s="887"/>
      <c r="M84" s="887"/>
      <c r="N84" s="887"/>
      <c r="O84" s="887"/>
      <c r="P84" s="887"/>
      <c r="Q84" s="887"/>
      <c r="R84" s="887"/>
      <c r="S84" s="887"/>
      <c r="T84" s="887"/>
      <c r="U84" s="887"/>
      <c r="V84" s="655"/>
      <c r="W84" s="655"/>
      <c r="X84" s="655"/>
      <c r="Y84" s="655"/>
      <c r="Z84" s="655"/>
      <c r="AA84" s="655"/>
      <c r="AB84" s="655"/>
      <c r="AC84" s="655"/>
      <c r="AD84" s="655"/>
      <c r="AE84" s="655"/>
      <c r="AF84" s="655"/>
      <c r="AG84" s="655"/>
      <c r="AH84" s="892"/>
      <c r="AI84" s="893"/>
      <c r="AJ84" s="893"/>
      <c r="AK84" s="898"/>
      <c r="AL84" s="898"/>
      <c r="AM84" s="655"/>
      <c r="AN84" s="655"/>
      <c r="AO84" s="655"/>
      <c r="AP84" s="655"/>
      <c r="AQ84" s="655"/>
      <c r="AR84" s="655"/>
      <c r="AS84" s="655"/>
      <c r="AT84" s="690"/>
      <c r="AU84" s="690"/>
      <c r="AV84" s="690"/>
      <c r="AW84" s="691"/>
      <c r="AX84" s="718"/>
      <c r="AY84" s="708"/>
      <c r="AZ84" s="708"/>
      <c r="BA84" s="708"/>
      <c r="BB84" s="708"/>
      <c r="BC84" s="691"/>
      <c r="BD84" s="751"/>
      <c r="BE84" s="751"/>
      <c r="BF84" s="751"/>
      <c r="BG84" s="658"/>
    </row>
    <row r="85" ht="12.75" customHeight="1">
      <c r="A85" s="719"/>
      <c r="B85" s="655"/>
      <c r="C85" s="655"/>
      <c r="D85" s="655"/>
      <c r="E85" s="655"/>
      <c r="F85" s="655"/>
      <c r="G85" s="655"/>
      <c r="H85" s="655"/>
      <c r="I85" s="655"/>
      <c r="J85" s="655"/>
      <c r="K85" s="887"/>
      <c r="L85" s="887"/>
      <c r="M85" s="887"/>
      <c r="N85" s="887"/>
      <c r="O85" s="887"/>
      <c r="P85" s="887"/>
      <c r="Q85" s="887"/>
      <c r="R85" s="887"/>
      <c r="S85" s="887"/>
      <c r="T85" s="887"/>
      <c r="U85" s="887"/>
      <c r="V85" s="655"/>
      <c r="W85" s="655"/>
      <c r="X85" s="655"/>
      <c r="Y85" s="655"/>
      <c r="Z85" s="655"/>
      <c r="AA85" s="655"/>
      <c r="AB85" s="655"/>
      <c r="AC85" s="655"/>
      <c r="AD85" s="655"/>
      <c r="AE85" s="655"/>
      <c r="AF85" s="655"/>
      <c r="AG85" s="655"/>
      <c r="AH85" s="892"/>
      <c r="AI85" s="893"/>
      <c r="AJ85" s="893"/>
      <c r="AK85" s="898"/>
      <c r="AL85" s="898"/>
      <c r="AM85" s="655"/>
      <c r="AN85" s="655"/>
      <c r="AO85" s="655"/>
      <c r="AP85" s="655"/>
      <c r="AQ85" s="655"/>
      <c r="AR85" s="655"/>
      <c r="AS85" s="655"/>
      <c r="AT85" s="690"/>
      <c r="AU85" s="690"/>
      <c r="AV85" s="690"/>
      <c r="AW85" s="691"/>
      <c r="AX85" s="789"/>
      <c r="AY85" s="730"/>
      <c r="AZ85" s="731"/>
      <c r="BA85" s="844"/>
      <c r="BB85" s="731"/>
      <c r="BC85" s="691"/>
      <c r="BD85" s="751"/>
      <c r="BE85" s="751"/>
      <c r="BF85" s="751"/>
      <c r="BG85" s="658"/>
    </row>
    <row r="86" ht="12.75" customHeight="1">
      <c r="A86" s="719"/>
      <c r="B86" s="655"/>
      <c r="C86" s="655"/>
      <c r="D86" s="655"/>
      <c r="E86" s="655"/>
      <c r="F86" s="655"/>
      <c r="G86" s="655"/>
      <c r="H86" s="655"/>
      <c r="I86" s="655"/>
      <c r="J86" s="655"/>
      <c r="K86" s="887"/>
      <c r="L86" s="887"/>
      <c r="M86" s="887"/>
      <c r="N86" s="887"/>
      <c r="O86" s="887"/>
      <c r="P86" s="887"/>
      <c r="Q86" s="887"/>
      <c r="R86" s="887"/>
      <c r="S86" s="887"/>
      <c r="T86" s="887"/>
      <c r="U86" s="887"/>
      <c r="V86" s="655"/>
      <c r="W86" s="655"/>
      <c r="X86" s="655"/>
      <c r="Y86" s="655"/>
      <c r="Z86" s="655"/>
      <c r="AA86" s="655"/>
      <c r="AB86" s="655"/>
      <c r="AC86" s="655"/>
      <c r="AD86" s="655"/>
      <c r="AE86" s="655"/>
      <c r="AF86" s="655"/>
      <c r="AG86" s="655"/>
      <c r="AH86" s="892"/>
      <c r="AI86" s="893"/>
      <c r="AJ86" s="893"/>
      <c r="AK86" s="898"/>
      <c r="AL86" s="898"/>
      <c r="AM86" s="655"/>
      <c r="AN86" s="655"/>
      <c r="AO86" s="655"/>
      <c r="AP86" s="687"/>
      <c r="AQ86" s="687"/>
      <c r="AR86" s="687"/>
      <c r="AS86" s="655"/>
      <c r="AT86" s="690"/>
      <c r="AU86" s="690"/>
      <c r="AV86" s="690"/>
      <c r="AW86" s="691"/>
      <c r="AX86" s="789"/>
      <c r="AY86" s="730"/>
      <c r="AZ86" s="731"/>
      <c r="BA86" s="844"/>
      <c r="BB86" s="731"/>
      <c r="BC86" s="691"/>
      <c r="BD86" s="691"/>
      <c r="BE86" s="691"/>
      <c r="BF86" s="690"/>
      <c r="BG86" s="658"/>
    </row>
    <row r="87" ht="12.75" customHeight="1">
      <c r="A87" s="719"/>
      <c r="B87" s="655"/>
      <c r="C87" s="655"/>
      <c r="D87" s="655"/>
      <c r="E87" s="655"/>
      <c r="F87" s="655"/>
      <c r="G87" s="655"/>
      <c r="H87" s="655"/>
      <c r="I87" s="655"/>
      <c r="J87" s="655"/>
      <c r="K87" s="887"/>
      <c r="L87" s="887"/>
      <c r="M87" s="887"/>
      <c r="N87" s="887"/>
      <c r="O87" s="887"/>
      <c r="P87" s="887"/>
      <c r="Q87" s="887"/>
      <c r="R87" s="887"/>
      <c r="S87" s="887"/>
      <c r="T87" s="887"/>
      <c r="U87" s="887"/>
      <c r="V87" s="655"/>
      <c r="W87" s="655"/>
      <c r="X87" s="655"/>
      <c r="Y87" s="655"/>
      <c r="Z87" s="655"/>
      <c r="AA87" s="655"/>
      <c r="AB87" s="655"/>
      <c r="AC87" s="655"/>
      <c r="AD87" s="655"/>
      <c r="AE87" s="655"/>
      <c r="AF87" s="655"/>
      <c r="AG87" s="655"/>
      <c r="AH87" s="892"/>
      <c r="AI87" s="893"/>
      <c r="AJ87" s="893"/>
      <c r="AK87" s="898"/>
      <c r="AL87" s="898"/>
      <c r="AM87" s="655"/>
      <c r="AN87" s="655"/>
      <c r="AO87" s="655"/>
      <c r="AP87" s="687"/>
      <c r="AQ87" s="687"/>
      <c r="AR87" s="687"/>
      <c r="AS87" s="655"/>
      <c r="AT87" s="690"/>
      <c r="AU87" s="690"/>
      <c r="AV87" s="690"/>
      <c r="AW87" s="691"/>
      <c r="AX87" s="691"/>
      <c r="AY87" s="691"/>
      <c r="AZ87" s="691"/>
      <c r="BA87" s="691"/>
      <c r="BB87" s="691"/>
      <c r="BC87" s="691"/>
      <c r="BD87" s="691"/>
      <c r="BE87" s="691"/>
      <c r="BF87" s="690"/>
      <c r="BG87" s="658"/>
    </row>
    <row r="88" ht="12.75" customHeight="1">
      <c r="A88" s="719"/>
      <c r="B88" s="655"/>
      <c r="C88" s="655"/>
      <c r="D88" s="655"/>
      <c r="E88" s="655"/>
      <c r="F88" s="655"/>
      <c r="G88" s="655"/>
      <c r="H88" s="655"/>
      <c r="I88" s="655"/>
      <c r="J88" s="655"/>
      <c r="K88" s="887"/>
      <c r="L88" s="887"/>
      <c r="M88" s="887"/>
      <c r="N88" s="887"/>
      <c r="O88" s="887"/>
      <c r="P88" s="887"/>
      <c r="Q88" s="887"/>
      <c r="R88" s="887"/>
      <c r="S88" s="887"/>
      <c r="T88" s="887"/>
      <c r="U88" s="887"/>
      <c r="V88" s="655"/>
      <c r="W88" s="655"/>
      <c r="X88" s="655"/>
      <c r="Y88" s="655"/>
      <c r="Z88" s="655"/>
      <c r="AA88" s="655"/>
      <c r="AB88" s="655"/>
      <c r="AC88" s="655"/>
      <c r="AD88" s="655"/>
      <c r="AE88" s="655"/>
      <c r="AF88" s="655"/>
      <c r="AG88" s="655"/>
      <c r="AH88" s="892"/>
      <c r="AI88" s="893"/>
      <c r="AJ88" s="893"/>
      <c r="AK88" s="898"/>
      <c r="AL88" s="898"/>
      <c r="AM88" s="655"/>
      <c r="AN88" s="655"/>
      <c r="AO88" s="655"/>
      <c r="AP88" s="655"/>
      <c r="AQ88" s="655"/>
      <c r="AR88" s="655"/>
      <c r="AS88" s="655"/>
      <c r="AT88" s="690"/>
      <c r="AU88" s="690"/>
      <c r="AV88" s="690"/>
      <c r="AW88" s="691"/>
      <c r="AX88" s="691"/>
      <c r="AY88" s="692"/>
      <c r="AZ88" s="692"/>
      <c r="BA88" s="692"/>
      <c r="BB88" s="692"/>
      <c r="BC88" s="691"/>
      <c r="BD88" s="691"/>
      <c r="BE88" s="691"/>
      <c r="BF88" s="690"/>
      <c r="BG88" s="658"/>
    </row>
    <row r="89" ht="12.75" customHeight="1">
      <c r="A89" s="719"/>
      <c r="B89" s="655"/>
      <c r="C89" s="655"/>
      <c r="D89" s="655"/>
      <c r="E89" s="655"/>
      <c r="F89" s="655"/>
      <c r="G89" s="655"/>
      <c r="H89" s="655"/>
      <c r="I89" s="655"/>
      <c r="J89" s="655"/>
      <c r="K89" s="887"/>
      <c r="L89" s="887"/>
      <c r="M89" s="887"/>
      <c r="N89" s="887"/>
      <c r="O89" s="887"/>
      <c r="P89" s="887"/>
      <c r="Q89" s="887"/>
      <c r="R89" s="887"/>
      <c r="S89" s="887"/>
      <c r="T89" s="887"/>
      <c r="U89" s="887"/>
      <c r="V89" s="655"/>
      <c r="W89" s="655"/>
      <c r="X89" s="655"/>
      <c r="Y89" s="655"/>
      <c r="Z89" s="655"/>
      <c r="AA89" s="655"/>
      <c r="AB89" s="655"/>
      <c r="AC89" s="655"/>
      <c r="AD89" s="655"/>
      <c r="AE89" s="655"/>
      <c r="AF89" s="655"/>
      <c r="AG89" s="655"/>
      <c r="AH89" s="655"/>
      <c r="AI89" s="655"/>
      <c r="AJ89" s="655"/>
      <c r="AK89" s="655"/>
      <c r="AL89" s="655"/>
      <c r="AM89" s="655"/>
      <c r="AN89" s="655"/>
      <c r="AO89" s="655"/>
      <c r="AP89" s="655"/>
      <c r="AQ89" s="655"/>
      <c r="AR89" s="655"/>
      <c r="AS89" s="655"/>
      <c r="AT89" s="690"/>
      <c r="AU89" s="690"/>
      <c r="AV89" s="690"/>
      <c r="AW89" s="691"/>
      <c r="AX89" s="700"/>
      <c r="AY89" s="701"/>
      <c r="AZ89" s="701"/>
      <c r="BA89" s="701"/>
      <c r="BB89" s="701"/>
      <c r="BC89" s="691"/>
      <c r="BD89" s="691"/>
      <c r="BE89" s="691"/>
      <c r="BF89" s="690"/>
      <c r="BG89" s="658"/>
    </row>
    <row r="90" ht="12.75" customHeight="1">
      <c r="A90" s="719"/>
      <c r="B90" s="655"/>
      <c r="C90" s="655"/>
      <c r="D90" s="655"/>
      <c r="E90" s="655"/>
      <c r="F90" s="655"/>
      <c r="G90" s="655"/>
      <c r="H90" s="655"/>
      <c r="I90" s="655"/>
      <c r="J90" s="655"/>
      <c r="K90" s="887"/>
      <c r="L90" s="887"/>
      <c r="M90" s="887"/>
      <c r="N90" s="887"/>
      <c r="O90" s="887"/>
      <c r="P90" s="887"/>
      <c r="Q90" s="887"/>
      <c r="R90" s="887"/>
      <c r="S90" s="887"/>
      <c r="T90" s="887"/>
      <c r="U90" s="887"/>
      <c r="V90" s="655"/>
      <c r="W90" s="655"/>
      <c r="X90" s="655"/>
      <c r="Y90" s="655"/>
      <c r="Z90" s="655"/>
      <c r="AA90" s="655"/>
      <c r="AB90" s="655"/>
      <c r="AC90" s="655"/>
      <c r="AD90" s="655"/>
      <c r="AE90" s="655"/>
      <c r="AF90" s="655"/>
      <c r="AG90" s="655"/>
      <c r="AH90" s="655"/>
      <c r="AI90" s="655"/>
      <c r="AJ90" s="655"/>
      <c r="AK90" s="655"/>
      <c r="AL90" s="655"/>
      <c r="AM90" s="899"/>
      <c r="AN90" s="899"/>
      <c r="AO90" s="655"/>
      <c r="AP90" s="900"/>
      <c r="AQ90" s="900"/>
      <c r="AR90" s="655"/>
      <c r="AS90" s="655"/>
      <c r="AT90" s="690"/>
      <c r="AU90" s="690"/>
      <c r="AV90" s="690"/>
      <c r="AW90" s="691"/>
      <c r="AX90" s="700"/>
      <c r="AY90" s="708"/>
      <c r="AZ90" s="709"/>
      <c r="BA90" s="709"/>
      <c r="BB90" s="709"/>
      <c r="BC90" s="691"/>
      <c r="BD90" s="691"/>
      <c r="BE90" s="691"/>
      <c r="BF90" s="690"/>
      <c r="BG90" s="658"/>
    </row>
    <row r="91" ht="12.75" customHeight="1">
      <c r="A91" s="719"/>
      <c r="B91" s="655"/>
      <c r="C91" s="655"/>
      <c r="D91" s="655"/>
      <c r="E91" s="655"/>
      <c r="F91" s="655"/>
      <c r="G91" s="655"/>
      <c r="H91" s="655"/>
      <c r="I91" s="655"/>
      <c r="J91" s="655"/>
      <c r="K91" s="887"/>
      <c r="L91" s="887"/>
      <c r="M91" s="887"/>
      <c r="N91" s="887"/>
      <c r="O91" s="887"/>
      <c r="P91" s="887"/>
      <c r="Q91" s="887"/>
      <c r="R91" s="887"/>
      <c r="S91" s="887"/>
      <c r="T91" s="887"/>
      <c r="U91" s="887"/>
      <c r="V91" s="655"/>
      <c r="W91" s="655"/>
      <c r="X91" s="655"/>
      <c r="Y91" s="655"/>
      <c r="Z91" s="655"/>
      <c r="AA91" s="655"/>
      <c r="AB91" s="655"/>
      <c r="AC91" s="655"/>
      <c r="AD91" s="655"/>
      <c r="AE91" s="655"/>
      <c r="AF91" s="655"/>
      <c r="AG91" s="655"/>
      <c r="AH91" s="901"/>
      <c r="AI91" s="901"/>
      <c r="AJ91" s="901"/>
      <c r="AK91" s="901"/>
      <c r="AL91" s="901"/>
      <c r="AM91" s="901"/>
      <c r="AN91" s="901"/>
      <c r="AO91" s="901"/>
      <c r="AP91" s="901"/>
      <c r="AQ91" s="901"/>
      <c r="AR91" s="901"/>
      <c r="AS91" s="901"/>
      <c r="AT91" s="690"/>
      <c r="AU91" s="690"/>
      <c r="AV91" s="690"/>
      <c r="AW91" s="691"/>
      <c r="AX91" s="718"/>
      <c r="AY91" s="708"/>
      <c r="AZ91" s="708"/>
      <c r="BA91" s="708"/>
      <c r="BB91" s="708"/>
      <c r="BC91" s="691"/>
      <c r="BD91" s="691"/>
      <c r="BE91" s="691"/>
      <c r="BF91" s="690"/>
      <c r="BG91" s="658"/>
    </row>
    <row r="92" ht="12.75" customHeight="1">
      <c r="A92" s="719"/>
      <c r="B92" s="655"/>
      <c r="C92" s="655"/>
      <c r="D92" s="655"/>
      <c r="E92" s="655"/>
      <c r="F92" s="655"/>
      <c r="G92" s="655"/>
      <c r="H92" s="655"/>
      <c r="I92" s="655"/>
      <c r="J92" s="655"/>
      <c r="K92" s="887"/>
      <c r="L92" s="887"/>
      <c r="M92" s="887"/>
      <c r="N92" s="887"/>
      <c r="O92" s="887"/>
      <c r="P92" s="887"/>
      <c r="Q92" s="887"/>
      <c r="R92" s="887"/>
      <c r="S92" s="887"/>
      <c r="T92" s="887"/>
      <c r="U92" s="887"/>
      <c r="V92" s="655"/>
      <c r="W92" s="655"/>
      <c r="X92" s="655"/>
      <c r="Y92" s="655"/>
      <c r="Z92" s="655"/>
      <c r="AA92" s="655"/>
      <c r="AB92" s="655"/>
      <c r="AC92" s="655"/>
      <c r="AD92" s="655"/>
      <c r="AE92" s="655"/>
      <c r="AF92" s="655"/>
      <c r="AG92" s="655"/>
      <c r="AH92" s="901"/>
      <c r="AI92" s="901"/>
      <c r="AJ92" s="901"/>
      <c r="AK92" s="901"/>
      <c r="AL92" s="901"/>
      <c r="AM92" s="901"/>
      <c r="AN92" s="901"/>
      <c r="AO92" s="901"/>
      <c r="AP92" s="901"/>
      <c r="AQ92" s="901"/>
      <c r="AR92" s="901"/>
      <c r="AS92" s="901"/>
      <c r="AT92" s="690"/>
      <c r="AU92" s="690"/>
      <c r="AV92" s="690"/>
      <c r="AW92" s="691"/>
      <c r="AX92" s="700"/>
      <c r="AY92" s="730"/>
      <c r="AZ92" s="730"/>
      <c r="BA92" s="844"/>
      <c r="BB92" s="731"/>
      <c r="BC92" s="690"/>
      <c r="BD92" s="690"/>
      <c r="BE92" s="690"/>
      <c r="BF92" s="690"/>
      <c r="BG92" s="658"/>
    </row>
    <row r="93" ht="12.75" customHeight="1">
      <c r="A93" s="719"/>
      <c r="B93" s="655"/>
      <c r="C93" s="655"/>
      <c r="D93" s="655"/>
      <c r="E93" s="655"/>
      <c r="F93" s="655"/>
      <c r="G93" s="655"/>
      <c r="H93" s="655"/>
      <c r="I93" s="655"/>
      <c r="J93" s="655"/>
      <c r="K93" s="887"/>
      <c r="L93" s="887"/>
      <c r="M93" s="887"/>
      <c r="N93" s="887"/>
      <c r="O93" s="887"/>
      <c r="P93" s="887"/>
      <c r="Q93" s="887"/>
      <c r="R93" s="887"/>
      <c r="S93" s="887"/>
      <c r="T93" s="887"/>
      <c r="U93" s="887"/>
      <c r="V93" s="655"/>
      <c r="W93" s="655"/>
      <c r="X93" s="655"/>
      <c r="Y93" s="655"/>
      <c r="Z93" s="655"/>
      <c r="AA93" s="655"/>
      <c r="AB93" s="655"/>
      <c r="AC93" s="655"/>
      <c r="AD93" s="655"/>
      <c r="AE93" s="655"/>
      <c r="AF93" s="655"/>
      <c r="AG93" s="655"/>
      <c r="AH93" s="902"/>
      <c r="AI93" s="903"/>
      <c r="AJ93" s="903"/>
      <c r="AK93" s="902"/>
      <c r="AL93" s="902"/>
      <c r="AM93" s="902"/>
      <c r="AN93" s="902"/>
      <c r="AO93" s="902"/>
      <c r="AP93" s="902"/>
      <c r="AQ93" s="902"/>
      <c r="AR93" s="902"/>
      <c r="AS93" s="902"/>
      <c r="AT93" s="690"/>
      <c r="AU93" s="690"/>
      <c r="AV93" s="690"/>
      <c r="AW93" s="691"/>
      <c r="AX93" s="700"/>
      <c r="AY93" s="730"/>
      <c r="AZ93" s="730"/>
      <c r="BA93" s="844"/>
      <c r="BB93" s="731"/>
      <c r="BC93" s="751"/>
      <c r="BD93" s="751"/>
      <c r="BE93" s="751"/>
      <c r="BF93" s="690"/>
      <c r="BG93" s="658"/>
    </row>
    <row r="94" ht="12.75" customHeight="1">
      <c r="A94" s="719"/>
      <c r="B94" s="655"/>
      <c r="C94" s="655"/>
      <c r="D94" s="655"/>
      <c r="E94" s="655"/>
      <c r="F94" s="655"/>
      <c r="G94" s="655"/>
      <c r="H94" s="655"/>
      <c r="I94" s="655"/>
      <c r="J94" s="655"/>
      <c r="K94" s="887"/>
      <c r="L94" s="887"/>
      <c r="M94" s="887"/>
      <c r="N94" s="887"/>
      <c r="O94" s="887"/>
      <c r="P94" s="887"/>
      <c r="Q94" s="887"/>
      <c r="R94" s="887"/>
      <c r="S94" s="887"/>
      <c r="T94" s="887"/>
      <c r="U94" s="887"/>
      <c r="V94" s="655"/>
      <c r="W94" s="655"/>
      <c r="X94" s="655"/>
      <c r="Y94" s="655"/>
      <c r="Z94" s="655"/>
      <c r="AA94" s="655"/>
      <c r="AB94" s="655"/>
      <c r="AC94" s="655"/>
      <c r="AD94" s="655"/>
      <c r="AE94" s="655"/>
      <c r="AF94" s="655"/>
      <c r="AG94" s="655"/>
      <c r="AH94" s="904"/>
      <c r="AI94" s="905"/>
      <c r="AJ94" s="905"/>
      <c r="AK94" s="905"/>
      <c r="AL94" s="905"/>
      <c r="AM94" s="905"/>
      <c r="AN94" s="905"/>
      <c r="AO94" s="905"/>
      <c r="AP94" s="905"/>
      <c r="AQ94" s="905"/>
      <c r="AR94" s="905"/>
      <c r="AS94" s="905"/>
      <c r="AT94" s="690"/>
      <c r="AU94" s="690"/>
      <c r="AV94" s="690"/>
      <c r="AW94" s="691"/>
      <c r="AX94" s="700"/>
      <c r="AY94" s="730"/>
      <c r="AZ94" s="730"/>
      <c r="BA94" s="844"/>
      <c r="BB94" s="731"/>
      <c r="BC94" s="751"/>
      <c r="BD94" s="751"/>
      <c r="BE94" s="751"/>
      <c r="BF94" s="690"/>
      <c r="BG94" s="658"/>
    </row>
    <row r="95" ht="12.75" customHeight="1">
      <c r="A95" s="719"/>
      <c r="B95" s="655"/>
      <c r="C95" s="655"/>
      <c r="D95" s="655"/>
      <c r="E95" s="655"/>
      <c r="F95" s="655"/>
      <c r="G95" s="655"/>
      <c r="H95" s="655"/>
      <c r="I95" s="655"/>
      <c r="J95" s="655"/>
      <c r="K95" s="887"/>
      <c r="L95" s="887"/>
      <c r="M95" s="887"/>
      <c r="N95" s="887"/>
      <c r="O95" s="887"/>
      <c r="P95" s="887"/>
      <c r="Q95" s="887"/>
      <c r="R95" s="887"/>
      <c r="S95" s="887"/>
      <c r="T95" s="887"/>
      <c r="U95" s="887"/>
      <c r="V95" s="655"/>
      <c r="W95" s="655"/>
      <c r="X95" s="655"/>
      <c r="Y95" s="655"/>
      <c r="Z95" s="655"/>
      <c r="AA95" s="655"/>
      <c r="AB95" s="655"/>
      <c r="AC95" s="655"/>
      <c r="AD95" s="655"/>
      <c r="AE95" s="655"/>
      <c r="AF95" s="655"/>
      <c r="AG95" s="655"/>
      <c r="AH95" s="904"/>
      <c r="AI95" s="904"/>
      <c r="AJ95" s="904"/>
      <c r="AK95" s="904"/>
      <c r="AL95" s="904"/>
      <c r="AM95" s="904"/>
      <c r="AN95" s="904"/>
      <c r="AO95" s="904"/>
      <c r="AP95" s="904"/>
      <c r="AQ95" s="904"/>
      <c r="AR95" s="904"/>
      <c r="AS95" s="904"/>
      <c r="AT95" s="690"/>
      <c r="AU95" s="690"/>
      <c r="AV95" s="690"/>
      <c r="AW95" s="691"/>
      <c r="AX95" s="700"/>
      <c r="AY95" s="730"/>
      <c r="AZ95" s="730"/>
      <c r="BA95" s="844"/>
      <c r="BB95" s="731"/>
      <c r="BC95" s="751"/>
      <c r="BD95" s="751"/>
      <c r="BE95" s="751"/>
      <c r="BF95" s="690"/>
      <c r="BG95" s="658"/>
    </row>
    <row r="96" ht="11.25" customHeight="1">
      <c r="A96" s="719"/>
      <c r="B96" s="655"/>
      <c r="C96" s="655"/>
      <c r="D96" s="655"/>
      <c r="E96" s="655"/>
      <c r="F96" s="655"/>
      <c r="G96" s="655"/>
      <c r="H96" s="655"/>
      <c r="I96" s="655"/>
      <c r="J96" s="655"/>
      <c r="K96" s="887"/>
      <c r="L96" s="887"/>
      <c r="M96" s="887"/>
      <c r="N96" s="887"/>
      <c r="O96" s="887"/>
      <c r="P96" s="887"/>
      <c r="Q96" s="887"/>
      <c r="R96" s="887"/>
      <c r="S96" s="887"/>
      <c r="T96" s="887"/>
      <c r="U96" s="887"/>
      <c r="V96" s="655"/>
      <c r="W96" s="655"/>
      <c r="X96" s="655"/>
      <c r="Y96" s="655"/>
      <c r="Z96" s="655"/>
      <c r="AA96" s="655"/>
      <c r="AB96" s="655"/>
      <c r="AC96" s="655"/>
      <c r="AD96" s="655"/>
      <c r="AE96" s="655"/>
      <c r="AF96" s="655"/>
      <c r="AG96" s="655"/>
      <c r="AH96" s="884"/>
      <c r="AI96" s="727"/>
      <c r="AJ96" s="727"/>
      <c r="AK96" s="906"/>
      <c r="AL96" s="907"/>
      <c r="AM96" s="727"/>
      <c r="AN96" s="908"/>
      <c r="AO96" s="727"/>
      <c r="AP96" s="908"/>
      <c r="AQ96" s="906"/>
      <c r="AR96" s="906"/>
      <c r="AS96" s="909"/>
      <c r="AT96" s="690"/>
      <c r="AU96" s="690"/>
      <c r="AV96" s="690"/>
      <c r="AW96" s="691"/>
      <c r="AX96" s="700"/>
      <c r="AY96" s="730"/>
      <c r="AZ96" s="730"/>
      <c r="BA96" s="844"/>
      <c r="BB96" s="731"/>
      <c r="BC96" s="751"/>
      <c r="BD96" s="751"/>
      <c r="BE96" s="751"/>
      <c r="BF96" s="690"/>
      <c r="BG96" s="658"/>
    </row>
    <row r="97" ht="11.25" customHeight="1">
      <c r="A97" s="719"/>
      <c r="B97" s="655"/>
      <c r="C97" s="655"/>
      <c r="D97" s="655"/>
      <c r="E97" s="655"/>
      <c r="F97" s="655"/>
      <c r="G97" s="655"/>
      <c r="H97" s="655"/>
      <c r="I97" s="655"/>
      <c r="J97" s="655"/>
      <c r="K97" s="887"/>
      <c r="L97" s="887"/>
      <c r="M97" s="887"/>
      <c r="N97" s="887"/>
      <c r="O97" s="887"/>
      <c r="P97" s="887"/>
      <c r="Q97" s="887"/>
      <c r="R97" s="887"/>
      <c r="S97" s="887"/>
      <c r="T97" s="887"/>
      <c r="U97" s="887"/>
      <c r="V97" s="655"/>
      <c r="W97" s="655"/>
      <c r="X97" s="655"/>
      <c r="Y97" s="655"/>
      <c r="Z97" s="655"/>
      <c r="AA97" s="655"/>
      <c r="AB97" s="655"/>
      <c r="AC97" s="655"/>
      <c r="AD97" s="655"/>
      <c r="AE97" s="655"/>
      <c r="AF97" s="655"/>
      <c r="AG97" s="655"/>
      <c r="AH97" s="884"/>
      <c r="AI97" s="727"/>
      <c r="AJ97" s="727"/>
      <c r="AK97" s="910"/>
      <c r="AL97" s="907"/>
      <c r="AM97" s="727"/>
      <c r="AN97" s="908"/>
      <c r="AO97" s="727"/>
      <c r="AP97" s="908"/>
      <c r="AQ97" s="906"/>
      <c r="AR97" s="906"/>
      <c r="AS97" s="906"/>
      <c r="AT97" s="690"/>
      <c r="AU97" s="690"/>
      <c r="AV97" s="690"/>
      <c r="AW97" s="691"/>
      <c r="AX97" s="700"/>
      <c r="AY97" s="730"/>
      <c r="AZ97" s="730"/>
      <c r="BA97" s="844"/>
      <c r="BB97" s="731"/>
      <c r="BC97" s="690"/>
      <c r="BD97" s="690"/>
      <c r="BE97" s="690"/>
      <c r="BF97" s="690"/>
      <c r="BG97" s="658"/>
    </row>
    <row r="98" ht="30" customHeight="1">
      <c r="A98" s="719"/>
      <c r="B98" s="655"/>
      <c r="C98" s="655"/>
      <c r="D98" s="655"/>
      <c r="E98" s="655"/>
      <c r="F98" s="655"/>
      <c r="G98" s="655"/>
      <c r="H98" s="655"/>
      <c r="I98" s="655"/>
      <c r="J98" s="655"/>
      <c r="K98" s="887"/>
      <c r="L98" s="887"/>
      <c r="M98" s="887"/>
      <c r="N98" s="887"/>
      <c r="O98" s="887"/>
      <c r="P98" s="887"/>
      <c r="Q98" s="887"/>
      <c r="R98" s="887"/>
      <c r="S98" s="887"/>
      <c r="T98" s="887"/>
      <c r="U98" s="887"/>
      <c r="V98" s="655"/>
      <c r="W98" s="655"/>
      <c r="X98" s="655"/>
      <c r="Y98" s="655"/>
      <c r="Z98" s="655"/>
      <c r="AA98" s="655"/>
      <c r="AB98" s="655"/>
      <c r="AC98" s="655"/>
      <c r="AD98" s="655"/>
      <c r="AE98" s="655"/>
      <c r="AF98" s="655"/>
      <c r="AG98" s="655"/>
      <c r="AH98" s="884"/>
      <c r="AI98" s="727"/>
      <c r="AJ98" s="727"/>
      <c r="AK98" s="910"/>
      <c r="AL98" s="907"/>
      <c r="AM98" s="727"/>
      <c r="AN98" s="727"/>
      <c r="AO98" s="727"/>
      <c r="AP98" s="908"/>
      <c r="AQ98" s="906"/>
      <c r="AR98" s="906"/>
      <c r="AS98" s="906"/>
      <c r="AT98" s="690"/>
      <c r="AU98" s="690"/>
      <c r="AV98" s="690"/>
      <c r="AW98" s="691"/>
      <c r="AX98" s="700"/>
      <c r="AY98" s="730"/>
      <c r="AZ98" s="730"/>
      <c r="BA98" s="844"/>
      <c r="BB98" s="844"/>
      <c r="BC98" s="690"/>
      <c r="BD98" s="690"/>
      <c r="BE98" s="690"/>
      <c r="BF98" s="690"/>
      <c r="BG98" s="658"/>
    </row>
    <row r="99" ht="14.25" customHeight="1">
      <c r="A99" s="719"/>
      <c r="B99" s="655"/>
      <c r="C99" s="655"/>
      <c r="D99" s="655"/>
      <c r="E99" s="655"/>
      <c r="F99" s="655"/>
      <c r="G99" s="655"/>
      <c r="H99" s="655"/>
      <c r="I99" s="655"/>
      <c r="J99" s="655"/>
      <c r="K99" s="887"/>
      <c r="L99" s="887"/>
      <c r="M99" s="887"/>
      <c r="N99" s="887"/>
      <c r="O99" s="887"/>
      <c r="P99" s="887"/>
      <c r="Q99" s="887"/>
      <c r="R99" s="887"/>
      <c r="S99" s="887"/>
      <c r="T99" s="887"/>
      <c r="U99" s="887"/>
      <c r="V99" s="655"/>
      <c r="W99" s="655"/>
      <c r="X99" s="655"/>
      <c r="Y99" s="655"/>
      <c r="Z99" s="655"/>
      <c r="AA99" s="655"/>
      <c r="AB99" s="655"/>
      <c r="AC99" s="655"/>
      <c r="AD99" s="655"/>
      <c r="AE99" s="655"/>
      <c r="AF99" s="655"/>
      <c r="AG99" s="655"/>
      <c r="AH99" s="884"/>
      <c r="AI99" s="727"/>
      <c r="AJ99" s="727"/>
      <c r="AK99" s="910"/>
      <c r="AL99" s="907"/>
      <c r="AM99" s="727"/>
      <c r="AN99" s="727"/>
      <c r="AO99" s="727"/>
      <c r="AP99" s="908"/>
      <c r="AQ99" s="906"/>
      <c r="AR99" s="906"/>
      <c r="AS99" s="906"/>
      <c r="AT99" s="690"/>
      <c r="AU99" s="690"/>
      <c r="AV99" s="690"/>
      <c r="AW99" s="691"/>
      <c r="AX99" s="691"/>
      <c r="AY99" s="691"/>
      <c r="AZ99" s="691"/>
      <c r="BA99" s="691"/>
      <c r="BB99" s="691"/>
      <c r="BC99" s="691"/>
      <c r="BD99" s="691"/>
      <c r="BE99" s="691"/>
      <c r="BF99" s="690"/>
      <c r="BG99" s="658"/>
    </row>
    <row r="100" ht="14.25" customHeight="1">
      <c r="A100" s="719"/>
      <c r="B100" s="655"/>
      <c r="C100" s="655"/>
      <c r="D100" s="655"/>
      <c r="E100" s="655"/>
      <c r="F100" s="655"/>
      <c r="G100" s="655"/>
      <c r="H100" s="655"/>
      <c r="I100" s="655"/>
      <c r="J100" s="655"/>
      <c r="K100" s="887"/>
      <c r="L100" s="887"/>
      <c r="M100" s="887"/>
      <c r="N100" s="887"/>
      <c r="O100" s="887"/>
      <c r="P100" s="887"/>
      <c r="Q100" s="887"/>
      <c r="R100" s="887"/>
      <c r="S100" s="887"/>
      <c r="T100" s="887"/>
      <c r="U100" s="887"/>
      <c r="V100" s="655"/>
      <c r="W100" s="655"/>
      <c r="X100" s="655"/>
      <c r="Y100" s="655"/>
      <c r="Z100" s="655"/>
      <c r="AA100" s="655"/>
      <c r="AB100" s="655"/>
      <c r="AC100" s="655"/>
      <c r="AD100" s="655"/>
      <c r="AE100" s="655"/>
      <c r="AF100" s="655"/>
      <c r="AG100" s="655"/>
      <c r="AH100" s="884"/>
      <c r="AI100" s="727"/>
      <c r="AJ100" s="727"/>
      <c r="AK100" s="910"/>
      <c r="AL100" s="907"/>
      <c r="AM100" s="727"/>
      <c r="AN100" s="727"/>
      <c r="AO100" s="727"/>
      <c r="AP100" s="908"/>
      <c r="AQ100" s="906"/>
      <c r="AR100" s="906"/>
      <c r="AS100" s="906"/>
      <c r="AT100" s="690"/>
      <c r="AU100" s="690"/>
      <c r="AV100" s="690"/>
      <c r="AW100" s="691"/>
      <c r="AX100" s="691"/>
      <c r="AY100" s="691"/>
      <c r="AZ100" s="691"/>
      <c r="BA100" s="691"/>
      <c r="BB100" s="691"/>
      <c r="BC100" s="691"/>
      <c r="BD100" s="691"/>
      <c r="BE100" s="691"/>
      <c r="BF100" s="691"/>
      <c r="BG100" s="658"/>
    </row>
    <row r="101" ht="23.25" customHeight="1">
      <c r="A101" s="719"/>
      <c r="B101" s="655"/>
      <c r="C101" s="655"/>
      <c r="D101" s="655"/>
      <c r="E101" s="655"/>
      <c r="F101" s="655"/>
      <c r="G101" s="655"/>
      <c r="H101" s="655"/>
      <c r="I101" s="655"/>
      <c r="J101" s="655"/>
      <c r="K101" s="887"/>
      <c r="L101" s="887"/>
      <c r="M101" s="887"/>
      <c r="N101" s="887"/>
      <c r="O101" s="887"/>
      <c r="P101" s="887"/>
      <c r="Q101" s="887"/>
      <c r="R101" s="887"/>
      <c r="S101" s="887"/>
      <c r="T101" s="887"/>
      <c r="U101" s="887"/>
      <c r="V101" s="655"/>
      <c r="W101" s="655"/>
      <c r="X101" s="655"/>
      <c r="Y101" s="655"/>
      <c r="Z101" s="655"/>
      <c r="AA101" s="655"/>
      <c r="AB101" s="655"/>
      <c r="AC101" s="655"/>
      <c r="AD101" s="655"/>
      <c r="AE101" s="655"/>
      <c r="AF101" s="655"/>
      <c r="AG101" s="655"/>
      <c r="AH101" s="884"/>
      <c r="AI101" s="727"/>
      <c r="AJ101" s="727"/>
      <c r="AK101" s="910"/>
      <c r="AL101" s="907"/>
      <c r="AM101" s="727"/>
      <c r="AN101" s="727"/>
      <c r="AO101" s="727"/>
      <c r="AP101" s="908"/>
      <c r="AQ101" s="906"/>
      <c r="AR101" s="906"/>
      <c r="AS101" s="906"/>
      <c r="AT101" s="690"/>
      <c r="AU101" s="690"/>
      <c r="AV101" s="690"/>
      <c r="AW101" s="691"/>
      <c r="AX101" s="789"/>
      <c r="AY101" s="691"/>
      <c r="AZ101" s="691"/>
      <c r="BA101" s="691"/>
      <c r="BB101" s="691"/>
      <c r="BC101" s="691"/>
      <c r="BD101" s="691"/>
      <c r="BE101" s="691"/>
      <c r="BF101" s="691"/>
      <c r="BG101" s="658"/>
    </row>
    <row r="102" ht="23.25" customHeight="1">
      <c r="A102" s="719"/>
      <c r="B102" s="655"/>
      <c r="C102" s="655"/>
      <c r="D102" s="655"/>
      <c r="E102" s="655"/>
      <c r="F102" s="655"/>
      <c r="G102" s="655"/>
      <c r="H102" s="655"/>
      <c r="I102" s="655"/>
      <c r="J102" s="655"/>
      <c r="K102" s="887"/>
      <c r="L102" s="887"/>
      <c r="M102" s="887"/>
      <c r="N102" s="887"/>
      <c r="O102" s="887"/>
      <c r="P102" s="887"/>
      <c r="Q102" s="887"/>
      <c r="R102" s="887"/>
      <c r="S102" s="887"/>
      <c r="T102" s="887"/>
      <c r="U102" s="887"/>
      <c r="V102" s="655"/>
      <c r="W102" s="655"/>
      <c r="X102" s="655"/>
      <c r="Y102" s="655"/>
      <c r="Z102" s="655"/>
      <c r="AA102" s="655"/>
      <c r="AB102" s="655"/>
      <c r="AC102" s="655"/>
      <c r="AD102" s="655"/>
      <c r="AE102" s="655"/>
      <c r="AF102" s="655"/>
      <c r="AG102" s="655"/>
      <c r="AH102" s="884"/>
      <c r="AI102" s="727"/>
      <c r="AJ102" s="727"/>
      <c r="AK102" s="910"/>
      <c r="AL102" s="907"/>
      <c r="AM102" s="727"/>
      <c r="AN102" s="727"/>
      <c r="AO102" s="727"/>
      <c r="AP102" s="908"/>
      <c r="AQ102" s="906"/>
      <c r="AR102" s="906"/>
      <c r="AS102" s="909"/>
      <c r="AT102" s="690"/>
      <c r="AU102" s="690"/>
      <c r="AV102" s="690"/>
      <c r="AW102" s="691"/>
      <c r="AX102" s="789"/>
      <c r="AY102" s="691"/>
      <c r="AZ102" s="691"/>
      <c r="BA102" s="691"/>
      <c r="BB102" s="691"/>
      <c r="BC102" s="691"/>
      <c r="BD102" s="691"/>
      <c r="BE102" s="691"/>
      <c r="BF102" s="691"/>
      <c r="BG102" s="658"/>
    </row>
    <row r="103" ht="11.25" customHeight="1">
      <c r="A103" s="719"/>
      <c r="B103" s="655"/>
      <c r="C103" s="655"/>
      <c r="D103" s="655"/>
      <c r="E103" s="655"/>
      <c r="F103" s="655"/>
      <c r="G103" s="655"/>
      <c r="H103" s="655"/>
      <c r="I103" s="655"/>
      <c r="J103" s="655"/>
      <c r="K103" s="887"/>
      <c r="L103" s="887"/>
      <c r="M103" s="887"/>
      <c r="N103" s="887"/>
      <c r="O103" s="887"/>
      <c r="P103" s="887"/>
      <c r="Q103" s="887"/>
      <c r="R103" s="887"/>
      <c r="S103" s="887"/>
      <c r="T103" s="887"/>
      <c r="U103" s="887"/>
      <c r="V103" s="655"/>
      <c r="W103" s="655"/>
      <c r="X103" s="655"/>
      <c r="Y103" s="655"/>
      <c r="Z103" s="655"/>
      <c r="AA103" s="655"/>
      <c r="AB103" s="655"/>
      <c r="AC103" s="655"/>
      <c r="AD103" s="655"/>
      <c r="AE103" s="655"/>
      <c r="AF103" s="655"/>
      <c r="AG103" s="655"/>
      <c r="AH103" s="884"/>
      <c r="AI103" s="727"/>
      <c r="AJ103" s="727"/>
      <c r="AK103" s="910"/>
      <c r="AL103" s="907"/>
      <c r="AM103" s="727"/>
      <c r="AN103" s="906"/>
      <c r="AO103" s="727"/>
      <c r="AP103" s="908"/>
      <c r="AQ103" s="906"/>
      <c r="AR103" s="906"/>
      <c r="AS103" s="906"/>
      <c r="AT103" s="690"/>
      <c r="AU103" s="690"/>
      <c r="AV103" s="690"/>
      <c r="AW103" s="691"/>
      <c r="AX103" s="691"/>
      <c r="AY103" s="691"/>
      <c r="AZ103" s="691"/>
      <c r="BA103" s="691"/>
      <c r="BB103" s="691"/>
      <c r="BC103" s="691"/>
      <c r="BD103" s="691"/>
      <c r="BE103" s="691"/>
      <c r="BF103" s="691"/>
      <c r="BG103" s="658"/>
    </row>
    <row r="104" ht="11.25" customHeight="1">
      <c r="A104" s="719"/>
      <c r="B104" s="655"/>
      <c r="C104" s="655"/>
      <c r="D104" s="655"/>
      <c r="E104" s="655"/>
      <c r="F104" s="655"/>
      <c r="G104" s="655"/>
      <c r="H104" s="655"/>
      <c r="I104" s="655"/>
      <c r="J104" s="655"/>
      <c r="K104" s="887"/>
      <c r="L104" s="887"/>
      <c r="M104" s="887"/>
      <c r="N104" s="887"/>
      <c r="O104" s="887"/>
      <c r="P104" s="887"/>
      <c r="Q104" s="887"/>
      <c r="R104" s="887"/>
      <c r="S104" s="887"/>
      <c r="T104" s="887"/>
      <c r="U104" s="887"/>
      <c r="V104" s="655"/>
      <c r="W104" s="655"/>
      <c r="X104" s="655"/>
      <c r="Y104" s="655"/>
      <c r="Z104" s="655"/>
      <c r="AA104" s="655"/>
      <c r="AB104" s="655"/>
      <c r="AC104" s="655"/>
      <c r="AD104" s="655"/>
      <c r="AE104" s="655"/>
      <c r="AF104" s="655"/>
      <c r="AG104" s="655"/>
      <c r="AH104" s="884"/>
      <c r="AI104" s="727"/>
      <c r="AJ104" s="727"/>
      <c r="AK104" s="910"/>
      <c r="AL104" s="907"/>
      <c r="AM104" s="727"/>
      <c r="AN104" s="906"/>
      <c r="AO104" s="727"/>
      <c r="AP104" s="908"/>
      <c r="AQ104" s="906"/>
      <c r="AR104" s="906"/>
      <c r="AS104" s="906"/>
      <c r="AT104" s="657"/>
      <c r="AU104" s="657"/>
      <c r="AV104" s="657"/>
      <c r="AW104" s="655"/>
      <c r="AX104" s="655"/>
      <c r="AY104" s="655"/>
      <c r="AZ104" s="655"/>
      <c r="BA104" s="655"/>
      <c r="BB104" s="655"/>
      <c r="BC104" s="655"/>
      <c r="BD104" s="655"/>
      <c r="BE104" s="655"/>
      <c r="BF104" s="655"/>
      <c r="BG104" s="658"/>
    </row>
    <row r="105" ht="16.5" customHeight="1">
      <c r="A105" s="719"/>
      <c r="B105" s="655"/>
      <c r="C105" s="655"/>
      <c r="D105" s="655"/>
      <c r="E105" s="655"/>
      <c r="F105" s="655"/>
      <c r="G105" s="655"/>
      <c r="H105" s="655"/>
      <c r="I105" s="655"/>
      <c r="J105" s="655"/>
      <c r="K105" s="887"/>
      <c r="L105" s="887"/>
      <c r="M105" s="887"/>
      <c r="N105" s="887"/>
      <c r="O105" s="887"/>
      <c r="P105" s="887"/>
      <c r="Q105" s="887"/>
      <c r="R105" s="887"/>
      <c r="S105" s="887"/>
      <c r="T105" s="887"/>
      <c r="U105" s="887"/>
      <c r="V105" s="655"/>
      <c r="W105" s="655"/>
      <c r="X105" s="655"/>
      <c r="Y105" s="655"/>
      <c r="Z105" s="655"/>
      <c r="AA105" s="655"/>
      <c r="AB105" s="655"/>
      <c r="AC105" s="655"/>
      <c r="AD105" s="655"/>
      <c r="AE105" s="655"/>
      <c r="AF105" s="655"/>
      <c r="AG105" s="655"/>
      <c r="AH105" s="884"/>
      <c r="AI105" s="727"/>
      <c r="AJ105" s="727"/>
      <c r="AK105" s="910"/>
      <c r="AL105" s="907"/>
      <c r="AM105" s="727"/>
      <c r="AN105" s="906"/>
      <c r="AO105" s="727"/>
      <c r="AP105" s="908"/>
      <c r="AQ105" s="906"/>
      <c r="AR105" s="906"/>
      <c r="AS105" s="906"/>
      <c r="AT105" s="657"/>
      <c r="AU105" s="657"/>
      <c r="AV105" s="657"/>
      <c r="AW105" s="655"/>
      <c r="AX105" s="655"/>
      <c r="AY105" s="655"/>
      <c r="AZ105" s="655"/>
      <c r="BA105" s="655"/>
      <c r="BB105" s="655"/>
      <c r="BC105" s="655"/>
      <c r="BD105" s="655"/>
      <c r="BE105" s="655"/>
      <c r="BF105" s="655"/>
      <c r="BG105" s="658"/>
    </row>
    <row r="106" ht="16.5" customHeight="1">
      <c r="A106" s="719"/>
      <c r="B106" s="655"/>
      <c r="C106" s="655"/>
      <c r="D106" s="655"/>
      <c r="E106" s="655"/>
      <c r="F106" s="655"/>
      <c r="G106" s="655"/>
      <c r="H106" s="655"/>
      <c r="I106" s="655"/>
      <c r="J106" s="655"/>
      <c r="K106" s="887"/>
      <c r="L106" s="887"/>
      <c r="M106" s="887"/>
      <c r="N106" s="887"/>
      <c r="O106" s="887"/>
      <c r="P106" s="887"/>
      <c r="Q106" s="887"/>
      <c r="R106" s="887"/>
      <c r="S106" s="887"/>
      <c r="T106" s="887"/>
      <c r="U106" s="887"/>
      <c r="V106" s="655"/>
      <c r="W106" s="655"/>
      <c r="X106" s="655"/>
      <c r="Y106" s="655"/>
      <c r="Z106" s="655"/>
      <c r="AA106" s="655"/>
      <c r="AB106" s="655"/>
      <c r="AC106" s="655"/>
      <c r="AD106" s="655"/>
      <c r="AE106" s="655"/>
      <c r="AF106" s="655"/>
      <c r="AG106" s="655"/>
      <c r="AH106" s="655"/>
      <c r="AI106" s="655"/>
      <c r="AJ106" s="655"/>
      <c r="AK106" s="655"/>
      <c r="AL106" s="655"/>
      <c r="AM106" s="655"/>
      <c r="AN106" s="655"/>
      <c r="AO106" s="655"/>
      <c r="AP106" s="655"/>
      <c r="AQ106" s="655"/>
      <c r="AR106" s="655"/>
      <c r="AS106" s="655"/>
      <c r="AT106" s="657"/>
      <c r="AU106" s="657"/>
      <c r="AV106" s="657"/>
      <c r="AW106" s="655"/>
      <c r="AX106" s="655"/>
      <c r="AY106" s="655"/>
      <c r="AZ106" s="655"/>
      <c r="BA106" s="655"/>
      <c r="BB106" s="655"/>
      <c r="BC106" s="655"/>
      <c r="BD106" s="655"/>
      <c r="BE106" s="655"/>
      <c r="BF106" s="655"/>
      <c r="BG106" s="658"/>
    </row>
    <row r="107" ht="16.5" customHeight="1">
      <c r="A107" s="719"/>
      <c r="B107" s="655"/>
      <c r="C107" s="655"/>
      <c r="D107" s="655"/>
      <c r="E107" s="655"/>
      <c r="F107" s="655"/>
      <c r="G107" s="655"/>
      <c r="H107" s="655"/>
      <c r="I107" s="655"/>
      <c r="J107" s="655"/>
      <c r="K107" s="887"/>
      <c r="L107" s="887"/>
      <c r="M107" s="887"/>
      <c r="N107" s="887"/>
      <c r="O107" s="887"/>
      <c r="P107" s="887"/>
      <c r="Q107" s="887"/>
      <c r="R107" s="887"/>
      <c r="S107" s="887"/>
      <c r="T107" s="887"/>
      <c r="U107" s="887"/>
      <c r="V107" s="655"/>
      <c r="W107" s="655"/>
      <c r="X107" s="655"/>
      <c r="Y107" s="655"/>
      <c r="Z107" s="655"/>
      <c r="AA107" s="655"/>
      <c r="AB107" s="655"/>
      <c r="AC107" s="655"/>
      <c r="AD107" s="655"/>
      <c r="AE107" s="655"/>
      <c r="AF107" s="655"/>
      <c r="AG107" s="655"/>
      <c r="AH107" s="655"/>
      <c r="AI107" s="655"/>
      <c r="AJ107" s="655"/>
      <c r="AK107" s="655"/>
      <c r="AL107" s="655"/>
      <c r="AM107" s="655"/>
      <c r="AN107" s="655"/>
      <c r="AO107" s="655"/>
      <c r="AP107" s="655"/>
      <c r="AQ107" s="655"/>
      <c r="AR107" s="655"/>
      <c r="AS107" s="655"/>
      <c r="AT107" s="657"/>
      <c r="AU107" s="657"/>
      <c r="AV107" s="657"/>
      <c r="AW107" s="655"/>
      <c r="AX107" s="655"/>
      <c r="AY107" s="655"/>
      <c r="AZ107" s="655"/>
      <c r="BA107" s="655"/>
      <c r="BB107" s="655"/>
      <c r="BC107" s="655"/>
      <c r="BD107" s="655"/>
      <c r="BE107" s="655"/>
      <c r="BF107" s="657"/>
      <c r="BG107" s="658"/>
    </row>
    <row r="108" ht="16.5" customHeight="1">
      <c r="A108" s="719"/>
      <c r="B108" s="655"/>
      <c r="C108" s="655"/>
      <c r="D108" s="655"/>
      <c r="E108" s="655"/>
      <c r="F108" s="655"/>
      <c r="G108" s="655"/>
      <c r="H108" s="655"/>
      <c r="I108" s="655"/>
      <c r="J108" s="655"/>
      <c r="K108" s="887"/>
      <c r="L108" s="887"/>
      <c r="M108" s="887"/>
      <c r="N108" s="887"/>
      <c r="O108" s="887"/>
      <c r="P108" s="887"/>
      <c r="Q108" s="887"/>
      <c r="R108" s="887"/>
      <c r="S108" s="887"/>
      <c r="T108" s="887"/>
      <c r="U108" s="887"/>
      <c r="V108" s="655"/>
      <c r="W108" s="655"/>
      <c r="X108" s="655"/>
      <c r="Y108" s="655"/>
      <c r="Z108" s="655"/>
      <c r="AA108" s="655"/>
      <c r="AB108" s="655"/>
      <c r="AC108" s="655"/>
      <c r="AD108" s="655"/>
      <c r="AE108" s="655"/>
      <c r="AF108" s="655"/>
      <c r="AG108" s="655"/>
      <c r="AH108" s="655"/>
      <c r="AI108" s="655"/>
      <c r="AJ108" s="655"/>
      <c r="AK108" s="655"/>
      <c r="AL108" s="655"/>
      <c r="AM108" s="655"/>
      <c r="AN108" s="655"/>
      <c r="AO108" s="655"/>
      <c r="AP108" s="655"/>
      <c r="AQ108" s="655"/>
      <c r="AR108" s="655"/>
      <c r="AS108" s="655"/>
      <c r="AT108" s="657"/>
      <c r="AU108" s="657"/>
      <c r="AV108" s="657"/>
      <c r="AW108" s="655"/>
      <c r="AX108" s="655"/>
      <c r="AY108" s="655"/>
      <c r="AZ108" s="655"/>
      <c r="BA108" s="655"/>
      <c r="BB108" s="655"/>
      <c r="BC108" s="655"/>
      <c r="BD108" s="655"/>
      <c r="BE108" s="655"/>
      <c r="BF108" s="657"/>
      <c r="BG108" s="658"/>
    </row>
    <row r="109" ht="16.5" customHeight="1">
      <c r="A109" s="719"/>
      <c r="B109" s="655"/>
      <c r="C109" s="655"/>
      <c r="D109" s="655"/>
      <c r="E109" s="655"/>
      <c r="F109" s="655"/>
      <c r="G109" s="655"/>
      <c r="H109" s="655"/>
      <c r="I109" s="655"/>
      <c r="J109" s="655"/>
      <c r="K109" s="887"/>
      <c r="L109" s="887"/>
      <c r="M109" s="887"/>
      <c r="N109" s="887"/>
      <c r="O109" s="887"/>
      <c r="P109" s="887"/>
      <c r="Q109" s="887"/>
      <c r="R109" s="887"/>
      <c r="S109" s="887"/>
      <c r="T109" s="887"/>
      <c r="U109" s="887"/>
      <c r="V109" s="655"/>
      <c r="W109" s="655"/>
      <c r="X109" s="655"/>
      <c r="Y109" s="655"/>
      <c r="Z109" s="655"/>
      <c r="AA109" s="655"/>
      <c r="AB109" s="655"/>
      <c r="AC109" s="655"/>
      <c r="AD109" s="655"/>
      <c r="AE109" s="655"/>
      <c r="AF109" s="655"/>
      <c r="AG109" s="655"/>
      <c r="AH109" s="655"/>
      <c r="AI109" s="655"/>
      <c r="AJ109" s="655"/>
      <c r="AK109" s="655"/>
      <c r="AL109" s="655"/>
      <c r="AM109" s="655"/>
      <c r="AN109" s="655"/>
      <c r="AO109" s="655"/>
      <c r="AP109" s="655"/>
      <c r="AQ109" s="655"/>
      <c r="AR109" s="655"/>
      <c r="AS109" s="655"/>
      <c r="AT109" s="657"/>
      <c r="AU109" s="657"/>
      <c r="AV109" s="657"/>
      <c r="AW109" s="655"/>
      <c r="AX109" s="655"/>
      <c r="AY109" s="655"/>
      <c r="AZ109" s="655"/>
      <c r="BA109" s="655"/>
      <c r="BB109" s="655"/>
      <c r="BC109" s="655"/>
      <c r="BD109" s="655"/>
      <c r="BE109" s="655"/>
      <c r="BF109" s="657"/>
      <c r="BG109" s="658"/>
    </row>
    <row r="110" ht="16.5" customHeight="1">
      <c r="A110" s="719"/>
      <c r="B110" s="655"/>
      <c r="C110" s="655"/>
      <c r="D110" s="655"/>
      <c r="E110" s="655"/>
      <c r="F110" s="655"/>
      <c r="G110" s="655"/>
      <c r="H110" s="655"/>
      <c r="I110" s="655"/>
      <c r="J110" s="655"/>
      <c r="K110" s="887"/>
      <c r="L110" s="887"/>
      <c r="M110" s="887"/>
      <c r="N110" s="887"/>
      <c r="O110" s="887"/>
      <c r="P110" s="887"/>
      <c r="Q110" s="887"/>
      <c r="R110" s="887"/>
      <c r="S110" s="887"/>
      <c r="T110" s="887"/>
      <c r="U110" s="887"/>
      <c r="V110" s="655"/>
      <c r="W110" s="655"/>
      <c r="X110" s="655"/>
      <c r="Y110" s="655"/>
      <c r="Z110" s="655"/>
      <c r="AA110" s="655"/>
      <c r="AB110" s="655"/>
      <c r="AC110" s="655"/>
      <c r="AD110" s="655"/>
      <c r="AE110" s="655"/>
      <c r="AF110" s="655"/>
      <c r="AG110" s="655"/>
      <c r="AH110" s="655"/>
      <c r="AI110" s="655"/>
      <c r="AJ110" s="655"/>
      <c r="AK110" s="655"/>
      <c r="AL110" s="655"/>
      <c r="AM110" s="655"/>
      <c r="AN110" s="655"/>
      <c r="AO110" s="655"/>
      <c r="AP110" s="655"/>
      <c r="AQ110" s="655"/>
      <c r="AR110" s="655"/>
      <c r="AS110" s="655"/>
      <c r="AT110" s="657"/>
      <c r="AU110" s="657"/>
      <c r="AV110" s="657"/>
      <c r="AW110" s="655"/>
      <c r="AX110" s="911"/>
      <c r="AY110" s="687"/>
      <c r="AZ110" s="800"/>
      <c r="BA110" s="687"/>
      <c r="BB110" s="687"/>
      <c r="BC110" s="655"/>
      <c r="BD110" s="657"/>
      <c r="BE110" s="657"/>
      <c r="BF110" s="657"/>
      <c r="BG110" s="658"/>
    </row>
    <row r="111" ht="14.25" customHeight="1">
      <c r="A111" s="719"/>
      <c r="B111" s="655"/>
      <c r="C111" s="655"/>
      <c r="D111" s="655"/>
      <c r="E111" s="655"/>
      <c r="F111" s="655"/>
      <c r="G111" s="655"/>
      <c r="H111" s="655"/>
      <c r="I111" s="655"/>
      <c r="J111" s="655"/>
      <c r="K111" s="887"/>
      <c r="L111" s="887"/>
      <c r="M111" s="887"/>
      <c r="N111" s="887"/>
      <c r="O111" s="887"/>
      <c r="P111" s="887"/>
      <c r="Q111" s="887"/>
      <c r="R111" s="887"/>
      <c r="S111" s="887"/>
      <c r="T111" s="887"/>
      <c r="U111" s="887"/>
      <c r="V111" s="655"/>
      <c r="W111" s="655"/>
      <c r="X111" s="655"/>
      <c r="Y111" s="655"/>
      <c r="Z111" s="655"/>
      <c r="AA111" s="655"/>
      <c r="AB111" s="655"/>
      <c r="AC111" s="655"/>
      <c r="AD111" s="655"/>
      <c r="AE111" s="655"/>
      <c r="AF111" s="655"/>
      <c r="AG111" s="655"/>
      <c r="AH111" s="655"/>
      <c r="AI111" s="655"/>
      <c r="AJ111" s="655"/>
      <c r="AK111" s="655"/>
      <c r="AL111" s="655"/>
      <c r="AM111" s="655"/>
      <c r="AN111" s="655"/>
      <c r="AO111" s="655"/>
      <c r="AP111" s="655"/>
      <c r="AQ111" s="655"/>
      <c r="AR111" s="655"/>
      <c r="AS111" s="655"/>
      <c r="AT111" s="657"/>
      <c r="AU111" s="657"/>
      <c r="AV111" s="657"/>
      <c r="AW111" s="655"/>
      <c r="AX111" s="911"/>
      <c r="AY111" s="687"/>
      <c r="AZ111" s="800"/>
      <c r="BA111" s="687"/>
      <c r="BB111" s="687"/>
      <c r="BC111" s="655"/>
      <c r="BD111" s="657"/>
      <c r="BE111" s="657"/>
      <c r="BF111" s="657"/>
      <c r="BG111" s="658"/>
    </row>
    <row r="112" ht="12.75" customHeight="1">
      <c r="A112" s="719"/>
      <c r="B112" s="655"/>
      <c r="C112" s="655"/>
      <c r="D112" s="655"/>
      <c r="E112" s="655"/>
      <c r="F112" s="655"/>
      <c r="G112" s="655"/>
      <c r="H112" s="655"/>
      <c r="I112" s="655"/>
      <c r="J112" s="655"/>
      <c r="K112" s="887"/>
      <c r="L112" s="887"/>
      <c r="M112" s="887"/>
      <c r="N112" s="887"/>
      <c r="O112" s="887"/>
      <c r="P112" s="887"/>
      <c r="Q112" s="887"/>
      <c r="R112" s="887"/>
      <c r="S112" s="887"/>
      <c r="T112" s="887"/>
      <c r="U112" s="887"/>
      <c r="V112" s="655"/>
      <c r="W112" s="655"/>
      <c r="X112" s="655"/>
      <c r="Y112" s="655"/>
      <c r="Z112" s="655"/>
      <c r="AA112" s="655"/>
      <c r="AB112" s="655"/>
      <c r="AC112" s="655"/>
      <c r="AD112" s="655"/>
      <c r="AE112" s="655"/>
      <c r="AF112" s="655"/>
      <c r="AG112" s="655"/>
      <c r="AH112" s="655"/>
      <c r="AI112" s="655"/>
      <c r="AJ112" s="655"/>
      <c r="AK112" s="655"/>
      <c r="AL112" s="655"/>
      <c r="AM112" s="655"/>
      <c r="AN112" s="655"/>
      <c r="AO112" s="655"/>
      <c r="AP112" s="655"/>
      <c r="AQ112" s="655"/>
      <c r="AR112" s="655"/>
      <c r="AS112" s="655"/>
      <c r="AT112" s="657"/>
      <c r="AU112" s="657"/>
      <c r="AV112" s="657"/>
      <c r="AW112" s="655"/>
      <c r="AX112" s="911"/>
      <c r="AY112" s="687"/>
      <c r="AZ112" s="800"/>
      <c r="BA112" s="687"/>
      <c r="BB112" s="687"/>
      <c r="BC112" s="655"/>
      <c r="BD112" s="657"/>
      <c r="BE112" s="657"/>
      <c r="BF112" s="657"/>
      <c r="BG112" s="658"/>
    </row>
    <row r="113" ht="12.75" customHeight="1">
      <c r="A113" s="719"/>
      <c r="B113" s="655"/>
      <c r="C113" s="655"/>
      <c r="D113" s="655"/>
      <c r="E113" s="655"/>
      <c r="F113" s="655"/>
      <c r="G113" s="655"/>
      <c r="H113" s="655"/>
      <c r="I113" s="655"/>
      <c r="J113" s="655"/>
      <c r="K113" s="887"/>
      <c r="L113" s="887"/>
      <c r="M113" s="887"/>
      <c r="N113" s="887"/>
      <c r="O113" s="887"/>
      <c r="P113" s="887"/>
      <c r="Q113" s="887"/>
      <c r="R113" s="887"/>
      <c r="S113" s="887"/>
      <c r="T113" s="887"/>
      <c r="U113" s="887"/>
      <c r="V113" s="655"/>
      <c r="W113" s="655"/>
      <c r="X113" s="655"/>
      <c r="Y113" s="655"/>
      <c r="Z113" s="655"/>
      <c r="AA113" s="655"/>
      <c r="AB113" s="655"/>
      <c r="AC113" s="655"/>
      <c r="AD113" s="655"/>
      <c r="AE113" s="655"/>
      <c r="AF113" s="655"/>
      <c r="AG113" s="655"/>
      <c r="AH113" s="655"/>
      <c r="AI113" s="655"/>
      <c r="AJ113" s="655"/>
      <c r="AK113" s="655"/>
      <c r="AL113" s="655"/>
      <c r="AM113" s="655"/>
      <c r="AN113" s="655"/>
      <c r="AO113" s="655"/>
      <c r="AP113" s="655"/>
      <c r="AQ113" s="655"/>
      <c r="AR113" s="655"/>
      <c r="AS113" s="655"/>
      <c r="AT113" s="657"/>
      <c r="AU113" s="657"/>
      <c r="AV113" s="657"/>
      <c r="AW113" s="655"/>
      <c r="AX113" s="911"/>
      <c r="AY113" s="687"/>
      <c r="AZ113" s="800"/>
      <c r="BA113" s="687"/>
      <c r="BB113" s="687"/>
      <c r="BC113" s="655"/>
      <c r="BD113" s="657"/>
      <c r="BE113" s="657"/>
      <c r="BF113" s="657"/>
      <c r="BG113" s="658"/>
    </row>
    <row r="114" ht="12.75" customHeight="1">
      <c r="A114" s="719"/>
      <c r="B114" s="655"/>
      <c r="C114" s="655"/>
      <c r="D114" s="655"/>
      <c r="E114" s="655"/>
      <c r="F114" s="655"/>
      <c r="G114" s="655"/>
      <c r="H114" s="655"/>
      <c r="I114" s="655"/>
      <c r="J114" s="655"/>
      <c r="K114" s="887"/>
      <c r="L114" s="887"/>
      <c r="M114" s="887"/>
      <c r="N114" s="887"/>
      <c r="O114" s="887"/>
      <c r="P114" s="887"/>
      <c r="Q114" s="887"/>
      <c r="R114" s="887"/>
      <c r="S114" s="887"/>
      <c r="T114" s="887"/>
      <c r="U114" s="887"/>
      <c r="V114" s="655"/>
      <c r="W114" s="655"/>
      <c r="X114" s="655"/>
      <c r="Y114" s="655"/>
      <c r="Z114" s="655"/>
      <c r="AA114" s="655"/>
      <c r="AB114" s="655"/>
      <c r="AC114" s="655"/>
      <c r="AD114" s="655"/>
      <c r="AE114" s="655"/>
      <c r="AF114" s="655"/>
      <c r="AG114" s="655"/>
      <c r="AH114" s="655"/>
      <c r="AI114" s="655"/>
      <c r="AJ114" s="655"/>
      <c r="AK114" s="655"/>
      <c r="AL114" s="655"/>
      <c r="AM114" s="655"/>
      <c r="AN114" s="655"/>
      <c r="AO114" s="655"/>
      <c r="AP114" s="655"/>
      <c r="AQ114" s="655"/>
      <c r="AR114" s="655"/>
      <c r="AS114" s="655"/>
      <c r="AT114" s="657"/>
      <c r="AU114" s="657"/>
      <c r="AV114" s="657"/>
      <c r="AW114" s="655"/>
      <c r="AX114" s="911"/>
      <c r="AY114" s="687"/>
      <c r="AZ114" s="800"/>
      <c r="BA114" s="687"/>
      <c r="BB114" s="687"/>
      <c r="BC114" s="655"/>
      <c r="BD114" s="657"/>
      <c r="BE114" s="657"/>
      <c r="BF114" s="657"/>
      <c r="BG114" s="658"/>
    </row>
    <row r="115" ht="12.75" customHeight="1">
      <c r="A115" s="719"/>
      <c r="B115" s="655"/>
      <c r="C115" s="655"/>
      <c r="D115" s="655"/>
      <c r="E115" s="655"/>
      <c r="F115" s="655"/>
      <c r="G115" s="655"/>
      <c r="H115" s="655"/>
      <c r="I115" s="655"/>
      <c r="J115" s="655"/>
      <c r="K115" s="887"/>
      <c r="L115" s="887"/>
      <c r="M115" s="887"/>
      <c r="N115" s="887"/>
      <c r="O115" s="887"/>
      <c r="P115" s="887"/>
      <c r="Q115" s="887"/>
      <c r="R115" s="887"/>
      <c r="S115" s="887"/>
      <c r="T115" s="887"/>
      <c r="U115" s="887"/>
      <c r="V115" s="655"/>
      <c r="W115" s="655"/>
      <c r="X115" s="655"/>
      <c r="Y115" s="655"/>
      <c r="Z115" s="655"/>
      <c r="AA115" s="655"/>
      <c r="AB115" s="655"/>
      <c r="AC115" s="655"/>
      <c r="AD115" s="655"/>
      <c r="AE115" s="655"/>
      <c r="AF115" s="655"/>
      <c r="AG115" s="655"/>
      <c r="AH115" s="655"/>
      <c r="AI115" s="655"/>
      <c r="AJ115" s="655"/>
      <c r="AK115" s="655"/>
      <c r="AL115" s="655"/>
      <c r="AM115" s="655"/>
      <c r="AN115" s="655"/>
      <c r="AO115" s="655"/>
      <c r="AP115" s="655"/>
      <c r="AQ115" s="655"/>
      <c r="AR115" s="655"/>
      <c r="AS115" s="655"/>
      <c r="AT115" s="657"/>
      <c r="AU115" s="657"/>
      <c r="AV115" s="657"/>
      <c r="AW115" s="655"/>
      <c r="AX115" s="911"/>
      <c r="AY115" s="687"/>
      <c r="AZ115" s="800"/>
      <c r="BA115" s="687"/>
      <c r="BB115" s="687"/>
      <c r="BC115" s="655"/>
      <c r="BD115" s="657"/>
      <c r="BE115" s="657"/>
      <c r="BF115" s="657"/>
      <c r="BG115" s="658"/>
    </row>
    <row r="116" ht="12.75" customHeight="1">
      <c r="A116" s="719"/>
      <c r="B116" s="655"/>
      <c r="C116" s="655"/>
      <c r="D116" s="655"/>
      <c r="E116" s="655"/>
      <c r="F116" s="655"/>
      <c r="G116" s="655"/>
      <c r="H116" s="655"/>
      <c r="I116" s="655"/>
      <c r="J116" s="655"/>
      <c r="K116" s="887"/>
      <c r="L116" s="887"/>
      <c r="M116" s="887"/>
      <c r="N116" s="887"/>
      <c r="O116" s="887"/>
      <c r="P116" s="887"/>
      <c r="Q116" s="887"/>
      <c r="R116" s="887"/>
      <c r="S116" s="887"/>
      <c r="T116" s="887"/>
      <c r="U116" s="887"/>
      <c r="V116" s="655"/>
      <c r="W116" s="655"/>
      <c r="X116" s="655"/>
      <c r="Y116" s="655"/>
      <c r="Z116" s="655"/>
      <c r="AA116" s="655"/>
      <c r="AB116" s="655"/>
      <c r="AC116" s="655"/>
      <c r="AD116" s="655"/>
      <c r="AE116" s="655"/>
      <c r="AF116" s="655"/>
      <c r="AG116" s="655"/>
      <c r="AH116" s="655"/>
      <c r="AI116" s="655"/>
      <c r="AJ116" s="655"/>
      <c r="AK116" s="655"/>
      <c r="AL116" s="655"/>
      <c r="AM116" s="655"/>
      <c r="AN116" s="655"/>
      <c r="AO116" s="655"/>
      <c r="AP116" s="655"/>
      <c r="AQ116" s="655"/>
      <c r="AR116" s="655"/>
      <c r="AS116" s="655"/>
      <c r="AT116" s="657"/>
      <c r="AU116" s="657"/>
      <c r="AV116" s="657"/>
      <c r="AW116" s="655"/>
      <c r="AX116" s="911"/>
      <c r="AY116" s="687"/>
      <c r="AZ116" s="800"/>
      <c r="BA116" s="687"/>
      <c r="BB116" s="687"/>
      <c r="BC116" s="655"/>
      <c r="BD116" s="657"/>
      <c r="BE116" s="657"/>
      <c r="BF116" s="657"/>
      <c r="BG116" s="658"/>
    </row>
    <row r="117" ht="12.75" customHeight="1">
      <c r="A117" s="719"/>
      <c r="B117" s="655"/>
      <c r="C117" s="655"/>
      <c r="D117" s="655"/>
      <c r="E117" s="655"/>
      <c r="F117" s="655"/>
      <c r="G117" s="655"/>
      <c r="H117" s="655"/>
      <c r="I117" s="655"/>
      <c r="J117" s="655"/>
      <c r="K117" s="887"/>
      <c r="L117" s="887"/>
      <c r="M117" s="887"/>
      <c r="N117" s="887"/>
      <c r="O117" s="887"/>
      <c r="P117" s="887"/>
      <c r="Q117" s="887"/>
      <c r="R117" s="887"/>
      <c r="S117" s="887"/>
      <c r="T117" s="887"/>
      <c r="U117" s="887"/>
      <c r="V117" s="655"/>
      <c r="W117" s="655"/>
      <c r="X117" s="655"/>
      <c r="Y117" s="655"/>
      <c r="Z117" s="655"/>
      <c r="AA117" s="655"/>
      <c r="AB117" s="655"/>
      <c r="AC117" s="655"/>
      <c r="AD117" s="655"/>
      <c r="AE117" s="655"/>
      <c r="AF117" s="655"/>
      <c r="AG117" s="655"/>
      <c r="AH117" s="655"/>
      <c r="AI117" s="655"/>
      <c r="AJ117" s="655"/>
      <c r="AK117" s="655"/>
      <c r="AL117" s="655"/>
      <c r="AM117" s="655"/>
      <c r="AN117" s="655"/>
      <c r="AO117" s="655"/>
      <c r="AP117" s="655"/>
      <c r="AQ117" s="655"/>
      <c r="AR117" s="655"/>
      <c r="AS117" s="655"/>
      <c r="AT117" s="657"/>
      <c r="AU117" s="657"/>
      <c r="AV117" s="657"/>
      <c r="AW117" s="655"/>
      <c r="AX117" s="911"/>
      <c r="AY117" s="687"/>
      <c r="AZ117" s="800"/>
      <c r="BA117" s="687"/>
      <c r="BB117" s="687"/>
      <c r="BC117" s="655"/>
      <c r="BD117" s="657"/>
      <c r="BE117" s="657"/>
      <c r="BF117" s="657"/>
      <c r="BG117" s="658"/>
    </row>
    <row r="118" ht="12.75" customHeight="1">
      <c r="A118" s="719"/>
      <c r="B118" s="655"/>
      <c r="C118" s="655"/>
      <c r="D118" s="655"/>
      <c r="E118" s="655"/>
      <c r="F118" s="655"/>
      <c r="G118" s="655"/>
      <c r="H118" s="655"/>
      <c r="I118" s="655"/>
      <c r="J118" s="655"/>
      <c r="K118" s="887"/>
      <c r="L118" s="887"/>
      <c r="M118" s="887"/>
      <c r="N118" s="887"/>
      <c r="O118" s="887"/>
      <c r="P118" s="887"/>
      <c r="Q118" s="887"/>
      <c r="R118" s="887"/>
      <c r="S118" s="887"/>
      <c r="T118" s="887"/>
      <c r="U118" s="887"/>
      <c r="V118" s="655"/>
      <c r="W118" s="655"/>
      <c r="X118" s="655"/>
      <c r="Y118" s="655"/>
      <c r="Z118" s="655"/>
      <c r="AA118" s="655"/>
      <c r="AB118" s="655"/>
      <c r="AC118" s="655"/>
      <c r="AD118" s="655"/>
      <c r="AE118" s="655"/>
      <c r="AF118" s="655"/>
      <c r="AG118" s="655"/>
      <c r="AH118" s="655"/>
      <c r="AI118" s="655"/>
      <c r="AJ118" s="655"/>
      <c r="AK118" s="655"/>
      <c r="AL118" s="655"/>
      <c r="AM118" s="655"/>
      <c r="AN118" s="655"/>
      <c r="AO118" s="655"/>
      <c r="AP118" s="655"/>
      <c r="AQ118" s="655"/>
      <c r="AR118" s="655"/>
      <c r="AS118" s="655"/>
      <c r="AT118" s="657"/>
      <c r="AU118" s="657"/>
      <c r="AV118" s="657"/>
      <c r="AW118" s="655"/>
      <c r="AX118" s="911"/>
      <c r="AY118" s="687"/>
      <c r="AZ118" s="800"/>
      <c r="BA118" s="687"/>
      <c r="BB118" s="687"/>
      <c r="BC118" s="655"/>
      <c r="BD118" s="657"/>
      <c r="BE118" s="657"/>
      <c r="BF118" s="657"/>
      <c r="BG118" s="658"/>
    </row>
    <row r="119" ht="12.75" customHeight="1">
      <c r="A119" s="719"/>
      <c r="B119" s="655"/>
      <c r="C119" s="655"/>
      <c r="D119" s="655"/>
      <c r="E119" s="655"/>
      <c r="F119" s="655"/>
      <c r="G119" s="655"/>
      <c r="H119" s="655"/>
      <c r="I119" s="655"/>
      <c r="J119" s="655"/>
      <c r="K119" s="887"/>
      <c r="L119" s="887"/>
      <c r="M119" s="887"/>
      <c r="N119" s="887"/>
      <c r="O119" s="887"/>
      <c r="P119" s="887"/>
      <c r="Q119" s="887"/>
      <c r="R119" s="887"/>
      <c r="S119" s="887"/>
      <c r="T119" s="887"/>
      <c r="U119" s="887"/>
      <c r="V119" s="655"/>
      <c r="W119" s="655"/>
      <c r="X119" s="655"/>
      <c r="Y119" s="655"/>
      <c r="Z119" s="655"/>
      <c r="AA119" s="655"/>
      <c r="AB119" s="655"/>
      <c r="AC119" s="655"/>
      <c r="AD119" s="655"/>
      <c r="AE119" s="655"/>
      <c r="AF119" s="655"/>
      <c r="AG119" s="655"/>
      <c r="AH119" s="655"/>
      <c r="AI119" s="655"/>
      <c r="AJ119" s="655"/>
      <c r="AK119" s="655"/>
      <c r="AL119" s="655"/>
      <c r="AM119" s="655"/>
      <c r="AN119" s="655"/>
      <c r="AO119" s="655"/>
      <c r="AP119" s="655"/>
      <c r="AQ119" s="655"/>
      <c r="AR119" s="655"/>
      <c r="AS119" s="655"/>
      <c r="AT119" s="657"/>
      <c r="AU119" s="657"/>
      <c r="AV119" s="657"/>
      <c r="AW119" s="655"/>
      <c r="AX119" s="911"/>
      <c r="AY119" s="687"/>
      <c r="AZ119" s="800"/>
      <c r="BA119" s="687"/>
      <c r="BB119" s="687"/>
      <c r="BC119" s="655"/>
      <c r="BD119" s="657"/>
      <c r="BE119" s="657"/>
      <c r="BF119" s="657"/>
      <c r="BG119" s="658"/>
    </row>
    <row r="120" ht="12.75" customHeight="1">
      <c r="A120" s="719"/>
      <c r="B120" s="655"/>
      <c r="C120" s="655"/>
      <c r="D120" s="655"/>
      <c r="E120" s="655"/>
      <c r="F120" s="655"/>
      <c r="G120" s="655"/>
      <c r="H120" s="655"/>
      <c r="I120" s="655"/>
      <c r="J120" s="655"/>
      <c r="K120" s="887"/>
      <c r="L120" s="887"/>
      <c r="M120" s="887"/>
      <c r="N120" s="887"/>
      <c r="O120" s="887"/>
      <c r="P120" s="887"/>
      <c r="Q120" s="887"/>
      <c r="R120" s="887"/>
      <c r="S120" s="887"/>
      <c r="T120" s="887"/>
      <c r="U120" s="887"/>
      <c r="V120" s="655"/>
      <c r="W120" s="655"/>
      <c r="X120" s="655"/>
      <c r="Y120" s="655"/>
      <c r="Z120" s="655"/>
      <c r="AA120" s="655"/>
      <c r="AB120" s="655"/>
      <c r="AC120" s="655"/>
      <c r="AD120" s="655"/>
      <c r="AE120" s="655"/>
      <c r="AF120" s="655"/>
      <c r="AG120" s="655"/>
      <c r="AH120" s="655"/>
      <c r="AI120" s="655"/>
      <c r="AJ120" s="655"/>
      <c r="AK120" s="655"/>
      <c r="AL120" s="655"/>
      <c r="AM120" s="655"/>
      <c r="AN120" s="655"/>
      <c r="AO120" s="655"/>
      <c r="AP120" s="655"/>
      <c r="AQ120" s="655"/>
      <c r="AR120" s="655"/>
      <c r="AS120" s="655"/>
      <c r="AT120" s="657"/>
      <c r="AU120" s="657"/>
      <c r="AV120" s="657"/>
      <c r="AW120" s="655"/>
      <c r="AX120" s="911"/>
      <c r="AY120" s="687"/>
      <c r="AZ120" s="800"/>
      <c r="BA120" s="687"/>
      <c r="BB120" s="687"/>
      <c r="BC120" s="655"/>
      <c r="BD120" s="657"/>
      <c r="BE120" s="657"/>
      <c r="BF120" s="657"/>
      <c r="BG120" s="658"/>
    </row>
    <row r="121" ht="12.75" customHeight="1">
      <c r="A121" s="719"/>
      <c r="B121" s="655"/>
      <c r="C121" s="655"/>
      <c r="D121" s="655"/>
      <c r="E121" s="655"/>
      <c r="F121" s="655"/>
      <c r="G121" s="655"/>
      <c r="H121" s="655"/>
      <c r="I121" s="655"/>
      <c r="J121" s="655"/>
      <c r="K121" s="887"/>
      <c r="L121" s="887"/>
      <c r="M121" s="887"/>
      <c r="N121" s="887"/>
      <c r="O121" s="887"/>
      <c r="P121" s="887"/>
      <c r="Q121" s="887"/>
      <c r="R121" s="887"/>
      <c r="S121" s="887"/>
      <c r="T121" s="887"/>
      <c r="U121" s="887"/>
      <c r="V121" s="655"/>
      <c r="W121" s="655"/>
      <c r="X121" s="655"/>
      <c r="Y121" s="655"/>
      <c r="Z121" s="655"/>
      <c r="AA121" s="655"/>
      <c r="AB121" s="655"/>
      <c r="AC121" s="655"/>
      <c r="AD121" s="655"/>
      <c r="AE121" s="655"/>
      <c r="AF121" s="655"/>
      <c r="AG121" s="655"/>
      <c r="AH121" s="655"/>
      <c r="AI121" s="655"/>
      <c r="AJ121" s="655"/>
      <c r="AK121" s="655"/>
      <c r="AL121" s="655"/>
      <c r="AM121" s="655"/>
      <c r="AN121" s="655"/>
      <c r="AO121" s="655"/>
      <c r="AP121" s="655"/>
      <c r="AQ121" s="655"/>
      <c r="AR121" s="655"/>
      <c r="AS121" s="655"/>
      <c r="AT121" s="657"/>
      <c r="AU121" s="657"/>
      <c r="AV121" s="657"/>
      <c r="AW121" s="655"/>
      <c r="AX121" s="911"/>
      <c r="AY121" s="687"/>
      <c r="AZ121" s="800"/>
      <c r="BA121" s="687"/>
      <c r="BB121" s="687"/>
      <c r="BC121" s="655"/>
      <c r="BD121" s="657"/>
      <c r="BE121" s="657"/>
      <c r="BF121" s="657"/>
      <c r="BG121" s="658"/>
    </row>
    <row r="122" ht="12.75" customHeight="1">
      <c r="A122" s="719"/>
      <c r="B122" s="655"/>
      <c r="C122" s="655"/>
      <c r="D122" s="655"/>
      <c r="E122" s="655"/>
      <c r="F122" s="655"/>
      <c r="G122" s="655"/>
      <c r="H122" s="655"/>
      <c r="I122" s="655"/>
      <c r="J122" s="655"/>
      <c r="K122" s="887"/>
      <c r="L122" s="887"/>
      <c r="M122" s="887"/>
      <c r="N122" s="887"/>
      <c r="O122" s="887"/>
      <c r="P122" s="887"/>
      <c r="Q122" s="887"/>
      <c r="R122" s="887"/>
      <c r="S122" s="887"/>
      <c r="T122" s="887"/>
      <c r="U122" s="887"/>
      <c r="V122" s="655"/>
      <c r="W122" s="655"/>
      <c r="X122" s="655"/>
      <c r="Y122" s="655"/>
      <c r="Z122" s="655"/>
      <c r="AA122" s="655"/>
      <c r="AB122" s="655"/>
      <c r="AC122" s="655"/>
      <c r="AD122" s="655"/>
      <c r="AE122" s="655"/>
      <c r="AF122" s="655"/>
      <c r="AG122" s="655"/>
      <c r="AH122" s="655"/>
      <c r="AI122" s="655"/>
      <c r="AJ122" s="655"/>
      <c r="AK122" s="655"/>
      <c r="AL122" s="655"/>
      <c r="AM122" s="655"/>
      <c r="AN122" s="655"/>
      <c r="AO122" s="655"/>
      <c r="AP122" s="655"/>
      <c r="AQ122" s="655"/>
      <c r="AR122" s="655"/>
      <c r="AS122" s="655"/>
      <c r="AT122" s="657"/>
      <c r="AU122" s="657"/>
      <c r="AV122" s="657"/>
      <c r="AW122" s="655"/>
      <c r="AX122" s="911"/>
      <c r="AY122" s="687"/>
      <c r="AZ122" s="800"/>
      <c r="BA122" s="687"/>
      <c r="BB122" s="687"/>
      <c r="BC122" s="655"/>
      <c r="BD122" s="657"/>
      <c r="BE122" s="657"/>
      <c r="BF122" s="657"/>
      <c r="BG122" s="658"/>
    </row>
    <row r="123" ht="12.75" customHeight="1">
      <c r="A123" s="719"/>
      <c r="B123" s="655"/>
      <c r="C123" s="655"/>
      <c r="D123" s="655"/>
      <c r="E123" s="655"/>
      <c r="F123" s="655"/>
      <c r="G123" s="655"/>
      <c r="H123" s="655"/>
      <c r="I123" s="655"/>
      <c r="J123" s="655"/>
      <c r="K123" s="887"/>
      <c r="L123" s="887"/>
      <c r="M123" s="887"/>
      <c r="N123" s="887"/>
      <c r="O123" s="887"/>
      <c r="P123" s="887"/>
      <c r="Q123" s="887"/>
      <c r="R123" s="887"/>
      <c r="S123" s="887"/>
      <c r="T123" s="887"/>
      <c r="U123" s="887"/>
      <c r="V123" s="655"/>
      <c r="W123" s="655"/>
      <c r="X123" s="655"/>
      <c r="Y123" s="655"/>
      <c r="Z123" s="655"/>
      <c r="AA123" s="655"/>
      <c r="AB123" s="655"/>
      <c r="AC123" s="655"/>
      <c r="AD123" s="655"/>
      <c r="AE123" s="655"/>
      <c r="AF123" s="655"/>
      <c r="AG123" s="655"/>
      <c r="AH123" s="655"/>
      <c r="AI123" s="655"/>
      <c r="AJ123" s="655"/>
      <c r="AK123" s="655"/>
      <c r="AL123" s="655"/>
      <c r="AM123" s="655"/>
      <c r="AN123" s="655"/>
      <c r="AO123" s="655"/>
      <c r="AP123" s="655"/>
      <c r="AQ123" s="655"/>
      <c r="AR123" s="655"/>
      <c r="AS123" s="655"/>
      <c r="AT123" s="657"/>
      <c r="AU123" s="657"/>
      <c r="AV123" s="657"/>
      <c r="AW123" s="655"/>
      <c r="AX123" s="911"/>
      <c r="AY123" s="687"/>
      <c r="AZ123" s="800"/>
      <c r="BA123" s="687"/>
      <c r="BB123" s="687"/>
      <c r="BC123" s="655"/>
      <c r="BD123" s="657"/>
      <c r="BE123" s="657"/>
      <c r="BF123" s="657"/>
      <c r="BG123" s="658"/>
    </row>
    <row r="124" ht="12.75" customHeight="1">
      <c r="A124" s="719"/>
      <c r="B124" s="655"/>
      <c r="C124" s="655"/>
      <c r="D124" s="655"/>
      <c r="E124" s="655"/>
      <c r="F124" s="655"/>
      <c r="G124" s="655"/>
      <c r="H124" s="655"/>
      <c r="I124" s="655"/>
      <c r="J124" s="655"/>
      <c r="K124" s="887"/>
      <c r="L124" s="887"/>
      <c r="M124" s="887"/>
      <c r="N124" s="887"/>
      <c r="O124" s="887"/>
      <c r="P124" s="887"/>
      <c r="Q124" s="887"/>
      <c r="R124" s="887"/>
      <c r="S124" s="887"/>
      <c r="T124" s="887"/>
      <c r="U124" s="887"/>
      <c r="V124" s="655"/>
      <c r="W124" s="655"/>
      <c r="X124" s="655"/>
      <c r="Y124" s="655"/>
      <c r="Z124" s="655"/>
      <c r="AA124" s="655"/>
      <c r="AB124" s="655"/>
      <c r="AC124" s="655"/>
      <c r="AD124" s="655"/>
      <c r="AE124" s="655"/>
      <c r="AF124" s="655"/>
      <c r="AG124" s="655"/>
      <c r="AH124" s="655"/>
      <c r="AI124" s="655"/>
      <c r="AJ124" s="655"/>
      <c r="AK124" s="655"/>
      <c r="AL124" s="655"/>
      <c r="AM124" s="655"/>
      <c r="AN124" s="655"/>
      <c r="AO124" s="655"/>
      <c r="AP124" s="655"/>
      <c r="AQ124" s="655"/>
      <c r="AR124" s="655"/>
      <c r="AS124" s="655"/>
      <c r="AT124" s="657"/>
      <c r="AU124" s="657"/>
      <c r="AV124" s="657"/>
      <c r="AW124" s="655"/>
      <c r="AX124" s="911"/>
      <c r="AY124" s="687"/>
      <c r="AZ124" s="800"/>
      <c r="BA124" s="687"/>
      <c r="BB124" s="687"/>
      <c r="BC124" s="655"/>
      <c r="BD124" s="657"/>
      <c r="BE124" s="657"/>
      <c r="BF124" s="657"/>
      <c r="BG124" s="658"/>
    </row>
    <row r="125" ht="12.75" customHeight="1">
      <c r="A125" s="719"/>
      <c r="B125" s="655"/>
      <c r="C125" s="655"/>
      <c r="D125" s="655"/>
      <c r="E125" s="655"/>
      <c r="F125" s="655"/>
      <c r="G125" s="655"/>
      <c r="H125" s="655"/>
      <c r="I125" s="655"/>
      <c r="J125" s="655"/>
      <c r="K125" s="887"/>
      <c r="L125" s="887"/>
      <c r="M125" s="887"/>
      <c r="N125" s="887"/>
      <c r="O125" s="887"/>
      <c r="P125" s="887"/>
      <c r="Q125" s="887"/>
      <c r="R125" s="887"/>
      <c r="S125" s="887"/>
      <c r="T125" s="887"/>
      <c r="U125" s="887"/>
      <c r="V125" s="655"/>
      <c r="W125" s="655"/>
      <c r="X125" s="655"/>
      <c r="Y125" s="655"/>
      <c r="Z125" s="655"/>
      <c r="AA125" s="655"/>
      <c r="AB125" s="655"/>
      <c r="AC125" s="655"/>
      <c r="AD125" s="655"/>
      <c r="AE125" s="655"/>
      <c r="AF125" s="655"/>
      <c r="AG125" s="655"/>
      <c r="AH125" s="655"/>
      <c r="AI125" s="655"/>
      <c r="AJ125" s="655"/>
      <c r="AK125" s="655"/>
      <c r="AL125" s="655"/>
      <c r="AM125" s="655"/>
      <c r="AN125" s="655"/>
      <c r="AO125" s="655"/>
      <c r="AP125" s="655"/>
      <c r="AQ125" s="655"/>
      <c r="AR125" s="655"/>
      <c r="AS125" s="655"/>
      <c r="AT125" s="657"/>
      <c r="AU125" s="657"/>
      <c r="AV125" s="657"/>
      <c r="AW125" s="655"/>
      <c r="AX125" s="911"/>
      <c r="AY125" s="687"/>
      <c r="AZ125" s="800"/>
      <c r="BA125" s="687"/>
      <c r="BB125" s="687"/>
      <c r="BC125" s="655"/>
      <c r="BD125" s="657"/>
      <c r="BE125" s="657"/>
      <c r="BF125" s="657"/>
      <c r="BG125" s="658"/>
    </row>
    <row r="126" ht="12.75" customHeight="1">
      <c r="A126" s="615"/>
      <c r="B126" s="616"/>
      <c r="C126" s="616"/>
      <c r="D126" s="616"/>
      <c r="E126" s="616"/>
      <c r="F126" s="616"/>
      <c r="G126" s="616"/>
      <c r="H126" s="616"/>
      <c r="I126" s="616"/>
      <c r="J126" s="616"/>
      <c r="K126" s="616"/>
      <c r="L126" s="616"/>
      <c r="M126" s="616"/>
      <c r="N126" s="616"/>
      <c r="O126" s="616"/>
      <c r="P126" s="616"/>
      <c r="Q126" s="616"/>
      <c r="R126" s="616"/>
      <c r="S126" s="616"/>
      <c r="T126" s="616"/>
      <c r="U126" s="616"/>
      <c r="V126" s="616"/>
      <c r="W126" s="616"/>
      <c r="X126" s="616"/>
      <c r="Y126" s="616"/>
      <c r="Z126" s="616"/>
      <c r="AA126" s="616"/>
      <c r="AB126" s="616"/>
      <c r="AC126" s="616"/>
      <c r="AD126" s="616"/>
      <c r="AE126" s="616"/>
      <c r="AF126" s="616"/>
      <c r="AG126" s="616"/>
      <c r="AH126" s="616"/>
      <c r="AI126" s="616"/>
      <c r="AJ126" s="616"/>
      <c r="AK126" s="616"/>
      <c r="AL126" s="616"/>
      <c r="AM126" s="616"/>
      <c r="AN126" s="616"/>
      <c r="AO126" s="616"/>
      <c r="AP126" s="616"/>
      <c r="AQ126" s="616"/>
      <c r="AR126" s="616"/>
      <c r="AS126" s="616"/>
      <c r="AT126" s="616"/>
      <c r="AU126" s="616"/>
      <c r="AV126" s="616"/>
      <c r="AW126" s="616"/>
      <c r="AX126" s="616"/>
      <c r="AY126" s="616"/>
      <c r="AZ126" s="616"/>
      <c r="BA126" s="616"/>
      <c r="BB126" s="616"/>
      <c r="BC126" s="616"/>
      <c r="BD126" s="616"/>
      <c r="BE126" s="616"/>
      <c r="BF126" s="616"/>
      <c r="BG126" s="617"/>
    </row>
    <row r="127" ht="12.75" customHeight="1">
      <c r="A127" s="615"/>
      <c r="B127" s="616"/>
      <c r="C127" s="616"/>
      <c r="D127" s="616"/>
      <c r="E127" s="616"/>
      <c r="F127" s="616"/>
      <c r="G127" s="616"/>
      <c r="H127" s="616"/>
      <c r="I127" s="616"/>
      <c r="J127" s="616"/>
      <c r="K127" s="616"/>
      <c r="L127" s="616"/>
      <c r="M127" s="616"/>
      <c r="N127" s="616"/>
      <c r="O127" s="616"/>
      <c r="P127" s="616"/>
      <c r="Q127" s="616"/>
      <c r="R127" s="616"/>
      <c r="S127" s="616"/>
      <c r="T127" s="616"/>
      <c r="U127" s="616"/>
      <c r="V127" s="616"/>
      <c r="W127" s="616"/>
      <c r="X127" s="616"/>
      <c r="Y127" s="616"/>
      <c r="Z127" s="616"/>
      <c r="AA127" s="616"/>
      <c r="AB127" s="616"/>
      <c r="AC127" s="616"/>
      <c r="AD127" s="616"/>
      <c r="AE127" s="616"/>
      <c r="AF127" s="616"/>
      <c r="AG127" s="616"/>
      <c r="AH127" s="616"/>
      <c r="AI127" s="616"/>
      <c r="AJ127" s="616"/>
      <c r="AK127" s="616"/>
      <c r="AL127" s="616"/>
      <c r="AM127" s="616"/>
      <c r="AN127" s="616"/>
      <c r="AO127" s="616"/>
      <c r="AP127" s="616"/>
      <c r="AQ127" s="616"/>
      <c r="AR127" s="616"/>
      <c r="AS127" s="616"/>
      <c r="AT127" s="616"/>
      <c r="AU127" s="616"/>
      <c r="AV127" s="616"/>
      <c r="AW127" s="616"/>
      <c r="AX127" s="616"/>
      <c r="AY127" s="616"/>
      <c r="AZ127" s="616"/>
      <c r="BA127" s="616"/>
      <c r="BB127" s="616"/>
      <c r="BC127" s="616"/>
      <c r="BD127" s="616"/>
      <c r="BE127" s="616"/>
      <c r="BF127" s="616"/>
      <c r="BG127" s="617"/>
    </row>
    <row r="128" ht="12.75" customHeight="1">
      <c r="A128" s="615"/>
      <c r="B128" s="616"/>
      <c r="C128" s="616"/>
      <c r="D128" s="616"/>
      <c r="E128" s="616"/>
      <c r="F128" s="616"/>
      <c r="G128" s="616"/>
      <c r="H128" s="616"/>
      <c r="I128" s="616"/>
      <c r="J128" s="616"/>
      <c r="K128" s="616"/>
      <c r="L128" s="616"/>
      <c r="M128" s="616"/>
      <c r="N128" s="616"/>
      <c r="O128" s="616"/>
      <c r="P128" s="616"/>
      <c r="Q128" s="616"/>
      <c r="R128" s="616"/>
      <c r="S128" s="616"/>
      <c r="T128" s="616"/>
      <c r="U128" s="616"/>
      <c r="V128" s="616"/>
      <c r="W128" s="616"/>
      <c r="X128" s="616"/>
      <c r="Y128" s="616"/>
      <c r="Z128" s="616"/>
      <c r="AA128" s="616"/>
      <c r="AB128" s="616"/>
      <c r="AC128" s="616"/>
      <c r="AD128" s="616"/>
      <c r="AE128" s="616"/>
      <c r="AF128" s="616"/>
      <c r="AG128" s="616"/>
      <c r="AH128" s="616"/>
      <c r="AI128" s="616"/>
      <c r="AJ128" s="616"/>
      <c r="AK128" s="616"/>
      <c r="AL128" s="616"/>
      <c r="AM128" s="616"/>
      <c r="AN128" s="616"/>
      <c r="AO128" s="616"/>
      <c r="AP128" s="616"/>
      <c r="AQ128" s="616"/>
      <c r="AR128" s="616"/>
      <c r="AS128" s="616"/>
      <c r="AT128" s="616"/>
      <c r="AU128" s="616"/>
      <c r="AV128" s="616"/>
      <c r="AW128" s="616"/>
      <c r="AX128" s="616"/>
      <c r="AY128" s="616"/>
      <c r="AZ128" s="616"/>
      <c r="BA128" s="616"/>
      <c r="BB128" s="616"/>
      <c r="BC128" s="616"/>
      <c r="BD128" s="616"/>
      <c r="BE128" s="616"/>
      <c r="BF128" s="616"/>
      <c r="BG128" s="617"/>
    </row>
    <row r="129" ht="12.75" customHeight="1">
      <c r="A129" s="615"/>
      <c r="B129" s="616"/>
      <c r="C129" s="616"/>
      <c r="D129" s="616"/>
      <c r="E129" s="616"/>
      <c r="F129" s="616"/>
      <c r="G129" s="616"/>
      <c r="H129" s="616"/>
      <c r="I129" s="616"/>
      <c r="J129" s="616"/>
      <c r="K129" s="616"/>
      <c r="L129" s="616"/>
      <c r="M129" s="616"/>
      <c r="N129" s="616"/>
      <c r="O129" s="616"/>
      <c r="P129" s="616"/>
      <c r="Q129" s="616"/>
      <c r="R129" s="616"/>
      <c r="S129" s="616"/>
      <c r="T129" s="616"/>
      <c r="U129" s="616"/>
      <c r="V129" s="616"/>
      <c r="W129" s="616"/>
      <c r="X129" s="616"/>
      <c r="Y129" s="616"/>
      <c r="Z129" s="616"/>
      <c r="AA129" s="616"/>
      <c r="AB129" s="616"/>
      <c r="AC129" s="616"/>
      <c r="AD129" s="616"/>
      <c r="AE129" s="616"/>
      <c r="AF129" s="616"/>
      <c r="AG129" s="616"/>
      <c r="AH129" s="616"/>
      <c r="AI129" s="616"/>
      <c r="AJ129" s="616"/>
      <c r="AK129" s="616"/>
      <c r="AL129" s="616"/>
      <c r="AM129" s="616"/>
      <c r="AN129" s="616"/>
      <c r="AO129" s="616"/>
      <c r="AP129" s="616"/>
      <c r="AQ129" s="616"/>
      <c r="AR129" s="616"/>
      <c r="AS129" s="616"/>
      <c r="AT129" s="616"/>
      <c r="AU129" s="616"/>
      <c r="AV129" s="616"/>
      <c r="AW129" s="616"/>
      <c r="AX129" s="616"/>
      <c r="AY129" s="616"/>
      <c r="AZ129" s="616"/>
      <c r="BA129" s="616"/>
      <c r="BB129" s="616"/>
      <c r="BC129" s="616"/>
      <c r="BD129" s="616"/>
      <c r="BE129" s="616"/>
      <c r="BF129" s="616"/>
      <c r="BG129" s="617"/>
    </row>
    <row r="130" ht="12.75" customHeight="1">
      <c r="A130" s="615"/>
      <c r="B130" s="616"/>
      <c r="C130" s="616"/>
      <c r="D130" s="616"/>
      <c r="E130" s="616"/>
      <c r="F130" s="616"/>
      <c r="G130" s="616"/>
      <c r="H130" s="616"/>
      <c r="I130" s="616"/>
      <c r="J130" s="616"/>
      <c r="K130" s="616"/>
      <c r="L130" s="616"/>
      <c r="M130" s="616"/>
      <c r="N130" s="616"/>
      <c r="O130" s="616"/>
      <c r="P130" s="616"/>
      <c r="Q130" s="616"/>
      <c r="R130" s="616"/>
      <c r="S130" s="616"/>
      <c r="T130" s="616"/>
      <c r="U130" s="616"/>
      <c r="V130" s="616"/>
      <c r="W130" s="616"/>
      <c r="X130" s="616"/>
      <c r="Y130" s="616"/>
      <c r="Z130" s="616"/>
      <c r="AA130" s="616"/>
      <c r="AB130" s="616"/>
      <c r="AC130" s="616"/>
      <c r="AD130" s="616"/>
      <c r="AE130" s="616"/>
      <c r="AF130" s="616"/>
      <c r="AG130" s="616"/>
      <c r="AH130" s="616"/>
      <c r="AI130" s="616"/>
      <c r="AJ130" s="616"/>
      <c r="AK130" s="616"/>
      <c r="AL130" s="616"/>
      <c r="AM130" s="616"/>
      <c r="AN130" s="616"/>
      <c r="AO130" s="616"/>
      <c r="AP130" s="616"/>
      <c r="AQ130" s="616"/>
      <c r="AR130" s="616"/>
      <c r="AS130" s="616"/>
      <c r="AT130" s="616"/>
      <c r="AU130" s="616"/>
      <c r="AV130" s="616"/>
      <c r="AW130" s="616"/>
      <c r="AX130" s="616"/>
      <c r="AY130" s="616"/>
      <c r="AZ130" s="616"/>
      <c r="BA130" s="616"/>
      <c r="BB130" s="616"/>
      <c r="BC130" s="616"/>
      <c r="BD130" s="616"/>
      <c r="BE130" s="616"/>
      <c r="BF130" s="616"/>
      <c r="BG130" s="617"/>
    </row>
    <row r="131" ht="12.75" customHeight="1">
      <c r="A131" s="615"/>
      <c r="B131" s="616"/>
      <c r="C131" s="616"/>
      <c r="D131" s="616"/>
      <c r="E131" s="616"/>
      <c r="F131" s="616"/>
      <c r="G131" s="616"/>
      <c r="H131" s="616"/>
      <c r="I131" s="616"/>
      <c r="J131" s="616"/>
      <c r="K131" s="616"/>
      <c r="L131" s="616"/>
      <c r="M131" s="616"/>
      <c r="N131" s="616"/>
      <c r="O131" s="616"/>
      <c r="P131" s="616"/>
      <c r="Q131" s="616"/>
      <c r="R131" s="616"/>
      <c r="S131" s="616"/>
      <c r="T131" s="616"/>
      <c r="U131" s="616"/>
      <c r="V131" s="616"/>
      <c r="W131" s="616"/>
      <c r="X131" s="616"/>
      <c r="Y131" s="616"/>
      <c r="Z131" s="616"/>
      <c r="AA131" s="616"/>
      <c r="AB131" s="616"/>
      <c r="AC131" s="616"/>
      <c r="AD131" s="616"/>
      <c r="AE131" s="616"/>
      <c r="AF131" s="616"/>
      <c r="AG131" s="616"/>
      <c r="AH131" s="616"/>
      <c r="AI131" s="616"/>
      <c r="AJ131" s="616"/>
      <c r="AK131" s="616"/>
      <c r="AL131" s="616"/>
      <c r="AM131" s="616"/>
      <c r="AN131" s="616"/>
      <c r="AO131" s="616"/>
      <c r="AP131" s="616"/>
      <c r="AQ131" s="616"/>
      <c r="AR131" s="616"/>
      <c r="AS131" s="616"/>
      <c r="AT131" s="616"/>
      <c r="AU131" s="616"/>
      <c r="AV131" s="616"/>
      <c r="AW131" s="616"/>
      <c r="AX131" s="616"/>
      <c r="AY131" s="616"/>
      <c r="AZ131" s="616"/>
      <c r="BA131" s="616"/>
      <c r="BB131" s="616"/>
      <c r="BC131" s="616"/>
      <c r="BD131" s="616"/>
      <c r="BE131" s="616"/>
      <c r="BF131" s="616"/>
      <c r="BG131" s="617"/>
    </row>
    <row r="132" ht="12.75" customHeight="1">
      <c r="A132" s="615"/>
      <c r="B132" s="616"/>
      <c r="C132" s="616"/>
      <c r="D132" s="616"/>
      <c r="E132" s="616"/>
      <c r="F132" s="616"/>
      <c r="G132" s="616"/>
      <c r="H132" s="616"/>
      <c r="I132" s="616"/>
      <c r="J132" s="616"/>
      <c r="K132" s="616"/>
      <c r="L132" s="616"/>
      <c r="M132" s="616"/>
      <c r="N132" s="616"/>
      <c r="O132" s="616"/>
      <c r="P132" s="616"/>
      <c r="Q132" s="616"/>
      <c r="R132" s="616"/>
      <c r="S132" s="616"/>
      <c r="T132" s="616"/>
      <c r="U132" s="616"/>
      <c r="V132" s="616"/>
      <c r="W132" s="616"/>
      <c r="X132" s="616"/>
      <c r="Y132" s="616"/>
      <c r="Z132" s="616"/>
      <c r="AA132" s="616"/>
      <c r="AB132" s="616"/>
      <c r="AC132" s="616"/>
      <c r="AD132" s="616"/>
      <c r="AE132" s="616"/>
      <c r="AF132" s="616"/>
      <c r="AG132" s="616"/>
      <c r="AH132" s="616"/>
      <c r="AI132" s="616"/>
      <c r="AJ132" s="616"/>
      <c r="AK132" s="616"/>
      <c r="AL132" s="616"/>
      <c r="AM132" s="616"/>
      <c r="AN132" s="616"/>
      <c r="AO132" s="616"/>
      <c r="AP132" s="616"/>
      <c r="AQ132" s="616"/>
      <c r="AR132" s="616"/>
      <c r="AS132" s="616"/>
      <c r="AT132" s="616"/>
      <c r="AU132" s="616"/>
      <c r="AV132" s="616"/>
      <c r="AW132" s="616"/>
      <c r="AX132" s="616"/>
      <c r="AY132" s="616"/>
      <c r="AZ132" s="616"/>
      <c r="BA132" s="616"/>
      <c r="BB132" s="616"/>
      <c r="BC132" s="616"/>
      <c r="BD132" s="616"/>
      <c r="BE132" s="616"/>
      <c r="BF132" s="616"/>
      <c r="BG132" s="617"/>
    </row>
    <row r="133" ht="12.75" customHeight="1">
      <c r="A133" s="615"/>
      <c r="B133" s="616"/>
      <c r="C133" s="616"/>
      <c r="D133" s="616"/>
      <c r="E133" s="616"/>
      <c r="F133" s="616"/>
      <c r="G133" s="616"/>
      <c r="H133" s="616"/>
      <c r="I133" s="616"/>
      <c r="J133" s="616"/>
      <c r="K133" s="616"/>
      <c r="L133" s="616"/>
      <c r="M133" s="616"/>
      <c r="N133" s="616"/>
      <c r="O133" s="616"/>
      <c r="P133" s="616"/>
      <c r="Q133" s="616"/>
      <c r="R133" s="616"/>
      <c r="S133" s="616"/>
      <c r="T133" s="616"/>
      <c r="U133" s="616"/>
      <c r="V133" s="616"/>
      <c r="W133" s="616"/>
      <c r="X133" s="616"/>
      <c r="Y133" s="616"/>
      <c r="Z133" s="616"/>
      <c r="AA133" s="616"/>
      <c r="AB133" s="616"/>
      <c r="AC133" s="616"/>
      <c r="AD133" s="616"/>
      <c r="AE133" s="616"/>
      <c r="AF133" s="616"/>
      <c r="AG133" s="616"/>
      <c r="AH133" s="616"/>
      <c r="AI133" s="616"/>
      <c r="AJ133" s="616"/>
      <c r="AK133" s="616"/>
      <c r="AL133" s="616"/>
      <c r="AM133" s="616"/>
      <c r="AN133" s="616"/>
      <c r="AO133" s="616"/>
      <c r="AP133" s="616"/>
      <c r="AQ133" s="616"/>
      <c r="AR133" s="616"/>
      <c r="AS133" s="616"/>
      <c r="AT133" s="616"/>
      <c r="AU133" s="616"/>
      <c r="AV133" s="616"/>
      <c r="AW133" s="616"/>
      <c r="AX133" s="616"/>
      <c r="AY133" s="616"/>
      <c r="AZ133" s="616"/>
      <c r="BA133" s="616"/>
      <c r="BB133" s="616"/>
      <c r="BC133" s="616"/>
      <c r="BD133" s="616"/>
      <c r="BE133" s="616"/>
      <c r="BF133" s="616"/>
      <c r="BG133" s="617"/>
    </row>
    <row r="134" ht="12.75" customHeight="1">
      <c r="A134" s="615"/>
      <c r="B134" s="616"/>
      <c r="C134" s="616"/>
      <c r="D134" s="616"/>
      <c r="E134" s="616"/>
      <c r="F134" s="616"/>
      <c r="G134" s="616"/>
      <c r="H134" s="616"/>
      <c r="I134" s="616"/>
      <c r="J134" s="616"/>
      <c r="K134" s="616"/>
      <c r="L134" s="616"/>
      <c r="M134" s="616"/>
      <c r="N134" s="616"/>
      <c r="O134" s="616"/>
      <c r="P134" s="616"/>
      <c r="Q134" s="616"/>
      <c r="R134" s="616"/>
      <c r="S134" s="616"/>
      <c r="T134" s="616"/>
      <c r="U134" s="616"/>
      <c r="V134" s="616"/>
      <c r="W134" s="616"/>
      <c r="X134" s="616"/>
      <c r="Y134" s="616"/>
      <c r="Z134" s="616"/>
      <c r="AA134" s="616"/>
      <c r="AB134" s="616"/>
      <c r="AC134" s="616"/>
      <c r="AD134" s="616"/>
      <c r="AE134" s="616"/>
      <c r="AF134" s="616"/>
      <c r="AG134" s="616"/>
      <c r="AH134" s="616"/>
      <c r="AI134" s="616"/>
      <c r="AJ134" s="616"/>
      <c r="AK134" s="616"/>
      <c r="AL134" s="616"/>
      <c r="AM134" s="616"/>
      <c r="AN134" s="616"/>
      <c r="AO134" s="616"/>
      <c r="AP134" s="616"/>
      <c r="AQ134" s="616"/>
      <c r="AR134" s="616"/>
      <c r="AS134" s="616"/>
      <c r="AT134" s="616"/>
      <c r="AU134" s="616"/>
      <c r="AV134" s="616"/>
      <c r="AW134" s="616"/>
      <c r="AX134" s="616"/>
      <c r="AY134" s="616"/>
      <c r="AZ134" s="616"/>
      <c r="BA134" s="616"/>
      <c r="BB134" s="616"/>
      <c r="BC134" s="616"/>
      <c r="BD134" s="616"/>
      <c r="BE134" s="616"/>
      <c r="BF134" s="616"/>
      <c r="BG134" s="617"/>
    </row>
    <row r="135" ht="14.25" customHeight="1">
      <c r="A135" s="615"/>
      <c r="B135" s="912"/>
      <c r="C135" s="616"/>
      <c r="D135" s="616"/>
      <c r="E135" s="616"/>
      <c r="F135" s="616"/>
      <c r="G135" s="616"/>
      <c r="H135" s="616"/>
      <c r="I135" s="616"/>
      <c r="J135" s="616"/>
      <c r="K135" s="616"/>
      <c r="L135" s="616"/>
      <c r="M135" s="616"/>
      <c r="N135" s="616"/>
      <c r="O135" s="616"/>
      <c r="P135" s="616"/>
      <c r="Q135" s="616"/>
      <c r="R135" s="616"/>
      <c r="S135" s="616"/>
      <c r="T135" s="616"/>
      <c r="U135" s="616"/>
      <c r="V135" s="616"/>
      <c r="W135" s="616"/>
      <c r="X135" s="616"/>
      <c r="Y135" s="616"/>
      <c r="Z135" s="616"/>
      <c r="AA135" s="616"/>
      <c r="AB135" s="616"/>
      <c r="AC135" s="616"/>
      <c r="AD135" s="616"/>
      <c r="AE135" s="616"/>
      <c r="AF135" s="616"/>
      <c r="AG135" s="616"/>
      <c r="AH135" s="616"/>
      <c r="AI135" s="616"/>
      <c r="AJ135" s="616"/>
      <c r="AK135" s="616"/>
      <c r="AL135" s="616"/>
      <c r="AM135" s="616"/>
      <c r="AN135" s="616"/>
      <c r="AO135" s="616"/>
      <c r="AP135" s="616"/>
      <c r="AQ135" s="616"/>
      <c r="AR135" s="616"/>
      <c r="AS135" s="616"/>
      <c r="AT135" s="616"/>
      <c r="AU135" s="616"/>
      <c r="AV135" s="616"/>
      <c r="AW135" s="616"/>
      <c r="AX135" s="616"/>
      <c r="AY135" s="616"/>
      <c r="AZ135" s="616"/>
      <c r="BA135" s="616"/>
      <c r="BB135" s="616"/>
      <c r="BC135" s="616"/>
      <c r="BD135" s="616"/>
      <c r="BE135" s="616"/>
      <c r="BF135" s="616"/>
      <c r="BG135" s="617"/>
    </row>
    <row r="136" ht="12.75" customHeight="1">
      <c r="A136" s="615"/>
      <c r="B136" s="616"/>
      <c r="C136" s="616"/>
      <c r="D136" s="616"/>
      <c r="E136" s="616"/>
      <c r="F136" s="616"/>
      <c r="G136" s="616"/>
      <c r="H136" s="616"/>
      <c r="I136" s="616"/>
      <c r="J136" s="616"/>
      <c r="K136" s="616"/>
      <c r="L136" s="616"/>
      <c r="M136" s="616"/>
      <c r="N136" s="616"/>
      <c r="O136" s="616"/>
      <c r="P136" s="616"/>
      <c r="Q136" s="616"/>
      <c r="R136" s="616"/>
      <c r="S136" s="616"/>
      <c r="T136" s="616"/>
      <c r="U136" s="616"/>
      <c r="V136" s="616"/>
      <c r="W136" s="616"/>
      <c r="X136" s="616"/>
      <c r="Y136" s="616"/>
      <c r="Z136" s="616"/>
      <c r="AA136" s="616"/>
      <c r="AB136" s="616"/>
      <c r="AC136" s="616"/>
      <c r="AD136" s="616"/>
      <c r="AE136" s="616"/>
      <c r="AF136" s="616"/>
      <c r="AG136" s="616"/>
      <c r="AH136" s="616"/>
      <c r="AI136" s="616"/>
      <c r="AJ136" s="616"/>
      <c r="AK136" s="616"/>
      <c r="AL136" s="616"/>
      <c r="AM136" s="616"/>
      <c r="AN136" s="616"/>
      <c r="AO136" s="616"/>
      <c r="AP136" s="616"/>
      <c r="AQ136" s="616"/>
      <c r="AR136" s="616"/>
      <c r="AS136" s="616"/>
      <c r="AT136" s="616"/>
      <c r="AU136" s="616"/>
      <c r="AV136" s="616"/>
      <c r="AW136" s="616"/>
      <c r="AX136" s="616"/>
      <c r="AY136" s="616"/>
      <c r="AZ136" s="616"/>
      <c r="BA136" s="616"/>
      <c r="BB136" s="616"/>
      <c r="BC136" s="616"/>
      <c r="BD136" s="616"/>
      <c r="BE136" s="616"/>
      <c r="BF136" s="616"/>
      <c r="BG136" s="617"/>
    </row>
    <row r="137" ht="12.75" customHeight="1">
      <c r="A137" s="615"/>
      <c r="B137" s="616"/>
      <c r="C137" s="616"/>
      <c r="D137" s="616"/>
      <c r="E137" s="616"/>
      <c r="F137" s="616"/>
      <c r="G137" s="616"/>
      <c r="H137" s="616"/>
      <c r="I137" s="616"/>
      <c r="J137" s="616"/>
      <c r="K137" s="616"/>
      <c r="L137" s="616"/>
      <c r="M137" s="616"/>
      <c r="N137" s="616"/>
      <c r="O137" s="616"/>
      <c r="P137" s="616"/>
      <c r="Q137" s="616"/>
      <c r="R137" s="616"/>
      <c r="S137" s="616"/>
      <c r="T137" s="616"/>
      <c r="U137" s="616"/>
      <c r="V137" s="616"/>
      <c r="W137" s="616"/>
      <c r="X137" s="616"/>
      <c r="Y137" s="616"/>
      <c r="Z137" s="616"/>
      <c r="AA137" s="616"/>
      <c r="AB137" s="616"/>
      <c r="AC137" s="616"/>
      <c r="AD137" s="616"/>
      <c r="AE137" s="616"/>
      <c r="AF137" s="616"/>
      <c r="AG137" s="616"/>
      <c r="AH137" s="616"/>
      <c r="AI137" s="616"/>
      <c r="AJ137" s="616"/>
      <c r="AK137" s="616"/>
      <c r="AL137" s="616"/>
      <c r="AM137" s="616"/>
      <c r="AN137" s="616"/>
      <c r="AO137" s="616"/>
      <c r="AP137" s="616"/>
      <c r="AQ137" s="616"/>
      <c r="AR137" s="616"/>
      <c r="AS137" s="616"/>
      <c r="AT137" s="616"/>
      <c r="AU137" s="616"/>
      <c r="AV137" s="616"/>
      <c r="AW137" s="616"/>
      <c r="AX137" s="616"/>
      <c r="AY137" s="616"/>
      <c r="AZ137" s="616"/>
      <c r="BA137" s="616"/>
      <c r="BB137" s="616"/>
      <c r="BC137" s="616"/>
      <c r="BD137" s="616"/>
      <c r="BE137" s="616"/>
      <c r="BF137" s="616"/>
      <c r="BG137" s="617"/>
    </row>
    <row r="138" ht="12.75" customHeight="1">
      <c r="A138" s="615"/>
      <c r="B138" s="616"/>
      <c r="C138" s="616"/>
      <c r="D138" s="616"/>
      <c r="E138" s="616"/>
      <c r="F138" s="616"/>
      <c r="G138" s="616"/>
      <c r="H138" s="616"/>
      <c r="I138" s="616"/>
      <c r="J138" s="616"/>
      <c r="K138" s="616"/>
      <c r="L138" s="616"/>
      <c r="M138" s="616"/>
      <c r="N138" s="616"/>
      <c r="O138" s="616"/>
      <c r="P138" s="616"/>
      <c r="Q138" s="616"/>
      <c r="R138" s="616"/>
      <c r="S138" s="616"/>
      <c r="T138" s="616"/>
      <c r="U138" s="616"/>
      <c r="V138" s="616"/>
      <c r="W138" s="616"/>
      <c r="X138" s="616"/>
      <c r="Y138" s="616"/>
      <c r="Z138" s="616"/>
      <c r="AA138" s="616"/>
      <c r="AB138" s="616"/>
      <c r="AC138" s="616"/>
      <c r="AD138" s="616"/>
      <c r="AE138" s="616"/>
      <c r="AF138" s="616"/>
      <c r="AG138" s="616"/>
      <c r="AH138" s="616"/>
      <c r="AI138" s="616"/>
      <c r="AJ138" s="616"/>
      <c r="AK138" s="616"/>
      <c r="AL138" s="616"/>
      <c r="AM138" s="616"/>
      <c r="AN138" s="616"/>
      <c r="AO138" s="616"/>
      <c r="AP138" s="616"/>
      <c r="AQ138" s="616"/>
      <c r="AR138" s="616"/>
      <c r="AS138" s="616"/>
      <c r="AT138" s="616"/>
      <c r="AU138" s="616"/>
      <c r="AV138" s="616"/>
      <c r="AW138" s="616"/>
      <c r="AX138" s="616"/>
      <c r="AY138" s="616"/>
      <c r="AZ138" s="616"/>
      <c r="BA138" s="616"/>
      <c r="BB138" s="616"/>
      <c r="BC138" s="616"/>
      <c r="BD138" s="616"/>
      <c r="BE138" s="616"/>
      <c r="BF138" s="616"/>
      <c r="BG138" s="617"/>
    </row>
    <row r="139" ht="12.75" customHeight="1">
      <c r="A139" s="615"/>
      <c r="B139" s="616"/>
      <c r="C139" s="616"/>
      <c r="D139" s="616"/>
      <c r="E139" s="616"/>
      <c r="F139" s="616"/>
      <c r="G139" s="616"/>
      <c r="H139" s="616"/>
      <c r="I139" s="616"/>
      <c r="J139" s="616"/>
      <c r="K139" s="616"/>
      <c r="L139" s="616"/>
      <c r="M139" s="616"/>
      <c r="N139" s="616"/>
      <c r="O139" s="616"/>
      <c r="P139" s="616"/>
      <c r="Q139" s="616"/>
      <c r="R139" s="616"/>
      <c r="S139" s="616"/>
      <c r="T139" s="616"/>
      <c r="U139" s="616"/>
      <c r="V139" s="616"/>
      <c r="W139" s="616"/>
      <c r="X139" s="616"/>
      <c r="Y139" s="616"/>
      <c r="Z139" s="616"/>
      <c r="AA139" s="616"/>
      <c r="AB139" s="616"/>
      <c r="AC139" s="616"/>
      <c r="AD139" s="616"/>
      <c r="AE139" s="616"/>
      <c r="AF139" s="616"/>
      <c r="AG139" s="616"/>
      <c r="AH139" s="616"/>
      <c r="AI139" s="616"/>
      <c r="AJ139" s="616"/>
      <c r="AK139" s="616"/>
      <c r="AL139" s="616"/>
      <c r="AM139" s="616"/>
      <c r="AN139" s="616"/>
      <c r="AO139" s="616"/>
      <c r="AP139" s="616"/>
      <c r="AQ139" s="616"/>
      <c r="AR139" s="616"/>
      <c r="AS139" s="616"/>
      <c r="AT139" s="616"/>
      <c r="AU139" s="616"/>
      <c r="AV139" s="616"/>
      <c r="AW139" s="616"/>
      <c r="AX139" s="616"/>
      <c r="AY139" s="616"/>
      <c r="AZ139" s="616"/>
      <c r="BA139" s="616"/>
      <c r="BB139" s="616"/>
      <c r="BC139" s="616"/>
      <c r="BD139" s="616"/>
      <c r="BE139" s="616"/>
      <c r="BF139" s="616"/>
      <c r="BG139" s="617"/>
    </row>
    <row r="140" ht="12.75" customHeight="1">
      <c r="A140" s="615"/>
      <c r="B140" s="616"/>
      <c r="C140" s="616"/>
      <c r="D140" s="616"/>
      <c r="E140" s="616"/>
      <c r="F140" s="616"/>
      <c r="G140" s="616"/>
      <c r="H140" s="616"/>
      <c r="I140" s="616"/>
      <c r="J140" s="616"/>
      <c r="K140" s="616"/>
      <c r="L140" s="616"/>
      <c r="M140" s="616"/>
      <c r="N140" s="616"/>
      <c r="O140" s="616"/>
      <c r="P140" s="616"/>
      <c r="Q140" s="616"/>
      <c r="R140" s="616"/>
      <c r="S140" s="616"/>
      <c r="T140" s="616"/>
      <c r="U140" s="616"/>
      <c r="V140" s="616"/>
      <c r="W140" s="616"/>
      <c r="X140" s="616"/>
      <c r="Y140" s="616"/>
      <c r="Z140" s="616"/>
      <c r="AA140" s="616"/>
      <c r="AB140" s="616"/>
      <c r="AC140" s="616"/>
      <c r="AD140" s="616"/>
      <c r="AE140" s="616"/>
      <c r="AF140" s="616"/>
      <c r="AG140" s="616"/>
      <c r="AH140" s="616"/>
      <c r="AI140" s="616"/>
      <c r="AJ140" s="616"/>
      <c r="AK140" s="616"/>
      <c r="AL140" s="616"/>
      <c r="AM140" s="616"/>
      <c r="AN140" s="616"/>
      <c r="AO140" s="616"/>
      <c r="AP140" s="616"/>
      <c r="AQ140" s="616"/>
      <c r="AR140" s="616"/>
      <c r="AS140" s="616"/>
      <c r="AT140" s="616"/>
      <c r="AU140" s="616"/>
      <c r="AV140" s="616"/>
      <c r="AW140" s="616"/>
      <c r="AX140" s="616"/>
      <c r="AY140" s="616"/>
      <c r="AZ140" s="616"/>
      <c r="BA140" s="616"/>
      <c r="BB140" s="616"/>
      <c r="BC140" s="616"/>
      <c r="BD140" s="616"/>
      <c r="BE140" s="616"/>
      <c r="BF140" s="616"/>
      <c r="BG140" s="617"/>
    </row>
    <row r="141" ht="12.75" customHeight="1">
      <c r="A141" s="615"/>
      <c r="B141" s="616"/>
      <c r="C141" s="616"/>
      <c r="D141" s="616"/>
      <c r="E141" s="616"/>
      <c r="F141" s="616"/>
      <c r="G141" s="616"/>
      <c r="H141" s="616"/>
      <c r="I141" s="616"/>
      <c r="J141" s="616"/>
      <c r="K141" s="616"/>
      <c r="L141" s="616"/>
      <c r="M141" s="616"/>
      <c r="N141" s="616"/>
      <c r="O141" s="616"/>
      <c r="P141" s="616"/>
      <c r="Q141" s="616"/>
      <c r="R141" s="616"/>
      <c r="S141" s="616"/>
      <c r="T141" s="616"/>
      <c r="U141" s="616"/>
      <c r="V141" s="616"/>
      <c r="W141" s="616"/>
      <c r="X141" s="616"/>
      <c r="Y141" s="616"/>
      <c r="Z141" s="616"/>
      <c r="AA141" s="616"/>
      <c r="AB141" s="616"/>
      <c r="AC141" s="616"/>
      <c r="AD141" s="616"/>
      <c r="AE141" s="616"/>
      <c r="AF141" s="616"/>
      <c r="AG141" s="616"/>
      <c r="AH141" s="616"/>
      <c r="AI141" s="616"/>
      <c r="AJ141" s="616"/>
      <c r="AK141" s="616"/>
      <c r="AL141" s="616"/>
      <c r="AM141" s="616"/>
      <c r="AN141" s="616"/>
      <c r="AO141" s="616"/>
      <c r="AP141" s="616"/>
      <c r="AQ141" s="616"/>
      <c r="AR141" s="616"/>
      <c r="AS141" s="616"/>
      <c r="AT141" s="616"/>
      <c r="AU141" s="616"/>
      <c r="AV141" s="616"/>
      <c r="AW141" s="616"/>
      <c r="AX141" s="616"/>
      <c r="AY141" s="616"/>
      <c r="AZ141" s="616"/>
      <c r="BA141" s="616"/>
      <c r="BB141" s="616"/>
      <c r="BC141" s="616"/>
      <c r="BD141" s="616"/>
      <c r="BE141" s="616"/>
      <c r="BF141" s="616"/>
      <c r="BG141" s="617"/>
    </row>
    <row r="142" ht="12.75" customHeight="1">
      <c r="A142" s="615"/>
      <c r="B142" s="616"/>
      <c r="C142" s="616"/>
      <c r="D142" s="616"/>
      <c r="E142" s="616"/>
      <c r="F142" s="616"/>
      <c r="G142" s="616"/>
      <c r="H142" s="616"/>
      <c r="I142" s="616"/>
      <c r="J142" s="616"/>
      <c r="K142" s="616"/>
      <c r="L142" s="616"/>
      <c r="M142" s="616"/>
      <c r="N142" s="616"/>
      <c r="O142" s="616"/>
      <c r="P142" s="616"/>
      <c r="Q142" s="616"/>
      <c r="R142" s="616"/>
      <c r="S142" s="616"/>
      <c r="T142" s="616"/>
      <c r="U142" s="616"/>
      <c r="V142" s="616"/>
      <c r="W142" s="616"/>
      <c r="X142" s="616"/>
      <c r="Y142" s="616"/>
      <c r="Z142" s="616"/>
      <c r="AA142" s="616"/>
      <c r="AB142" s="616"/>
      <c r="AC142" s="616"/>
      <c r="AD142" s="616"/>
      <c r="AE142" s="616"/>
      <c r="AF142" s="616"/>
      <c r="AG142" s="616"/>
      <c r="AH142" s="616"/>
      <c r="AI142" s="616"/>
      <c r="AJ142" s="616"/>
      <c r="AK142" s="616"/>
      <c r="AL142" s="616"/>
      <c r="AM142" s="616"/>
      <c r="AN142" s="616"/>
      <c r="AO142" s="616"/>
      <c r="AP142" s="616"/>
      <c r="AQ142" s="616"/>
      <c r="AR142" s="616"/>
      <c r="AS142" s="616"/>
      <c r="AT142" s="616"/>
      <c r="AU142" s="616"/>
      <c r="AV142" s="616"/>
      <c r="AW142" s="616"/>
      <c r="AX142" s="616"/>
      <c r="AY142" s="616"/>
      <c r="AZ142" s="616"/>
      <c r="BA142" s="616"/>
      <c r="BB142" s="616"/>
      <c r="BC142" s="616"/>
      <c r="BD142" s="616"/>
      <c r="BE142" s="616"/>
      <c r="BF142" s="616"/>
      <c r="BG142" s="617"/>
    </row>
    <row r="143" ht="12.75" customHeight="1">
      <c r="A143" s="615"/>
      <c r="B143" s="616"/>
      <c r="C143" s="616"/>
      <c r="D143" s="616"/>
      <c r="E143" s="616"/>
      <c r="F143" s="616"/>
      <c r="G143" s="616"/>
      <c r="H143" s="616"/>
      <c r="I143" s="616"/>
      <c r="J143" s="616"/>
      <c r="K143" s="616"/>
      <c r="L143" s="616"/>
      <c r="M143" s="616"/>
      <c r="N143" s="616"/>
      <c r="O143" s="616"/>
      <c r="P143" s="616"/>
      <c r="Q143" s="616"/>
      <c r="R143" s="616"/>
      <c r="S143" s="616"/>
      <c r="T143" s="616"/>
      <c r="U143" s="616"/>
      <c r="V143" s="616"/>
      <c r="W143" s="616"/>
      <c r="X143" s="616"/>
      <c r="Y143" s="616"/>
      <c r="Z143" s="616"/>
      <c r="AA143" s="616"/>
      <c r="AB143" s="616"/>
      <c r="AC143" s="616"/>
      <c r="AD143" s="616"/>
      <c r="AE143" s="616"/>
      <c r="AF143" s="616"/>
      <c r="AG143" s="616"/>
      <c r="AH143" s="616"/>
      <c r="AI143" s="616"/>
      <c r="AJ143" s="616"/>
      <c r="AK143" s="616"/>
      <c r="AL143" s="616"/>
      <c r="AM143" s="616"/>
      <c r="AN143" s="616"/>
      <c r="AO143" s="616"/>
      <c r="AP143" s="616"/>
      <c r="AQ143" s="616"/>
      <c r="AR143" s="616"/>
      <c r="AS143" s="616"/>
      <c r="AT143" s="616"/>
      <c r="AU143" s="616"/>
      <c r="AV143" s="616"/>
      <c r="AW143" s="616"/>
      <c r="AX143" s="616"/>
      <c r="AY143" s="616"/>
      <c r="AZ143" s="616"/>
      <c r="BA143" s="616"/>
      <c r="BB143" s="616"/>
      <c r="BC143" s="616"/>
      <c r="BD143" s="616"/>
      <c r="BE143" s="616"/>
      <c r="BF143" s="616"/>
      <c r="BG143" s="617"/>
    </row>
    <row r="144" ht="12.75" customHeight="1">
      <c r="A144" s="615"/>
      <c r="B144" s="616"/>
      <c r="C144" s="616"/>
      <c r="D144" s="616"/>
      <c r="E144" s="616"/>
      <c r="F144" s="616"/>
      <c r="G144" s="616"/>
      <c r="H144" s="616"/>
      <c r="I144" s="616"/>
      <c r="J144" s="616"/>
      <c r="K144" s="616"/>
      <c r="L144" s="616"/>
      <c r="M144" s="616"/>
      <c r="N144" s="616"/>
      <c r="O144" s="616"/>
      <c r="P144" s="616"/>
      <c r="Q144" s="616"/>
      <c r="R144" s="616"/>
      <c r="S144" s="616"/>
      <c r="T144" s="616"/>
      <c r="U144" s="616"/>
      <c r="V144" s="616"/>
      <c r="W144" s="616"/>
      <c r="X144" s="616"/>
      <c r="Y144" s="616"/>
      <c r="Z144" s="616"/>
      <c r="AA144" s="616"/>
      <c r="AB144" s="616"/>
      <c r="AC144" s="616"/>
      <c r="AD144" s="616"/>
      <c r="AE144" s="616"/>
      <c r="AF144" s="616"/>
      <c r="AG144" s="616"/>
      <c r="AH144" s="616"/>
      <c r="AI144" s="616"/>
      <c r="AJ144" s="616"/>
      <c r="AK144" s="616"/>
      <c r="AL144" s="616"/>
      <c r="AM144" s="616"/>
      <c r="AN144" s="616"/>
      <c r="AO144" s="616"/>
      <c r="AP144" s="616"/>
      <c r="AQ144" s="616"/>
      <c r="AR144" s="616"/>
      <c r="AS144" s="616"/>
      <c r="AT144" s="616"/>
      <c r="AU144" s="616"/>
      <c r="AV144" s="616"/>
      <c r="AW144" s="616"/>
      <c r="AX144" s="616"/>
      <c r="AY144" s="616"/>
      <c r="AZ144" s="616"/>
      <c r="BA144" s="616"/>
      <c r="BB144" s="616"/>
      <c r="BC144" s="616"/>
      <c r="BD144" s="616"/>
      <c r="BE144" s="616"/>
      <c r="BF144" s="616"/>
      <c r="BG144" s="617"/>
    </row>
    <row r="145" ht="12.75" customHeight="1">
      <c r="A145" s="615"/>
      <c r="B145" s="616"/>
      <c r="C145" s="616"/>
      <c r="D145" s="616"/>
      <c r="E145" s="616"/>
      <c r="F145" s="616"/>
      <c r="G145" s="616"/>
      <c r="H145" s="616"/>
      <c r="I145" s="616"/>
      <c r="J145" s="616"/>
      <c r="K145" s="616"/>
      <c r="L145" s="616"/>
      <c r="M145" s="616"/>
      <c r="N145" s="616"/>
      <c r="O145" s="616"/>
      <c r="P145" s="616"/>
      <c r="Q145" s="616"/>
      <c r="R145" s="616"/>
      <c r="S145" s="616"/>
      <c r="T145" s="616"/>
      <c r="U145" s="616"/>
      <c r="V145" s="616"/>
      <c r="W145" s="616"/>
      <c r="X145" s="616"/>
      <c r="Y145" s="616"/>
      <c r="Z145" s="616"/>
      <c r="AA145" s="616"/>
      <c r="AB145" s="616"/>
      <c r="AC145" s="616"/>
      <c r="AD145" s="616"/>
      <c r="AE145" s="616"/>
      <c r="AF145" s="616"/>
      <c r="AG145" s="616"/>
      <c r="AH145" s="616"/>
      <c r="AI145" s="616"/>
      <c r="AJ145" s="616"/>
      <c r="AK145" s="616"/>
      <c r="AL145" s="616"/>
      <c r="AM145" s="616"/>
      <c r="AN145" s="616"/>
      <c r="AO145" s="616"/>
      <c r="AP145" s="616"/>
      <c r="AQ145" s="616"/>
      <c r="AR145" s="616"/>
      <c r="AS145" s="616"/>
      <c r="AT145" s="616"/>
      <c r="AU145" s="616"/>
      <c r="AV145" s="616"/>
      <c r="AW145" s="616"/>
      <c r="AX145" s="616"/>
      <c r="AY145" s="616"/>
      <c r="AZ145" s="616"/>
      <c r="BA145" s="616"/>
      <c r="BB145" s="616"/>
      <c r="BC145" s="616"/>
      <c r="BD145" s="616"/>
      <c r="BE145" s="616"/>
      <c r="BF145" s="616"/>
      <c r="BG145" s="617"/>
    </row>
    <row r="146" ht="12.75" customHeight="1">
      <c r="A146" s="615"/>
      <c r="B146" s="616"/>
      <c r="C146" s="616"/>
      <c r="D146" s="616"/>
      <c r="E146" s="616"/>
      <c r="F146" s="616"/>
      <c r="G146" s="616"/>
      <c r="H146" s="616"/>
      <c r="I146" s="616"/>
      <c r="J146" s="616"/>
      <c r="K146" s="616"/>
      <c r="L146" s="616"/>
      <c r="M146" s="616"/>
      <c r="N146" s="616"/>
      <c r="O146" s="616"/>
      <c r="P146" s="616"/>
      <c r="Q146" s="616"/>
      <c r="R146" s="616"/>
      <c r="S146" s="616"/>
      <c r="T146" s="616"/>
      <c r="U146" s="616"/>
      <c r="V146" s="616"/>
      <c r="W146" s="616"/>
      <c r="X146" s="616"/>
      <c r="Y146" s="616"/>
      <c r="Z146" s="616"/>
      <c r="AA146" s="616"/>
      <c r="AB146" s="616"/>
      <c r="AC146" s="616"/>
      <c r="AD146" s="616"/>
      <c r="AE146" s="616"/>
      <c r="AF146" s="616"/>
      <c r="AG146" s="616"/>
      <c r="AH146" s="616"/>
      <c r="AI146" s="616"/>
      <c r="AJ146" s="616"/>
      <c r="AK146" s="616"/>
      <c r="AL146" s="616"/>
      <c r="AM146" s="616"/>
      <c r="AN146" s="616"/>
      <c r="AO146" s="616"/>
      <c r="AP146" s="616"/>
      <c r="AQ146" s="616"/>
      <c r="AR146" s="616"/>
      <c r="AS146" s="616"/>
      <c r="AT146" s="616"/>
      <c r="AU146" s="616"/>
      <c r="AV146" s="616"/>
      <c r="AW146" s="616"/>
      <c r="AX146" s="616"/>
      <c r="AY146" s="616"/>
      <c r="AZ146" s="616"/>
      <c r="BA146" s="616"/>
      <c r="BB146" s="616"/>
      <c r="BC146" s="616"/>
      <c r="BD146" s="616"/>
      <c r="BE146" s="616"/>
      <c r="BF146" s="616"/>
      <c r="BG146" s="617"/>
    </row>
    <row r="147" ht="12.75" customHeight="1">
      <c r="A147" s="615"/>
      <c r="B147" s="913"/>
      <c r="C147" s="914"/>
      <c r="D147" s="914"/>
      <c r="E147" s="914"/>
      <c r="F147" s="914"/>
      <c r="G147" s="914"/>
      <c r="H147" s="915"/>
      <c r="I147" s="915"/>
      <c r="J147" s="915"/>
      <c r="K147" s="916"/>
      <c r="L147" s="616"/>
      <c r="M147" s="616"/>
      <c r="N147" s="616"/>
      <c r="O147" s="616"/>
      <c r="P147" s="616"/>
      <c r="Q147" s="616"/>
      <c r="R147" s="616"/>
      <c r="S147" s="616"/>
      <c r="T147" s="616"/>
      <c r="U147" s="616"/>
      <c r="V147" s="616"/>
      <c r="W147" s="616"/>
      <c r="X147" s="616"/>
      <c r="Y147" s="616"/>
      <c r="Z147" s="616"/>
      <c r="AA147" s="616"/>
      <c r="AB147" s="616"/>
      <c r="AC147" s="616"/>
      <c r="AD147" s="616"/>
      <c r="AE147" s="616"/>
      <c r="AF147" s="616"/>
      <c r="AG147" s="616"/>
      <c r="AH147" s="616"/>
      <c r="AI147" s="616"/>
      <c r="AJ147" s="616"/>
      <c r="AK147" s="616"/>
      <c r="AL147" s="616"/>
      <c r="AM147" s="616"/>
      <c r="AN147" s="616"/>
      <c r="AO147" s="616"/>
      <c r="AP147" s="616"/>
      <c r="AQ147" s="616"/>
      <c r="AR147" s="616"/>
      <c r="AS147" s="616"/>
      <c r="AT147" s="616"/>
      <c r="AU147" s="616"/>
      <c r="AV147" s="616"/>
      <c r="AW147" s="616"/>
      <c r="AX147" s="616"/>
      <c r="AY147" s="616"/>
      <c r="AZ147" s="616"/>
      <c r="BA147" s="616"/>
      <c r="BB147" s="616"/>
      <c r="BC147" s="616"/>
      <c r="BD147" s="616"/>
      <c r="BE147" s="616"/>
      <c r="BF147" s="616"/>
      <c r="BG147" s="617"/>
    </row>
    <row r="148" ht="12.75" customHeight="1">
      <c r="A148" s="615"/>
      <c r="B148" s="913"/>
      <c r="C148" s="914"/>
      <c r="D148" s="914"/>
      <c r="E148" s="914"/>
      <c r="F148" s="914"/>
      <c r="G148" s="914"/>
      <c r="H148" s="915"/>
      <c r="I148" s="915"/>
      <c r="J148" s="915"/>
      <c r="K148" s="916"/>
      <c r="L148" s="616"/>
      <c r="M148" s="616"/>
      <c r="N148" s="616"/>
      <c r="O148" s="616"/>
      <c r="P148" s="616"/>
      <c r="Q148" s="616"/>
      <c r="R148" s="616"/>
      <c r="S148" s="616"/>
      <c r="T148" s="616"/>
      <c r="U148" s="616"/>
      <c r="V148" s="616"/>
      <c r="W148" s="616"/>
      <c r="X148" s="616"/>
      <c r="Y148" s="616"/>
      <c r="Z148" s="616"/>
      <c r="AA148" s="616"/>
      <c r="AB148" s="616"/>
      <c r="AC148" s="616"/>
      <c r="AD148" s="616"/>
      <c r="AE148" s="616"/>
      <c r="AF148" s="616"/>
      <c r="AG148" s="616"/>
      <c r="AH148" s="616"/>
      <c r="AI148" s="616"/>
      <c r="AJ148" s="616"/>
      <c r="AK148" s="616"/>
      <c r="AL148" s="616"/>
      <c r="AM148" s="616"/>
      <c r="AN148" s="616"/>
      <c r="AO148" s="616"/>
      <c r="AP148" s="616"/>
      <c r="AQ148" s="616"/>
      <c r="AR148" s="616"/>
      <c r="AS148" s="616"/>
      <c r="AT148" s="616"/>
      <c r="AU148" s="616"/>
      <c r="AV148" s="616"/>
      <c r="AW148" s="616"/>
      <c r="AX148" s="616"/>
      <c r="AY148" s="616"/>
      <c r="AZ148" s="616"/>
      <c r="BA148" s="616"/>
      <c r="BB148" s="616"/>
      <c r="BC148" s="616"/>
      <c r="BD148" s="616"/>
      <c r="BE148" s="616"/>
      <c r="BF148" s="616"/>
      <c r="BG148" s="617"/>
    </row>
    <row r="149" ht="12.75" customHeight="1">
      <c r="A149" s="615"/>
      <c r="B149" s="913"/>
      <c r="C149" s="913"/>
      <c r="D149" s="913"/>
      <c r="E149" s="913"/>
      <c r="F149" s="913"/>
      <c r="G149" s="913"/>
      <c r="H149" s="913"/>
      <c r="I149" s="913"/>
      <c r="J149" s="913"/>
      <c r="K149" s="913"/>
      <c r="L149" s="616"/>
      <c r="M149" s="616"/>
      <c r="N149" s="616"/>
      <c r="O149" s="616"/>
      <c r="P149" s="616"/>
      <c r="Q149" s="616"/>
      <c r="R149" s="616"/>
      <c r="S149" s="616"/>
      <c r="T149" s="616"/>
      <c r="U149" s="616"/>
      <c r="V149" s="616"/>
      <c r="W149" s="616"/>
      <c r="X149" s="616"/>
      <c r="Y149" s="616"/>
      <c r="Z149" s="616"/>
      <c r="AA149" s="616"/>
      <c r="AB149" s="616"/>
      <c r="AC149" s="616"/>
      <c r="AD149" s="616"/>
      <c r="AE149" s="616"/>
      <c r="AF149" s="616"/>
      <c r="AG149" s="616"/>
      <c r="AH149" s="616"/>
      <c r="AI149" s="616"/>
      <c r="AJ149" s="616"/>
      <c r="AK149" s="616"/>
      <c r="AL149" s="616"/>
      <c r="AM149" s="616"/>
      <c r="AN149" s="616"/>
      <c r="AO149" s="616"/>
      <c r="AP149" s="616"/>
      <c r="AQ149" s="616"/>
      <c r="AR149" s="616"/>
      <c r="AS149" s="616"/>
      <c r="AT149" s="616"/>
      <c r="AU149" s="616"/>
      <c r="AV149" s="616"/>
      <c r="AW149" s="616"/>
      <c r="AX149" s="616"/>
      <c r="AY149" s="616"/>
      <c r="AZ149" s="616"/>
      <c r="BA149" s="616"/>
      <c r="BB149" s="616"/>
      <c r="BC149" s="616"/>
      <c r="BD149" s="616"/>
      <c r="BE149" s="616"/>
      <c r="BF149" s="616"/>
      <c r="BG149" s="617"/>
    </row>
    <row r="150" ht="12.75" customHeight="1">
      <c r="A150" s="615"/>
      <c r="B150" s="913"/>
      <c r="C150" s="913"/>
      <c r="D150" s="913"/>
      <c r="E150" s="913"/>
      <c r="F150" s="913"/>
      <c r="G150" s="913"/>
      <c r="H150" s="913"/>
      <c r="I150" s="913"/>
      <c r="J150" s="913"/>
      <c r="K150" s="913"/>
      <c r="L150" s="616"/>
      <c r="M150" s="616"/>
      <c r="N150" s="616"/>
      <c r="O150" s="616"/>
      <c r="P150" s="616"/>
      <c r="Q150" s="616"/>
      <c r="R150" s="616"/>
      <c r="S150" s="616"/>
      <c r="T150" s="616"/>
      <c r="U150" s="616"/>
      <c r="V150" s="616"/>
      <c r="W150" s="616"/>
      <c r="X150" s="616"/>
      <c r="Y150" s="616"/>
      <c r="Z150" s="616"/>
      <c r="AA150" s="616"/>
      <c r="AB150" s="616"/>
      <c r="AC150" s="616"/>
      <c r="AD150" s="616"/>
      <c r="AE150" s="616"/>
      <c r="AF150" s="616"/>
      <c r="AG150" s="616"/>
      <c r="AH150" s="616"/>
      <c r="AI150" s="616"/>
      <c r="AJ150" s="616"/>
      <c r="AK150" s="616"/>
      <c r="AL150" s="616"/>
      <c r="AM150" s="616"/>
      <c r="AN150" s="616"/>
      <c r="AO150" s="616"/>
      <c r="AP150" s="616"/>
      <c r="AQ150" s="616"/>
      <c r="AR150" s="616"/>
      <c r="AS150" s="616"/>
      <c r="AT150" s="616"/>
      <c r="AU150" s="616"/>
      <c r="AV150" s="616"/>
      <c r="AW150" s="616"/>
      <c r="AX150" s="616"/>
      <c r="AY150" s="616"/>
      <c r="AZ150" s="616"/>
      <c r="BA150" s="616"/>
      <c r="BB150" s="616"/>
      <c r="BC150" s="616"/>
      <c r="BD150" s="616"/>
      <c r="BE150" s="616"/>
      <c r="BF150" s="616"/>
      <c r="BG150" s="617"/>
    </row>
    <row r="151" ht="12.75" customHeight="1">
      <c r="A151" s="615"/>
      <c r="B151" s="913"/>
      <c r="C151" s="914"/>
      <c r="D151" s="914"/>
      <c r="E151" s="914"/>
      <c r="F151" s="914"/>
      <c r="G151" s="914"/>
      <c r="H151" s="913"/>
      <c r="I151" s="913"/>
      <c r="J151" s="913"/>
      <c r="K151" s="913"/>
      <c r="L151" s="616"/>
      <c r="M151" s="616"/>
      <c r="N151" s="616"/>
      <c r="O151" s="616"/>
      <c r="P151" s="616"/>
      <c r="Q151" s="616"/>
      <c r="R151" s="616"/>
      <c r="S151" s="616"/>
      <c r="T151" s="616"/>
      <c r="U151" s="616"/>
      <c r="V151" s="616"/>
      <c r="W151" s="616"/>
      <c r="X151" s="616"/>
      <c r="Y151" s="616"/>
      <c r="Z151" s="616"/>
      <c r="AA151" s="616"/>
      <c r="AB151" s="616"/>
      <c r="AC151" s="616"/>
      <c r="AD151" s="616"/>
      <c r="AE151" s="616"/>
      <c r="AF151" s="616"/>
      <c r="AG151" s="616"/>
      <c r="AH151" s="616"/>
      <c r="AI151" s="616"/>
      <c r="AJ151" s="616"/>
      <c r="AK151" s="616"/>
      <c r="AL151" s="616"/>
      <c r="AM151" s="616"/>
      <c r="AN151" s="616"/>
      <c r="AO151" s="616"/>
      <c r="AP151" s="616"/>
      <c r="AQ151" s="616"/>
      <c r="AR151" s="616"/>
      <c r="AS151" s="616"/>
      <c r="AT151" s="616"/>
      <c r="AU151" s="616"/>
      <c r="AV151" s="616"/>
      <c r="AW151" s="616"/>
      <c r="AX151" s="616"/>
      <c r="AY151" s="616"/>
      <c r="AZ151" s="616"/>
      <c r="BA151" s="616"/>
      <c r="BB151" s="616"/>
      <c r="BC151" s="616"/>
      <c r="BD151" s="616"/>
      <c r="BE151" s="616"/>
      <c r="BF151" s="616"/>
      <c r="BG151" s="617"/>
    </row>
    <row r="152" ht="12.75" customHeight="1">
      <c r="A152" s="615"/>
      <c r="B152" s="913"/>
      <c r="C152" s="914"/>
      <c r="D152" s="914"/>
      <c r="E152" s="914"/>
      <c r="F152" s="914"/>
      <c r="G152" s="914"/>
      <c r="H152" s="913"/>
      <c r="I152" s="913"/>
      <c r="J152" s="913"/>
      <c r="K152" s="913"/>
      <c r="L152" s="616"/>
      <c r="M152" s="616"/>
      <c r="N152" s="616"/>
      <c r="O152" s="616"/>
      <c r="P152" s="616"/>
      <c r="Q152" s="616"/>
      <c r="R152" s="616"/>
      <c r="S152" s="616"/>
      <c r="T152" s="616"/>
      <c r="U152" s="616"/>
      <c r="V152" s="616"/>
      <c r="W152" s="616"/>
      <c r="X152" s="616"/>
      <c r="Y152" s="616"/>
      <c r="Z152" s="616"/>
      <c r="AA152" s="616"/>
      <c r="AB152" s="616"/>
      <c r="AC152" s="616"/>
      <c r="AD152" s="616"/>
      <c r="AE152" s="616"/>
      <c r="AF152" s="616"/>
      <c r="AG152" s="616"/>
      <c r="AH152" s="616"/>
      <c r="AI152" s="616"/>
      <c r="AJ152" s="616"/>
      <c r="AK152" s="616"/>
      <c r="AL152" s="616"/>
      <c r="AM152" s="616"/>
      <c r="AN152" s="616"/>
      <c r="AO152" s="616"/>
      <c r="AP152" s="616"/>
      <c r="AQ152" s="616"/>
      <c r="AR152" s="616"/>
      <c r="AS152" s="616"/>
      <c r="AT152" s="616"/>
      <c r="AU152" s="616"/>
      <c r="AV152" s="616"/>
      <c r="AW152" s="616"/>
      <c r="AX152" s="616"/>
      <c r="AY152" s="616"/>
      <c r="AZ152" s="616"/>
      <c r="BA152" s="616"/>
      <c r="BB152" s="616"/>
      <c r="BC152" s="616"/>
      <c r="BD152" s="616"/>
      <c r="BE152" s="616"/>
      <c r="BF152" s="616"/>
      <c r="BG152" s="617"/>
    </row>
    <row r="153" ht="12.75" customHeight="1">
      <c r="A153" s="615"/>
      <c r="B153" s="913"/>
      <c r="C153" s="913"/>
      <c r="D153" s="913"/>
      <c r="E153" s="913"/>
      <c r="F153" s="913"/>
      <c r="G153" s="913"/>
      <c r="H153" s="913"/>
      <c r="I153" s="913"/>
      <c r="J153" s="913"/>
      <c r="K153" s="913"/>
      <c r="L153" s="616"/>
      <c r="M153" s="616"/>
      <c r="N153" s="616"/>
      <c r="O153" s="616"/>
      <c r="P153" s="616"/>
      <c r="Q153" s="616"/>
      <c r="R153" s="616"/>
      <c r="S153" s="616"/>
      <c r="T153" s="616"/>
      <c r="U153" s="616"/>
      <c r="V153" s="616"/>
      <c r="W153" s="616"/>
      <c r="X153" s="616"/>
      <c r="Y153" s="616"/>
      <c r="Z153" s="616"/>
      <c r="AA153" s="616"/>
      <c r="AB153" s="616"/>
      <c r="AC153" s="616"/>
      <c r="AD153" s="616"/>
      <c r="AE153" s="616"/>
      <c r="AF153" s="616"/>
      <c r="AG153" s="616"/>
      <c r="AH153" s="616"/>
      <c r="AI153" s="616"/>
      <c r="AJ153" s="616"/>
      <c r="AK153" s="616"/>
      <c r="AL153" s="616"/>
      <c r="AM153" s="616"/>
      <c r="AN153" s="616"/>
      <c r="AO153" s="616"/>
      <c r="AP153" s="616"/>
      <c r="AQ153" s="616"/>
      <c r="AR153" s="616"/>
      <c r="AS153" s="616"/>
      <c r="AT153" s="616"/>
      <c r="AU153" s="616"/>
      <c r="AV153" s="616"/>
      <c r="AW153" s="616"/>
      <c r="AX153" s="616"/>
      <c r="AY153" s="616"/>
      <c r="AZ153" s="616"/>
      <c r="BA153" s="616"/>
      <c r="BB153" s="616"/>
      <c r="BC153" s="616"/>
      <c r="BD153" s="616"/>
      <c r="BE153" s="616"/>
      <c r="BF153" s="616"/>
      <c r="BG153" s="617"/>
    </row>
    <row r="154" ht="12.75" customHeight="1">
      <c r="A154" s="615"/>
      <c r="B154" s="913"/>
      <c r="C154" s="913"/>
      <c r="D154" s="913"/>
      <c r="E154" s="913"/>
      <c r="F154" s="913"/>
      <c r="G154" s="913"/>
      <c r="H154" s="913"/>
      <c r="I154" s="913"/>
      <c r="J154" s="913"/>
      <c r="K154" s="913"/>
      <c r="L154" s="616"/>
      <c r="M154" s="616"/>
      <c r="N154" s="616"/>
      <c r="O154" s="616"/>
      <c r="P154" s="616"/>
      <c r="Q154" s="616"/>
      <c r="R154" s="616"/>
      <c r="S154" s="616"/>
      <c r="T154" s="616"/>
      <c r="U154" s="616"/>
      <c r="V154" s="616"/>
      <c r="W154" s="616"/>
      <c r="X154" s="616"/>
      <c r="Y154" s="616"/>
      <c r="Z154" s="616"/>
      <c r="AA154" s="616"/>
      <c r="AB154" s="616"/>
      <c r="AC154" s="616"/>
      <c r="AD154" s="616"/>
      <c r="AE154" s="616"/>
      <c r="AF154" s="616"/>
      <c r="AG154" s="616"/>
      <c r="AH154" s="616"/>
      <c r="AI154" s="616"/>
      <c r="AJ154" s="616"/>
      <c r="AK154" s="616"/>
      <c r="AL154" s="616"/>
      <c r="AM154" s="616"/>
      <c r="AN154" s="616"/>
      <c r="AO154" s="616"/>
      <c r="AP154" s="616"/>
      <c r="AQ154" s="616"/>
      <c r="AR154" s="616"/>
      <c r="AS154" s="616"/>
      <c r="AT154" s="616"/>
      <c r="AU154" s="616"/>
      <c r="AV154" s="616"/>
      <c r="AW154" s="616"/>
      <c r="AX154" s="616"/>
      <c r="AY154" s="616"/>
      <c r="AZ154" s="616"/>
      <c r="BA154" s="616"/>
      <c r="BB154" s="616"/>
      <c r="BC154" s="616"/>
      <c r="BD154" s="616"/>
      <c r="BE154" s="616"/>
      <c r="BF154" s="616"/>
      <c r="BG154" s="617"/>
    </row>
    <row r="155" ht="12.75" customHeight="1">
      <c r="A155" s="615"/>
      <c r="B155" s="913"/>
      <c r="C155" s="914"/>
      <c r="D155" s="914"/>
      <c r="E155" s="914"/>
      <c r="F155" s="914"/>
      <c r="G155" s="914"/>
      <c r="H155" s="913"/>
      <c r="I155" s="913"/>
      <c r="J155" s="913"/>
      <c r="K155" s="913"/>
      <c r="L155" s="616"/>
      <c r="M155" s="616"/>
      <c r="N155" s="616"/>
      <c r="O155" s="616"/>
      <c r="P155" s="616"/>
      <c r="Q155" s="616"/>
      <c r="R155" s="616"/>
      <c r="S155" s="616"/>
      <c r="T155" s="616"/>
      <c r="U155" s="616"/>
      <c r="V155" s="616"/>
      <c r="W155" s="616"/>
      <c r="X155" s="616"/>
      <c r="Y155" s="616"/>
      <c r="Z155" s="616"/>
      <c r="AA155" s="616"/>
      <c r="AB155" s="616"/>
      <c r="AC155" s="616"/>
      <c r="AD155" s="616"/>
      <c r="AE155" s="616"/>
      <c r="AF155" s="616"/>
      <c r="AG155" s="616"/>
      <c r="AH155" s="616"/>
      <c r="AI155" s="616"/>
      <c r="AJ155" s="616"/>
      <c r="AK155" s="616"/>
      <c r="AL155" s="616"/>
      <c r="AM155" s="616"/>
      <c r="AN155" s="616"/>
      <c r="AO155" s="616"/>
      <c r="AP155" s="616"/>
      <c r="AQ155" s="616"/>
      <c r="AR155" s="616"/>
      <c r="AS155" s="616"/>
      <c r="AT155" s="616"/>
      <c r="AU155" s="616"/>
      <c r="AV155" s="616"/>
      <c r="AW155" s="616"/>
      <c r="AX155" s="616"/>
      <c r="AY155" s="616"/>
      <c r="AZ155" s="616"/>
      <c r="BA155" s="616"/>
      <c r="BB155" s="616"/>
      <c r="BC155" s="616"/>
      <c r="BD155" s="616"/>
      <c r="BE155" s="616"/>
      <c r="BF155" s="616"/>
      <c r="BG155" s="617"/>
    </row>
    <row r="156" ht="12.75" customHeight="1">
      <c r="A156" s="917"/>
      <c r="B156" s="918"/>
      <c r="C156" s="919"/>
      <c r="D156" s="919"/>
      <c r="E156" s="919"/>
      <c r="F156" s="919"/>
      <c r="G156" s="919"/>
      <c r="H156" s="918"/>
      <c r="I156" s="918"/>
      <c r="J156" s="918"/>
      <c r="K156" s="918"/>
      <c r="L156" s="920"/>
      <c r="M156" s="920"/>
      <c r="N156" s="920"/>
      <c r="O156" s="920"/>
      <c r="P156" s="920"/>
      <c r="Q156" s="920"/>
      <c r="R156" s="920"/>
      <c r="S156" s="920"/>
      <c r="T156" s="920"/>
      <c r="U156" s="920"/>
      <c r="V156" s="920"/>
      <c r="W156" s="920"/>
      <c r="X156" s="920"/>
      <c r="Y156" s="920"/>
      <c r="Z156" s="920"/>
      <c r="AA156" s="920"/>
      <c r="AB156" s="920"/>
      <c r="AC156" s="920"/>
      <c r="AD156" s="920"/>
      <c r="AE156" s="920"/>
      <c r="AF156" s="920"/>
      <c r="AG156" s="920"/>
      <c r="AH156" s="920"/>
      <c r="AI156" s="920"/>
      <c r="AJ156" s="920"/>
      <c r="AK156" s="920"/>
      <c r="AL156" s="920"/>
      <c r="AM156" s="920"/>
      <c r="AN156" s="920"/>
      <c r="AO156" s="920"/>
      <c r="AP156" s="920"/>
      <c r="AQ156" s="920"/>
      <c r="AR156" s="920"/>
      <c r="AS156" s="920"/>
      <c r="AT156" s="920"/>
      <c r="AU156" s="920"/>
      <c r="AV156" s="920"/>
      <c r="AW156" s="920"/>
      <c r="AX156" s="920"/>
      <c r="AY156" s="920"/>
      <c r="AZ156" s="920"/>
      <c r="BA156" s="920"/>
      <c r="BB156" s="920"/>
      <c r="BC156" s="920"/>
      <c r="BD156" s="920"/>
      <c r="BE156" s="920"/>
      <c r="BF156" s="920"/>
      <c r="BG156" s="921"/>
    </row>
  </sheetData>
  <mergeCells count="220">
    <mergeCell ref="D37:E37"/>
    <mergeCell ref="AI86:AJ86"/>
    <mergeCell ref="AK86:AL86"/>
    <mergeCell ref="AI87:AJ87"/>
    <mergeCell ref="AK87:AL87"/>
    <mergeCell ref="AP87:AR87"/>
    <mergeCell ref="AI84:AJ84"/>
    <mergeCell ref="AK84:AL84"/>
    <mergeCell ref="BD84:BF84"/>
    <mergeCell ref="AI85:AJ85"/>
    <mergeCell ref="AK85:AL85"/>
    <mergeCell ref="BD85:BF85"/>
    <mergeCell ref="AI81:AJ81"/>
    <mergeCell ref="AK81:AL81"/>
    <mergeCell ref="AY81:BB82"/>
    <mergeCell ref="BD81:BF81"/>
    <mergeCell ref="AI82:AJ82"/>
    <mergeCell ref="AK82:AL82"/>
    <mergeCell ref="AX82:AX83"/>
    <mergeCell ref="BD82:BF82"/>
    <mergeCell ref="AI83:AJ83"/>
    <mergeCell ref="AK83:AL83"/>
    <mergeCell ref="BD83:BF83"/>
    <mergeCell ref="A79:I79"/>
    <mergeCell ref="BC93:BE93"/>
    <mergeCell ref="AH94:AH95"/>
    <mergeCell ref="BC94:BE94"/>
    <mergeCell ref="BC95:BE95"/>
    <mergeCell ref="BC96:BE96"/>
    <mergeCell ref="AI88:AJ88"/>
    <mergeCell ref="AK88:AL88"/>
    <mergeCell ref="AY88:BB89"/>
    <mergeCell ref="AX89:AX90"/>
    <mergeCell ref="AH91:AS92"/>
    <mergeCell ref="AI79:AJ79"/>
    <mergeCell ref="AK79:AL79"/>
    <mergeCell ref="AN79:AP79"/>
    <mergeCell ref="H80:I80"/>
    <mergeCell ref="AI80:AJ80"/>
    <mergeCell ref="AK80:AL80"/>
    <mergeCell ref="AN76:AR76"/>
    <mergeCell ref="A77:I77"/>
    <mergeCell ref="AI77:AJ77"/>
    <mergeCell ref="AN77:AP77"/>
    <mergeCell ref="A78:I78"/>
    <mergeCell ref="AI78:AJ78"/>
    <mergeCell ref="AK78:AL78"/>
    <mergeCell ref="AN78:AP78"/>
    <mergeCell ref="A72:I73"/>
    <mergeCell ref="A75:I75"/>
    <mergeCell ref="AH75:AL75"/>
    <mergeCell ref="A76:I76"/>
    <mergeCell ref="AI76:AJ76"/>
    <mergeCell ref="AK76:AL77"/>
    <mergeCell ref="AA53:AB53"/>
    <mergeCell ref="AH54:AP54"/>
    <mergeCell ref="AH55:AP55"/>
    <mergeCell ref="AH56:AH57"/>
    <mergeCell ref="AI56:AP56"/>
    <mergeCell ref="A70:I71"/>
    <mergeCell ref="AT46:AV46"/>
    <mergeCell ref="AT47:AV47"/>
    <mergeCell ref="AT50:AV50"/>
    <mergeCell ref="S52:U52"/>
    <mergeCell ref="AT52:AV52"/>
    <mergeCell ref="S46:T46"/>
    <mergeCell ref="Y46:Z46"/>
    <mergeCell ref="AA46:AB46"/>
    <mergeCell ref="AI46:AJ46"/>
    <mergeCell ref="AK46:AL46"/>
    <mergeCell ref="Y44:Z44"/>
    <mergeCell ref="AA44:AB44"/>
    <mergeCell ref="AI44:AJ44"/>
    <mergeCell ref="AK44:AL44"/>
    <mergeCell ref="Y45:Z45"/>
    <mergeCell ref="AA45:AB45"/>
    <mergeCell ref="AI45:AJ45"/>
    <mergeCell ref="AK45:AL45"/>
    <mergeCell ref="Y43:Z43"/>
    <mergeCell ref="AA43:AB43"/>
    <mergeCell ref="AI43:AJ43"/>
    <mergeCell ref="AK43:AL43"/>
    <mergeCell ref="AI41:AJ41"/>
    <mergeCell ref="AK41:AL41"/>
    <mergeCell ref="AT41:AV41"/>
    <mergeCell ref="S38:V38"/>
    <mergeCell ref="S39:S40"/>
    <mergeCell ref="X39:X40"/>
    <mergeCell ref="Y39:Z40"/>
    <mergeCell ref="AA39:AB40"/>
    <mergeCell ref="AT43:AV43"/>
    <mergeCell ref="Y42:Z42"/>
    <mergeCell ref="AA42:AB42"/>
    <mergeCell ref="AI42:AJ42"/>
    <mergeCell ref="AK42:AL42"/>
    <mergeCell ref="AT42:AV42"/>
    <mergeCell ref="AH39:AH40"/>
    <mergeCell ref="AI39:AJ40"/>
    <mergeCell ref="AK39:AL40"/>
    <mergeCell ref="AT40:AV40"/>
    <mergeCell ref="AT35:AV35"/>
    <mergeCell ref="AT36:AV36"/>
    <mergeCell ref="S37:T37"/>
    <mergeCell ref="X37:Y38"/>
    <mergeCell ref="Z37:AA38"/>
    <mergeCell ref="AB37:AB38"/>
    <mergeCell ref="AH37:AI38"/>
    <mergeCell ref="AJ37:AK38"/>
    <mergeCell ref="AL37:AL38"/>
    <mergeCell ref="AB33:AC33"/>
    <mergeCell ref="AD33:AE33"/>
    <mergeCell ref="AT33:AV33"/>
    <mergeCell ref="BC33:BE33"/>
    <mergeCell ref="AT34:AV34"/>
    <mergeCell ref="BC34:BE34"/>
    <mergeCell ref="AA31:AA32"/>
    <mergeCell ref="AB31:AC31"/>
    <mergeCell ref="AD31:AE31"/>
    <mergeCell ref="BC31:BE31"/>
    <mergeCell ref="AB32:AC32"/>
    <mergeCell ref="AD32:AE32"/>
    <mergeCell ref="BC32:BE32"/>
    <mergeCell ref="T23:U23"/>
    <mergeCell ref="T21:U21"/>
    <mergeCell ref="AT27:AV27"/>
    <mergeCell ref="AB28:AC28"/>
    <mergeCell ref="AD28:AE29"/>
    <mergeCell ref="AT28:AV28"/>
    <mergeCell ref="S29:S31"/>
    <mergeCell ref="T29:T31"/>
    <mergeCell ref="U29:U31"/>
    <mergeCell ref="V29:V31"/>
    <mergeCell ref="W29:W31"/>
    <mergeCell ref="X29:X31"/>
    <mergeCell ref="Y29:Y31"/>
    <mergeCell ref="AB29:AC29"/>
    <mergeCell ref="AB30:AC30"/>
    <mergeCell ref="AD30:AE30"/>
    <mergeCell ref="S27:Y28"/>
    <mergeCell ref="Z27:AE27"/>
    <mergeCell ref="AH19:AH21"/>
    <mergeCell ref="AI19:AI21"/>
    <mergeCell ref="AJ19:AJ21"/>
    <mergeCell ref="X21:Y21"/>
    <mergeCell ref="AA21:AB21"/>
    <mergeCell ref="AC21:AF21"/>
    <mergeCell ref="V26:AB26"/>
    <mergeCell ref="AC26:AE26"/>
    <mergeCell ref="AY19:BB20"/>
    <mergeCell ref="X20:Y20"/>
    <mergeCell ref="AA20:AB20"/>
    <mergeCell ref="AC20:AF20"/>
    <mergeCell ref="AX20:AX21"/>
    <mergeCell ref="AT26:AV26"/>
    <mergeCell ref="AP23:AQ23"/>
    <mergeCell ref="V25:AA25"/>
    <mergeCell ref="AD25:AF25"/>
    <mergeCell ref="AK19:AK21"/>
    <mergeCell ref="AL19:AL20"/>
    <mergeCell ref="AM19:AM20"/>
    <mergeCell ref="AT25:AV25"/>
    <mergeCell ref="X22:AF24"/>
    <mergeCell ref="J11:K11"/>
    <mergeCell ref="J10:K10"/>
    <mergeCell ref="J9:K9"/>
    <mergeCell ref="T17:AF17"/>
    <mergeCell ref="AH17:AM18"/>
    <mergeCell ref="AP17:AR17"/>
    <mergeCell ref="T18:U18"/>
    <mergeCell ref="V18:X18"/>
    <mergeCell ref="AA18:AB18"/>
    <mergeCell ref="AC18:AF18"/>
    <mergeCell ref="B47:C47"/>
    <mergeCell ref="C25:C26"/>
    <mergeCell ref="D25:E26"/>
    <mergeCell ref="F25:F26"/>
    <mergeCell ref="D27:E27"/>
    <mergeCell ref="C10:G11"/>
    <mergeCell ref="H9:I9"/>
    <mergeCell ref="H10:I10"/>
    <mergeCell ref="H11:I11"/>
    <mergeCell ref="H12:I12"/>
    <mergeCell ref="D28:E28"/>
    <mergeCell ref="D29:E29"/>
    <mergeCell ref="D30:E30"/>
    <mergeCell ref="D31:E31"/>
    <mergeCell ref="D32:E32"/>
    <mergeCell ref="D47:F47"/>
    <mergeCell ref="G47:H47"/>
    <mergeCell ref="G25:J25"/>
    <mergeCell ref="C14:E14"/>
    <mergeCell ref="H14:J14"/>
    <mergeCell ref="D15:E15"/>
    <mergeCell ref="F15:G15"/>
    <mergeCell ref="I15:J15"/>
    <mergeCell ref="J12:K12"/>
    <mergeCell ref="D34:E34"/>
    <mergeCell ref="D35:E35"/>
    <mergeCell ref="S41:Y41"/>
    <mergeCell ref="Z41:AE41"/>
    <mergeCell ref="D16:E16"/>
    <mergeCell ref="C17:C21"/>
    <mergeCell ref="D17:E17"/>
    <mergeCell ref="D18:E18"/>
    <mergeCell ref="D19:E19"/>
    <mergeCell ref="D20:E20"/>
    <mergeCell ref="F20:G20"/>
    <mergeCell ref="D21:E21"/>
    <mergeCell ref="D33:E33"/>
    <mergeCell ref="D36:E36"/>
    <mergeCell ref="T19:U19"/>
    <mergeCell ref="X19:Y19"/>
    <mergeCell ref="AA19:AB19"/>
    <mergeCell ref="AC19:AF19"/>
    <mergeCell ref="T20:U20"/>
    <mergeCell ref="C22:D22"/>
    <mergeCell ref="C24:J24"/>
    <mergeCell ref="T24:U24"/>
    <mergeCell ref="T25:U26"/>
    <mergeCell ref="T22:U22"/>
  </mergeCells>
  <pageMargins left="0.19685" right="0.19685" top="0.590551" bottom="0.551181" header="0" footer="0.748031"/>
  <pageSetup firstPageNumber="1" fitToHeight="1" fitToWidth="1" scale="73" useFirstPageNumber="0" orientation="portrait" pageOrder="downThenOver"/>
  <headerFooter>
    <oddHeader>&amp;L&amp;"Arial,Regular"&amp;10&amp;K000000
&amp;C&amp;"Arial,Regular"&amp;10&amp;K000000
</oddHeader>
    <oddFooter>&amp;R&amp;"Tahoma,Regular"&amp;10&amp;K0000FFCertificado Original Metkal &amp;"Arial,Regular"&amp;K000000    
&amp;"Code 128,Regular"&amp;16M-MK-0497_1.fwUYp9.xlsx&amp;"Arial,Regular"&amp;11
</oddFooter>
  </headerFooter>
  <drawing r:id="rId1"/>
</worksheet>
</file>

<file path=xl/worksheets/sheet5.xml><?xml version="1.0" encoding="utf-8"?>
<worksheet xmlns:r="http://schemas.openxmlformats.org/officeDocument/2006/relationships" xmlns="http://schemas.openxmlformats.org/spreadsheetml/2006/main">
  <dimension ref="A1:H47"/>
  <sheetViews>
    <sheetView workbookViewId="0" showGridLines="0" defaultGridColor="1"/>
  </sheetViews>
  <sheetFormatPr defaultColWidth="9.16667" defaultRowHeight="12.75" customHeight="1" outlineLevelRow="0" outlineLevelCol="0"/>
  <cols>
    <col min="1" max="1" width="9.35156" style="922" customWidth="1"/>
    <col min="2" max="2" width="10.3516" style="922" customWidth="1"/>
    <col min="3" max="3" width="13.6719" style="922" customWidth="1"/>
    <col min="4" max="5" width="9.17188" style="922" customWidth="1"/>
    <col min="6" max="6" width="5.5" style="922" customWidth="1"/>
    <col min="7" max="8" width="9.17188" style="922" customWidth="1"/>
    <col min="9" max="16384" width="9.17188" style="922" customWidth="1"/>
  </cols>
  <sheetData>
    <row r="1" ht="12.75" customHeight="1">
      <c r="A1" s="923"/>
      <c r="B1" s="923"/>
      <c r="C1" s="923"/>
      <c r="D1" s="923"/>
      <c r="E1" s="923"/>
      <c r="F1" s="923"/>
      <c r="G1" s="923"/>
      <c r="H1" s="923"/>
    </row>
    <row r="2" ht="12.75" customHeight="1">
      <c r="A2" s="923"/>
      <c r="B2" s="923"/>
      <c r="C2" s="923"/>
      <c r="D2" s="923"/>
      <c r="E2" s="923"/>
      <c r="F2" s="923"/>
      <c r="G2" s="923"/>
      <c r="H2" s="923"/>
    </row>
    <row r="3" ht="12.75" customHeight="1">
      <c r="A3" s="923"/>
      <c r="B3" s="923"/>
      <c r="C3" s="923"/>
      <c r="D3" s="923"/>
      <c r="E3" s="923"/>
      <c r="F3" s="923"/>
      <c r="G3" s="923"/>
      <c r="H3" s="923"/>
    </row>
    <row r="4" ht="12.75" customHeight="1">
      <c r="A4" s="923"/>
      <c r="B4" s="923"/>
      <c r="C4" s="923"/>
      <c r="D4" s="923"/>
      <c r="E4" s="923"/>
      <c r="F4" s="923"/>
      <c r="G4" s="923"/>
      <c r="H4" s="923"/>
    </row>
    <row r="5" ht="12.75" customHeight="1">
      <c r="A5" s="923"/>
      <c r="B5" s="923"/>
      <c r="C5" s="923"/>
      <c r="D5" s="923"/>
      <c r="E5" s="923"/>
      <c r="F5" s="923"/>
      <c r="G5" s="923"/>
      <c r="H5" s="923"/>
    </row>
    <row r="6" ht="12.75" customHeight="1">
      <c r="A6" s="923"/>
      <c r="B6" s="923"/>
      <c r="C6" s="923"/>
      <c r="D6" s="923"/>
      <c r="E6" s="923"/>
      <c r="F6" s="923"/>
      <c r="G6" s="923"/>
      <c r="H6" s="923"/>
    </row>
    <row r="7" ht="12.75" customHeight="1">
      <c r="A7" s="923"/>
      <c r="B7" s="923"/>
      <c r="C7" s="923"/>
      <c r="D7" s="923"/>
      <c r="E7" s="923"/>
      <c r="F7" s="923"/>
      <c r="G7" s="923"/>
      <c r="H7" s="923"/>
    </row>
    <row r="8" ht="12.75" customHeight="1">
      <c r="A8" s="923"/>
      <c r="B8" s="923"/>
      <c r="C8" s="923"/>
      <c r="D8" s="923"/>
      <c r="E8" s="923"/>
      <c r="F8" s="923"/>
      <c r="G8" s="923"/>
      <c r="H8" s="923"/>
    </row>
    <row r="9" ht="12.75" customHeight="1">
      <c r="A9" s="923"/>
      <c r="B9" s="923"/>
      <c r="C9" s="923"/>
      <c r="D9" s="923"/>
      <c r="E9" s="923"/>
      <c r="F9" s="923"/>
      <c r="G9" s="923"/>
      <c r="H9" s="923"/>
    </row>
    <row r="10" ht="12.75" customHeight="1">
      <c r="A10" s="923"/>
      <c r="B10" s="923"/>
      <c r="C10" s="924"/>
      <c r="D10" s="923"/>
      <c r="E10" s="923"/>
      <c r="F10" s="923"/>
      <c r="G10" s="923"/>
      <c r="H10" s="923"/>
    </row>
    <row r="11" ht="12.75" customHeight="1">
      <c r="A11" s="923"/>
      <c r="B11" s="924"/>
      <c r="C11" s="923"/>
      <c r="D11" s="923"/>
      <c r="E11" s="923"/>
      <c r="F11" s="923"/>
      <c r="G11" s="923"/>
      <c r="H11" s="923"/>
    </row>
    <row r="12" ht="12.75" customHeight="1">
      <c r="A12" s="923"/>
      <c r="B12" s="924"/>
      <c r="C12" s="923"/>
      <c r="D12" s="923"/>
      <c r="E12" s="923"/>
      <c r="F12" s="923"/>
      <c r="G12" s="923"/>
      <c r="H12" s="923"/>
    </row>
    <row r="13" ht="12.75" customHeight="1">
      <c r="A13" s="923"/>
      <c r="B13" s="924"/>
      <c r="C13" s="923"/>
      <c r="D13" s="924"/>
      <c r="E13" s="923"/>
      <c r="F13" s="924"/>
      <c r="G13" s="923"/>
      <c r="H13" s="923"/>
    </row>
    <row r="14" ht="12.75" customHeight="1">
      <c r="A14" s="923"/>
      <c r="B14" s="924"/>
      <c r="C14" s="923"/>
      <c r="D14" s="923"/>
      <c r="E14" s="923"/>
      <c r="F14" s="925"/>
      <c r="G14" s="923"/>
      <c r="H14" s="923"/>
    </row>
    <row r="15" ht="12.75" customHeight="1">
      <c r="A15" s="923"/>
      <c r="B15" s="923"/>
      <c r="C15" s="923"/>
      <c r="D15" s="923"/>
      <c r="E15" s="923"/>
      <c r="F15" s="923"/>
      <c r="G15" s="923"/>
      <c r="H15" s="923"/>
    </row>
    <row r="16" ht="12.75" customHeight="1">
      <c r="A16" s="923"/>
      <c r="B16" s="924"/>
      <c r="C16" s="923"/>
      <c r="D16" s="923"/>
      <c r="E16" s="923"/>
      <c r="F16" s="923"/>
      <c r="G16" s="923"/>
      <c r="H16" s="923"/>
    </row>
    <row r="17" ht="18" customHeight="1">
      <c r="A17" s="923"/>
      <c r="B17" s="924"/>
      <c r="C17" s="923"/>
      <c r="D17" s="923"/>
      <c r="E17" s="923"/>
      <c r="F17" s="923"/>
      <c r="G17" s="923"/>
      <c r="H17" s="923"/>
    </row>
    <row r="18" ht="12.75" customHeight="1">
      <c r="A18" s="923"/>
      <c r="B18" s="923"/>
      <c r="C18" s="924"/>
      <c r="D18" s="923"/>
      <c r="E18" s="923"/>
      <c r="F18" s="923"/>
      <c r="G18" s="923"/>
      <c r="H18" s="923"/>
    </row>
    <row r="19" ht="12.75" customHeight="1">
      <c r="A19" s="923"/>
      <c r="B19" s="924"/>
      <c r="C19" s="923"/>
      <c r="D19" s="923"/>
      <c r="E19" s="923"/>
      <c r="F19" s="925"/>
      <c r="G19" s="923"/>
      <c r="H19" s="923"/>
    </row>
    <row r="20" ht="12.75" customHeight="1">
      <c r="A20" s="923"/>
      <c r="B20" s="924"/>
      <c r="C20" s="923"/>
      <c r="D20" s="923"/>
      <c r="E20" s="923"/>
      <c r="F20" s="925"/>
      <c r="G20" s="926"/>
      <c r="H20" s="923"/>
    </row>
    <row r="21" ht="12.75" customHeight="1">
      <c r="A21" s="923"/>
      <c r="B21" s="924"/>
      <c r="C21" s="923"/>
      <c r="D21" s="923"/>
      <c r="E21" s="923"/>
      <c r="F21" s="923"/>
      <c r="G21" s="923"/>
      <c r="H21" s="923"/>
    </row>
    <row r="22" ht="12.75" customHeight="1">
      <c r="A22" s="923"/>
      <c r="B22" s="924"/>
      <c r="C22" s="923"/>
      <c r="D22" s="923"/>
      <c r="E22" s="923"/>
      <c r="F22" s="923"/>
      <c r="G22" s="923"/>
      <c r="H22" s="923"/>
    </row>
    <row r="23" ht="12.75" customHeight="1">
      <c r="A23" s="923"/>
      <c r="B23" s="924"/>
      <c r="C23" s="923"/>
      <c r="D23" s="923"/>
      <c r="E23" s="923"/>
      <c r="F23" s="923"/>
      <c r="G23" s="923"/>
      <c r="H23" s="923"/>
    </row>
    <row r="24" ht="12.75" customHeight="1">
      <c r="A24" s="923"/>
      <c r="B24" s="923"/>
      <c r="C24" s="923"/>
      <c r="D24" s="923"/>
      <c r="E24" s="923"/>
      <c r="F24" s="923"/>
      <c r="G24" s="923"/>
      <c r="H24" s="923"/>
    </row>
    <row r="25" ht="12.75" customHeight="1">
      <c r="A25" s="923"/>
      <c r="B25" s="924"/>
      <c r="C25" s="923"/>
      <c r="D25" s="923"/>
      <c r="E25" s="923"/>
      <c r="F25" s="923"/>
      <c r="G25" s="923"/>
      <c r="H25" s="923"/>
    </row>
    <row r="26" ht="12.75" customHeight="1">
      <c r="A26" s="923"/>
      <c r="B26" s="924"/>
      <c r="C26" s="923"/>
      <c r="D26" s="923"/>
      <c r="E26" s="923"/>
      <c r="F26" s="923"/>
      <c r="G26" s="923"/>
      <c r="H26" s="923"/>
    </row>
    <row r="27" ht="12.75" customHeight="1">
      <c r="A27" s="923"/>
      <c r="B27" s="923"/>
      <c r="C27" s="923"/>
      <c r="D27" s="923"/>
      <c r="E27" s="923"/>
      <c r="F27" s="923"/>
      <c r="G27" s="923"/>
      <c r="H27" s="923"/>
    </row>
    <row r="28" ht="12.75" customHeight="1">
      <c r="A28" s="923"/>
      <c r="B28" s="923"/>
      <c r="C28" s="923"/>
      <c r="D28" s="923"/>
      <c r="E28" s="923"/>
      <c r="F28" s="923"/>
      <c r="G28" s="923"/>
      <c r="H28" s="923"/>
    </row>
    <row r="29" ht="12.75" customHeight="1">
      <c r="A29" s="923"/>
      <c r="B29" s="923"/>
      <c r="C29" s="923"/>
      <c r="D29" s="923"/>
      <c r="E29" s="923"/>
      <c r="F29" s="923"/>
      <c r="G29" s="923"/>
      <c r="H29" s="923"/>
    </row>
    <row r="30" ht="12.75" customHeight="1">
      <c r="A30" s="923"/>
      <c r="B30" s="923"/>
      <c r="C30" s="923"/>
      <c r="D30" s="923"/>
      <c r="E30" s="923"/>
      <c r="F30" s="923"/>
      <c r="G30" s="923"/>
      <c r="H30" s="923"/>
    </row>
    <row r="31" ht="12.75" customHeight="1">
      <c r="A31" s="923"/>
      <c r="B31" s="923"/>
      <c r="C31" s="923"/>
      <c r="D31" s="923"/>
      <c r="E31" s="923"/>
      <c r="F31" s="923"/>
      <c r="G31" s="923"/>
      <c r="H31" s="923"/>
    </row>
    <row r="32" ht="12.75" customHeight="1">
      <c r="A32" s="923"/>
      <c r="B32" s="923"/>
      <c r="C32" s="923"/>
      <c r="D32" s="923"/>
      <c r="E32" s="923"/>
      <c r="F32" s="923"/>
      <c r="G32" s="923"/>
      <c r="H32" s="923"/>
    </row>
    <row r="33" ht="12.75" customHeight="1">
      <c r="A33" s="923"/>
      <c r="B33" s="923"/>
      <c r="C33" s="923"/>
      <c r="D33" s="923"/>
      <c r="E33" s="923"/>
      <c r="F33" s="923"/>
      <c r="G33" s="923"/>
      <c r="H33" s="923"/>
    </row>
    <row r="34" ht="12.75" customHeight="1">
      <c r="A34" s="923"/>
      <c r="B34" s="923"/>
      <c r="C34" s="923"/>
      <c r="D34" s="923"/>
      <c r="E34" s="923"/>
      <c r="F34" s="923"/>
      <c r="G34" s="923"/>
      <c r="H34" s="923"/>
    </row>
    <row r="35" ht="12.75" customHeight="1">
      <c r="A35" s="923"/>
      <c r="B35" s="923"/>
      <c r="C35" s="923"/>
      <c r="D35" s="923"/>
      <c r="E35" s="923"/>
      <c r="F35" s="923"/>
      <c r="G35" s="923"/>
      <c r="H35" s="923"/>
    </row>
    <row r="36" ht="12.75" customHeight="1">
      <c r="A36" s="923"/>
      <c r="B36" s="923"/>
      <c r="C36" s="923"/>
      <c r="D36" s="923"/>
      <c r="E36" s="923"/>
      <c r="F36" s="923"/>
      <c r="G36" s="923"/>
      <c r="H36" s="923"/>
    </row>
    <row r="37" ht="12.75" customHeight="1">
      <c r="A37" s="923"/>
      <c r="B37" s="923"/>
      <c r="C37" s="923"/>
      <c r="D37" s="923"/>
      <c r="E37" s="923"/>
      <c r="F37" s="923"/>
      <c r="G37" s="923"/>
      <c r="H37" s="923"/>
    </row>
    <row r="38" ht="12.75" customHeight="1">
      <c r="A38" s="923"/>
      <c r="B38" s="923"/>
      <c r="C38" s="923"/>
      <c r="D38" s="923"/>
      <c r="E38" s="923"/>
      <c r="F38" s="923"/>
      <c r="G38" s="923"/>
      <c r="H38" s="923"/>
    </row>
    <row r="39" ht="12.75" customHeight="1">
      <c r="A39" s="923"/>
      <c r="B39" s="923"/>
      <c r="C39" s="923"/>
      <c r="D39" s="923"/>
      <c r="E39" s="923"/>
      <c r="F39" s="923"/>
      <c r="G39" s="923"/>
      <c r="H39" s="923"/>
    </row>
    <row r="40" ht="12.75" customHeight="1">
      <c r="A40" s="923"/>
      <c r="B40" s="923"/>
      <c r="C40" s="923"/>
      <c r="D40" s="923"/>
      <c r="E40" s="923"/>
      <c r="F40" s="923"/>
      <c r="G40" s="923"/>
      <c r="H40" s="923"/>
    </row>
    <row r="41" ht="12.75" customHeight="1">
      <c r="A41" s="923"/>
      <c r="B41" s="923"/>
      <c r="C41" s="923"/>
      <c r="D41" s="923"/>
      <c r="E41" s="923"/>
      <c r="F41" s="923"/>
      <c r="G41" s="923"/>
      <c r="H41" s="923"/>
    </row>
    <row r="42" ht="12.75" customHeight="1">
      <c r="A42" s="923"/>
      <c r="B42" s="923"/>
      <c r="C42" s="923"/>
      <c r="D42" s="923"/>
      <c r="E42" s="923"/>
      <c r="F42" s="923"/>
      <c r="G42" s="923"/>
      <c r="H42" s="923"/>
    </row>
    <row r="43" ht="12.75" customHeight="1">
      <c r="A43" s="923"/>
      <c r="B43" s="923"/>
      <c r="C43" s="923"/>
      <c r="D43" s="923"/>
      <c r="E43" s="923"/>
      <c r="F43" s="923"/>
      <c r="G43" s="923"/>
      <c r="H43" s="923"/>
    </row>
    <row r="44" ht="12.75" customHeight="1">
      <c r="A44" s="923"/>
      <c r="B44" s="923"/>
      <c r="C44" s="923"/>
      <c r="D44" s="923"/>
      <c r="E44" s="923"/>
      <c r="F44" s="923"/>
      <c r="G44" s="923"/>
      <c r="H44" s="923"/>
    </row>
    <row r="45" ht="12.75" customHeight="1">
      <c r="A45" s="923"/>
      <c r="B45" s="923"/>
      <c r="C45" s="923"/>
      <c r="D45" s="923"/>
      <c r="E45" s="923"/>
      <c r="F45" s="923"/>
      <c r="G45" s="923"/>
      <c r="H45" s="923"/>
    </row>
    <row r="46" ht="12.75" customHeight="1">
      <c r="A46" s="923"/>
      <c r="B46" s="923"/>
      <c r="C46" s="923"/>
      <c r="D46" s="923"/>
      <c r="E46" s="923"/>
      <c r="F46" s="923"/>
      <c r="G46" s="923"/>
      <c r="H46" s="923"/>
    </row>
    <row r="47" ht="12.75" customHeight="1">
      <c r="A47" s="923"/>
      <c r="B47" s="923"/>
      <c r="C47" s="923"/>
      <c r="D47" s="923"/>
      <c r="E47" s="923"/>
      <c r="F47" s="923"/>
      <c r="G47" s="923"/>
      <c r="H47" s="923"/>
    </row>
  </sheetData>
  <pageMargins left="0.748031" right="0.748031" top="0.984252" bottom="0.984252"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ALL154"/>
  <sheetViews>
    <sheetView workbookViewId="0" defaultGridColor="0" colorId="17"/>
  </sheetViews>
  <sheetFormatPr defaultColWidth="10.8333" defaultRowHeight="12.75" customHeight="1" outlineLevelRow="0" outlineLevelCol="0"/>
  <cols>
    <col min="1" max="1" width="13.1719" style="928" customWidth="1"/>
    <col min="2" max="2" width="1.35156" style="928" customWidth="1"/>
    <col min="3" max="3" width="6.85156" style="928" customWidth="1"/>
    <col min="4" max="10" width="5.5" style="928" customWidth="1"/>
    <col min="11" max="11" width="6.5" style="928" customWidth="1"/>
    <col min="12" max="12" width="8.35156" style="928" customWidth="1"/>
    <col min="13" max="13" width="5.67188" style="928" customWidth="1"/>
    <col min="14" max="14" width="5.17188" style="928" customWidth="1"/>
    <col min="15" max="15" width="5.5" style="928" customWidth="1"/>
    <col min="16" max="16" width="5.85156" style="928" customWidth="1"/>
    <col min="17" max="1000" width="5.35156" style="928" customWidth="1"/>
    <col min="1001" max="16384" width="10.8516" style="927" customWidth="1"/>
  </cols>
  <sheetData>
    <row r="1" s="929" customFormat="1" ht="54" customHeight="1">
      <c r="A1" t="s" s="930">
        <v>270</v>
      </c>
      <c r="B1" s="931"/>
      <c r="C1" s="931"/>
      <c r="D1" s="931"/>
      <c r="E1" s="931"/>
      <c r="F1" s="931"/>
      <c r="G1" s="931"/>
      <c r="H1" s="931"/>
      <c r="I1" s="931"/>
      <c r="J1" s="931"/>
      <c r="K1" s="931"/>
      <c r="L1" s="931"/>
      <c r="M1" s="931"/>
      <c r="N1" s="931"/>
      <c r="O1" s="932"/>
      <c r="P1" s="933"/>
      <c r="Q1" s="934"/>
      <c r="R1" s="934"/>
      <c r="S1" s="934"/>
      <c r="T1" s="934"/>
      <c r="U1" s="934"/>
      <c r="V1" s="934"/>
      <c r="W1" s="934"/>
      <c r="X1" s="934"/>
      <c r="Y1" s="934"/>
      <c r="Z1" s="934"/>
      <c r="AA1" s="934"/>
      <c r="AB1" s="934"/>
      <c r="AC1" s="934"/>
      <c r="AD1" s="934"/>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4"/>
      <c r="BG1" s="934"/>
      <c r="BH1" s="934"/>
      <c r="BI1" s="934"/>
      <c r="BJ1" s="934"/>
      <c r="BK1" s="934"/>
      <c r="BL1" s="934"/>
      <c r="BM1" s="934"/>
      <c r="BN1" s="934"/>
      <c r="BO1" s="934"/>
      <c r="BP1" s="934"/>
      <c r="BQ1" s="934"/>
      <c r="BR1" s="934"/>
      <c r="BS1" s="934"/>
      <c r="BT1" s="934"/>
      <c r="BU1" s="934"/>
      <c r="BV1" s="934"/>
      <c r="BW1" s="934"/>
      <c r="BX1" s="934"/>
      <c r="BY1" s="934"/>
      <c r="BZ1" s="934"/>
      <c r="CA1" s="934"/>
      <c r="CB1" s="934"/>
      <c r="CC1" s="934"/>
      <c r="CD1" s="934"/>
      <c r="CE1" s="934"/>
      <c r="CF1" s="934"/>
      <c r="CG1" s="934"/>
      <c r="CH1" s="934"/>
    </row>
    <row r="2" s="929" customFormat="1" ht="8" customHeight="1">
      <c r="A2" s="935"/>
      <c r="B2" s="936"/>
      <c r="C2" s="937"/>
      <c r="D2" s="937"/>
      <c r="E2" s="937"/>
      <c r="F2" s="937"/>
      <c r="G2" s="937"/>
      <c r="H2" s="937"/>
      <c r="I2" s="937"/>
      <c r="J2" s="937"/>
      <c r="K2" s="937"/>
      <c r="L2" s="937"/>
      <c r="M2" s="937"/>
      <c r="N2" s="938"/>
      <c r="O2" s="939"/>
      <c r="P2" s="934"/>
      <c r="Q2" s="934"/>
      <c r="R2" s="934"/>
      <c r="S2" s="934"/>
      <c r="T2" s="934"/>
      <c r="U2" s="934"/>
      <c r="V2" s="934"/>
      <c r="W2" s="934"/>
      <c r="X2" s="934"/>
      <c r="Y2" s="934"/>
      <c r="Z2" s="934"/>
      <c r="AA2" s="934"/>
      <c r="AB2" s="934"/>
      <c r="AC2" s="934"/>
      <c r="AD2" s="934"/>
      <c r="AE2" s="934"/>
      <c r="AF2" s="934"/>
      <c r="AG2" s="934"/>
      <c r="AH2" s="934"/>
      <c r="AI2" s="934"/>
      <c r="AJ2" s="934"/>
      <c r="AK2" s="934"/>
      <c r="AL2" s="934"/>
      <c r="AM2" s="934"/>
      <c r="AN2" s="934"/>
      <c r="AO2" s="934"/>
      <c r="AP2" s="934"/>
      <c r="AQ2" s="934"/>
      <c r="AR2" s="934"/>
      <c r="AS2" s="934"/>
      <c r="AT2" s="934"/>
      <c r="AU2" s="934"/>
      <c r="AV2" s="934"/>
      <c r="AW2" s="934"/>
      <c r="AX2" s="934"/>
      <c r="AY2" s="934"/>
      <c r="AZ2" s="934"/>
      <c r="BA2" s="934"/>
      <c r="BB2" s="934"/>
      <c r="BC2" s="934"/>
      <c r="BD2" s="934"/>
      <c r="BE2" s="934"/>
      <c r="BF2" s="934"/>
      <c r="BG2" s="934"/>
      <c r="BH2" s="934"/>
      <c r="BI2" s="934"/>
      <c r="BJ2" s="934"/>
      <c r="BK2" s="934"/>
      <c r="BL2" s="934"/>
      <c r="BM2" s="934"/>
      <c r="BN2" s="934"/>
      <c r="BO2" s="934"/>
      <c r="BP2" s="934"/>
      <c r="BQ2" s="934"/>
      <c r="BR2" s="934"/>
      <c r="BS2" s="934"/>
      <c r="BT2" s="934"/>
      <c r="BU2" s="934"/>
      <c r="BV2" s="934"/>
      <c r="BW2" s="934"/>
      <c r="BX2" s="934"/>
      <c r="BY2" s="934"/>
      <c r="BZ2" s="934"/>
      <c r="CA2" s="934"/>
      <c r="CB2" s="934"/>
      <c r="CC2" s="934"/>
      <c r="CD2" s="934"/>
      <c r="CE2" s="934"/>
      <c r="CF2" s="934"/>
      <c r="CG2" s="934"/>
      <c r="CH2" s="934"/>
    </row>
    <row r="3" s="929" customFormat="1" ht="8" customHeight="1">
      <c r="A3" s="940"/>
      <c r="B3" s="941"/>
      <c r="C3" s="941"/>
      <c r="D3" s="941"/>
      <c r="E3" s="941"/>
      <c r="F3" s="941"/>
      <c r="G3" s="941"/>
      <c r="H3" s="941"/>
      <c r="I3" s="941"/>
      <c r="J3" s="941"/>
      <c r="K3" s="941"/>
      <c r="L3" s="941"/>
      <c r="M3" s="941"/>
      <c r="N3" s="941"/>
      <c r="O3" s="941"/>
      <c r="P3" s="942"/>
      <c r="Q3" s="934"/>
      <c r="R3" s="934"/>
      <c r="S3" s="934"/>
      <c r="T3" s="934"/>
      <c r="U3" s="934"/>
      <c r="V3" s="934"/>
      <c r="W3" s="934"/>
      <c r="X3" s="934"/>
      <c r="Y3" s="934"/>
      <c r="Z3" s="934"/>
      <c r="AA3" s="934"/>
      <c r="AB3" s="934"/>
      <c r="AC3" s="934"/>
      <c r="AD3" s="934"/>
      <c r="AE3" s="934"/>
      <c r="AF3" s="934"/>
      <c r="AG3" s="934"/>
      <c r="AH3" s="934"/>
      <c r="AI3" s="934"/>
      <c r="AJ3" s="934"/>
      <c r="AK3" s="934"/>
      <c r="AL3" s="934"/>
      <c r="AM3" s="934"/>
      <c r="AN3" s="934"/>
      <c r="AO3" s="934"/>
      <c r="AP3" s="934"/>
      <c r="AQ3" s="934"/>
      <c r="AR3" s="934"/>
      <c r="AS3" s="934"/>
      <c r="AT3" s="934"/>
      <c r="AU3" s="934"/>
      <c r="AV3" s="934"/>
      <c r="AW3" s="934"/>
      <c r="AX3" s="934"/>
      <c r="AY3" s="934"/>
      <c r="AZ3" s="934"/>
      <c r="BA3" s="934"/>
      <c r="BB3" s="934"/>
      <c r="BC3" s="934"/>
      <c r="BD3" s="934"/>
      <c r="BE3" s="934"/>
      <c r="BF3" s="934"/>
      <c r="BG3" s="934"/>
      <c r="BH3" s="934"/>
      <c r="BI3" s="934"/>
      <c r="BJ3" s="934"/>
      <c r="BK3" s="934"/>
      <c r="BL3" s="934"/>
      <c r="BM3" s="934"/>
      <c r="BN3" s="934"/>
      <c r="BO3" s="934"/>
      <c r="BP3" s="934"/>
      <c r="BQ3" s="934"/>
      <c r="BR3" s="934"/>
      <c r="BS3" s="934"/>
      <c r="BT3" s="934"/>
      <c r="BU3" s="934"/>
      <c r="BV3" s="934"/>
      <c r="BW3" s="934"/>
      <c r="BX3" s="934"/>
      <c r="BY3" s="934"/>
      <c r="BZ3" s="934"/>
      <c r="CA3" s="934"/>
      <c r="CB3" s="934"/>
      <c r="CC3" s="934"/>
      <c r="CD3" s="934"/>
      <c r="CE3" s="934"/>
      <c r="CF3" s="934"/>
      <c r="CG3" s="934"/>
      <c r="CH3" s="934"/>
    </row>
    <row r="4" s="929" customFormat="1" ht="34.5" customHeight="1">
      <c r="A4" t="s" s="943">
        <v>271</v>
      </c>
      <c r="B4" s="944"/>
      <c r="C4" s="944"/>
      <c r="D4" s="944"/>
      <c r="E4" s="944"/>
      <c r="F4" s="944"/>
      <c r="G4" s="944"/>
      <c r="H4" s="944"/>
      <c r="I4" t="str" s="945" cm="1">
        <f t="array" ref="I4">'Certificado'!I3</f>
        <v>M-MK-0497/26</v>
      </c>
      <c r="J4" s="945"/>
      <c r="K4" s="945"/>
      <c r="L4" s="945"/>
      <c r="M4" s="945"/>
      <c r="N4" s="945"/>
      <c r="O4" s="946"/>
      <c r="P4" s="947"/>
      <c r="Q4" s="948"/>
      <c r="R4" s="948"/>
      <c r="S4" s="948"/>
      <c r="T4" s="948"/>
      <c r="U4" s="949"/>
      <c r="V4" s="949"/>
      <c r="W4" s="949"/>
      <c r="X4" s="949"/>
      <c r="Y4" s="949"/>
      <c r="Z4" s="949"/>
      <c r="AA4" s="948"/>
      <c r="AB4" s="948"/>
      <c r="AC4" s="948"/>
      <c r="AD4" s="948"/>
      <c r="AE4" s="948"/>
      <c r="AF4" s="948"/>
      <c r="AG4" s="949"/>
      <c r="AH4" s="949"/>
      <c r="AI4" s="949"/>
      <c r="AJ4" s="949"/>
      <c r="AK4" s="949"/>
      <c r="AL4" s="949"/>
      <c r="AM4" s="948"/>
      <c r="AN4" s="948"/>
      <c r="AO4" s="948"/>
      <c r="AP4" s="948"/>
      <c r="AQ4" s="948"/>
      <c r="AR4" s="948"/>
      <c r="AS4" s="949"/>
      <c r="AT4" s="949"/>
      <c r="AU4" s="949"/>
      <c r="AV4" s="949"/>
      <c r="AW4" s="949"/>
      <c r="AX4" s="949"/>
      <c r="AY4" s="948"/>
      <c r="AZ4" s="948"/>
      <c r="BA4" s="948"/>
      <c r="BB4" s="948"/>
      <c r="BC4" s="948"/>
      <c r="BD4" s="948"/>
      <c r="BE4" s="949"/>
      <c r="BF4" s="949"/>
      <c r="BG4" s="949"/>
      <c r="BH4" s="949"/>
      <c r="BI4" s="949"/>
      <c r="BJ4" s="949"/>
      <c r="BK4" s="948"/>
      <c r="BL4" s="948"/>
      <c r="BM4" s="948"/>
      <c r="BN4" s="948"/>
      <c r="BO4" s="948"/>
      <c r="BP4" s="948"/>
      <c r="BQ4" s="949"/>
      <c r="BR4" s="949"/>
      <c r="BS4" s="949"/>
      <c r="BT4" s="949"/>
      <c r="BU4" s="949"/>
      <c r="BV4" s="949"/>
      <c r="BW4" s="948"/>
      <c r="BX4" s="948"/>
      <c r="BY4" s="948"/>
      <c r="BZ4" s="948"/>
      <c r="CA4" s="948"/>
      <c r="CB4" s="948"/>
      <c r="CC4" s="949"/>
      <c r="CD4" s="949"/>
      <c r="CE4" s="949"/>
      <c r="CF4" s="949"/>
      <c r="CG4" s="949"/>
      <c r="CH4" s="949"/>
    </row>
    <row r="5" s="929" customFormat="1" ht="30.75" customHeight="1">
      <c r="A5" t="s" s="950">
        <v>273</v>
      </c>
      <c r="B5" s="951"/>
      <c r="C5" s="951"/>
      <c r="D5" s="951"/>
      <c r="E5" s="951"/>
      <c r="F5" s="951"/>
      <c r="G5" s="951"/>
      <c r="H5" s="951"/>
      <c r="I5" s="951"/>
      <c r="J5" s="952" cm="1">
        <f t="array" ref="J5">'Certificado'!J5</f>
        <v>46070</v>
      </c>
      <c r="K5" s="952"/>
      <c r="L5" s="952"/>
      <c r="M5" s="952"/>
      <c r="N5" s="952"/>
      <c r="O5" s="953"/>
      <c r="P5" s="954"/>
      <c r="Q5" s="955"/>
      <c r="R5" s="955"/>
      <c r="S5" s="955"/>
      <c r="T5" s="955"/>
      <c r="U5" s="956"/>
      <c r="V5" s="956"/>
      <c r="W5" s="956"/>
      <c r="X5" s="956"/>
      <c r="Y5" s="956"/>
      <c r="Z5" s="956"/>
      <c r="AA5" s="956"/>
      <c r="AB5" s="956"/>
      <c r="AC5" s="955"/>
      <c r="AD5" s="955"/>
      <c r="AE5" s="955"/>
      <c r="AF5" s="955"/>
      <c r="AG5" s="956"/>
      <c r="AH5" s="956"/>
      <c r="AI5" s="956"/>
      <c r="AJ5" s="956"/>
      <c r="AK5" s="956"/>
      <c r="AL5" s="956"/>
      <c r="AM5" s="956"/>
      <c r="AN5" s="956"/>
      <c r="AO5" s="955"/>
      <c r="AP5" s="955"/>
      <c r="AQ5" s="955"/>
      <c r="AR5" s="955"/>
      <c r="AS5" s="956"/>
      <c r="AT5" s="956"/>
      <c r="AU5" s="956"/>
      <c r="AV5" s="956"/>
      <c r="AW5" s="956"/>
      <c r="AX5" s="956"/>
      <c r="AY5" s="956"/>
      <c r="AZ5" s="956"/>
      <c r="BA5" s="955"/>
      <c r="BB5" s="955"/>
      <c r="BC5" s="955"/>
      <c r="BD5" s="955"/>
      <c r="BE5" s="956"/>
      <c r="BF5" s="956"/>
      <c r="BG5" s="956"/>
      <c r="BH5" s="956"/>
      <c r="BI5" s="956"/>
      <c r="BJ5" s="956"/>
      <c r="BK5" s="956"/>
      <c r="BL5" s="956"/>
      <c r="BM5" s="955"/>
      <c r="BN5" s="955"/>
      <c r="BO5" s="955"/>
      <c r="BP5" s="955"/>
      <c r="BQ5" s="956"/>
      <c r="BR5" s="956"/>
      <c r="BS5" s="956"/>
      <c r="BT5" s="956"/>
      <c r="BU5" s="956"/>
      <c r="BV5" s="956"/>
      <c r="BW5" s="956"/>
      <c r="BX5" s="956"/>
      <c r="BY5" s="955"/>
      <c r="BZ5" s="955"/>
      <c r="CA5" s="955"/>
      <c r="CB5" s="955"/>
      <c r="CC5" s="956"/>
      <c r="CD5" s="956"/>
      <c r="CE5" s="956"/>
      <c r="CF5" s="956"/>
      <c r="CG5" s="956"/>
      <c r="CH5" s="956"/>
    </row>
    <row r="6" s="929" customFormat="1" ht="32.25" customHeight="1">
      <c r="A6" t="s" s="950">
        <v>274</v>
      </c>
      <c r="B6" s="951"/>
      <c r="C6" s="951"/>
      <c r="D6" s="951"/>
      <c r="E6" s="951"/>
      <c r="F6" s="951"/>
      <c r="G6" s="951"/>
      <c r="H6" s="951"/>
      <c r="I6" s="951"/>
      <c r="J6" s="952" cm="1">
        <f t="array" ref="J6">'Certificado'!J7</f>
        <v>46250</v>
      </c>
      <c r="K6" s="952"/>
      <c r="L6" s="952"/>
      <c r="M6" s="952"/>
      <c r="N6" s="952"/>
      <c r="O6" s="953"/>
      <c r="P6" s="954"/>
      <c r="Q6" s="955"/>
      <c r="R6" s="955"/>
      <c r="S6" s="955"/>
      <c r="T6" s="955"/>
      <c r="U6" s="956"/>
      <c r="V6" s="956"/>
      <c r="W6" s="956"/>
      <c r="X6" s="956"/>
      <c r="Y6" s="956"/>
      <c r="Z6" s="956"/>
      <c r="AA6" s="956"/>
      <c r="AB6" s="956"/>
      <c r="AC6" s="955"/>
      <c r="AD6" s="955"/>
      <c r="AE6" s="955"/>
      <c r="AF6" s="955"/>
      <c r="AG6" s="956"/>
      <c r="AH6" s="956"/>
      <c r="AI6" s="956"/>
      <c r="AJ6" s="956"/>
      <c r="AK6" s="956"/>
      <c r="AL6" s="956"/>
      <c r="AM6" s="956"/>
      <c r="AN6" s="956"/>
      <c r="AO6" s="955"/>
      <c r="AP6" s="955"/>
      <c r="AQ6" s="955"/>
      <c r="AR6" s="955"/>
      <c r="AS6" s="956"/>
      <c r="AT6" s="956"/>
      <c r="AU6" s="956"/>
      <c r="AV6" s="956"/>
      <c r="AW6" s="956"/>
      <c r="AX6" s="956"/>
      <c r="AY6" s="956"/>
      <c r="AZ6" s="956"/>
      <c r="BA6" s="955"/>
      <c r="BB6" s="955"/>
      <c r="BC6" s="955"/>
      <c r="BD6" s="955"/>
      <c r="BE6" s="956"/>
      <c r="BF6" s="956"/>
      <c r="BG6" s="956"/>
      <c r="BH6" s="956"/>
      <c r="BI6" s="956"/>
      <c r="BJ6" s="956"/>
      <c r="BK6" s="956"/>
      <c r="BL6" s="956"/>
      <c r="BM6" s="955"/>
      <c r="BN6" s="955"/>
      <c r="BO6" s="955"/>
      <c r="BP6" s="955"/>
      <c r="BQ6" s="956"/>
      <c r="BR6" s="956"/>
      <c r="BS6" s="956"/>
      <c r="BT6" s="956"/>
      <c r="BU6" s="956"/>
      <c r="BV6" s="956"/>
      <c r="BW6" s="956"/>
      <c r="BX6" s="956"/>
      <c r="BY6" s="955"/>
      <c r="BZ6" s="955"/>
      <c r="CA6" s="955"/>
      <c r="CB6" s="955"/>
      <c r="CC6" s="956"/>
      <c r="CD6" s="956"/>
      <c r="CE6" s="956"/>
      <c r="CF6" s="956"/>
      <c r="CG6" s="956"/>
      <c r="CH6" s="956"/>
    </row>
    <row r="7" s="929" customFormat="1" ht="27.75" customHeight="1">
      <c r="A7" t="s" s="957">
        <v>275</v>
      </c>
      <c r="B7" s="958"/>
      <c r="C7" s="958"/>
      <c r="D7" t="str" s="959" cm="1">
        <f t="array" ref="D7">'Certificado'!D21</f>
        <v>RBD-048</v>
      </c>
      <c r="E7" s="959"/>
      <c r="F7" s="959"/>
      <c r="G7" s="959"/>
      <c r="H7" s="959"/>
      <c r="I7" s="959"/>
      <c r="J7" s="959"/>
      <c r="K7" s="959"/>
      <c r="L7" s="959"/>
      <c r="M7" s="959"/>
      <c r="N7" s="959"/>
      <c r="O7" s="960"/>
      <c r="P7" s="961"/>
      <c r="Q7" s="962"/>
      <c r="R7" s="962"/>
      <c r="S7" s="962"/>
      <c r="T7" s="962"/>
      <c r="U7" s="963"/>
      <c r="V7" s="963"/>
      <c r="W7" s="962"/>
      <c r="X7" s="962"/>
      <c r="Y7" s="962"/>
      <c r="Z7" s="962"/>
      <c r="AA7" s="962"/>
      <c r="AB7" s="962"/>
      <c r="AC7" s="962"/>
      <c r="AD7" s="962"/>
      <c r="AE7" s="962"/>
      <c r="AF7" s="962"/>
      <c r="AG7" s="963"/>
      <c r="AH7" s="963"/>
      <c r="AI7" s="962"/>
      <c r="AJ7" s="962"/>
      <c r="AK7" s="962"/>
      <c r="AL7" s="962"/>
      <c r="AM7" s="962"/>
      <c r="AN7" s="962"/>
      <c r="AO7" s="962"/>
      <c r="AP7" s="962"/>
      <c r="AQ7" s="962"/>
      <c r="AR7" s="962"/>
      <c r="AS7" s="963"/>
      <c r="AT7" s="963"/>
      <c r="AU7" s="962"/>
      <c r="AV7" s="962"/>
      <c r="AW7" s="962"/>
      <c r="AX7" s="962"/>
      <c r="AY7" s="962"/>
      <c r="AZ7" s="962"/>
      <c r="BA7" s="962"/>
      <c r="BB7" s="962"/>
      <c r="BC7" s="962"/>
      <c r="BD7" s="962"/>
      <c r="BE7" s="963"/>
      <c r="BF7" s="963"/>
      <c r="BG7" s="962"/>
      <c r="BH7" s="962"/>
      <c r="BI7" s="962"/>
      <c r="BJ7" s="962"/>
      <c r="BK7" s="962"/>
      <c r="BL7" s="962"/>
      <c r="BM7" s="962"/>
      <c r="BN7" s="962"/>
      <c r="BO7" s="962"/>
      <c r="BP7" s="962"/>
      <c r="BQ7" s="963"/>
      <c r="BR7" s="963"/>
      <c r="BS7" s="962"/>
      <c r="BT7" s="962"/>
      <c r="BU7" s="962"/>
      <c r="BV7" s="962"/>
      <c r="BW7" s="962"/>
      <c r="BX7" s="962"/>
      <c r="BY7" s="962"/>
      <c r="BZ7" s="962"/>
      <c r="CA7" s="962"/>
      <c r="CB7" s="962"/>
      <c r="CC7" s="963"/>
      <c r="CD7" s="963"/>
      <c r="CE7" s="962"/>
      <c r="CF7" s="962"/>
      <c r="CG7" s="962"/>
      <c r="CH7" s="962"/>
    </row>
    <row r="8" s="964" customFormat="1" ht="34.5" customHeight="1">
      <c r="A8" s="965"/>
      <c r="B8" t="s" s="966">
        <v>277</v>
      </c>
      <c r="C8" s="967"/>
      <c r="D8" s="967"/>
      <c r="E8" s="967"/>
      <c r="F8" s="967"/>
      <c r="G8" s="967"/>
      <c r="H8" s="967"/>
      <c r="I8" s="967"/>
      <c r="J8" s="967"/>
      <c r="K8" s="967"/>
      <c r="L8" s="967"/>
      <c r="M8" t="s" s="968">
        <v>278</v>
      </c>
    </row>
    <row r="9" s="964" customFormat="1" ht="30.75" customHeight="1">
      <c r="A9" s="969"/>
      <c r="B9" s="970"/>
      <c r="C9" s="970"/>
      <c r="D9" s="970"/>
      <c r="E9" s="970"/>
      <c r="F9" s="970"/>
      <c r="G9" s="970"/>
      <c r="H9" s="970"/>
      <c r="I9" s="970"/>
      <c r="J9" s="970"/>
      <c r="K9" s="970"/>
      <c r="L9" s="970"/>
    </row>
    <row r="10" s="929" customFormat="1" ht="13.5" customHeight="1" hidden="1">
      <c r="A10" s="971"/>
      <c r="B10" s="971"/>
      <c r="C10" s="971"/>
      <c r="D10" s="971"/>
      <c r="E10" s="971"/>
      <c r="F10" s="971"/>
      <c r="G10" s="971"/>
      <c r="H10" s="971"/>
      <c r="I10" s="971"/>
      <c r="J10" s="971"/>
      <c r="K10" s="971"/>
      <c r="L10" s="971"/>
      <c r="M10" s="971"/>
      <c r="N10" s="971"/>
      <c r="O10" s="971"/>
      <c r="P10" s="971"/>
      <c r="Q10" s="971"/>
      <c r="R10" s="971"/>
      <c r="S10" s="971"/>
      <c r="T10" s="971"/>
      <c r="U10" s="971"/>
      <c r="V10" s="971"/>
      <c r="W10" s="971"/>
      <c r="X10" s="971"/>
      <c r="Y10" s="971"/>
      <c r="Z10" s="971"/>
      <c r="AA10" s="971"/>
      <c r="AB10" s="971"/>
      <c r="AC10" s="971"/>
      <c r="AD10" s="971"/>
      <c r="AE10" s="971"/>
      <c r="AF10" s="971"/>
      <c r="AG10" s="971"/>
      <c r="AH10" s="971"/>
      <c r="AI10" s="971"/>
      <c r="AJ10" s="971"/>
      <c r="AK10" s="971"/>
      <c r="AL10" s="971"/>
      <c r="AM10" s="971"/>
      <c r="AN10" s="971"/>
      <c r="AO10" s="971"/>
      <c r="AP10" s="971"/>
      <c r="AQ10" s="971"/>
      <c r="AR10" s="971"/>
      <c r="AS10" s="971"/>
      <c r="AT10" s="971"/>
      <c r="AU10" s="971"/>
      <c r="AV10" s="971"/>
      <c r="AW10" s="971"/>
      <c r="AX10" s="971"/>
      <c r="AY10" s="971"/>
      <c r="AZ10" s="971"/>
      <c r="BA10" s="971"/>
      <c r="BB10" s="971"/>
      <c r="BC10" s="971"/>
      <c r="BD10" s="971"/>
      <c r="BE10" s="971"/>
      <c r="BF10" s="971"/>
      <c r="BG10" s="971"/>
      <c r="BH10" s="971"/>
      <c r="BI10" s="971"/>
      <c r="BJ10" s="971"/>
      <c r="BK10" s="971"/>
      <c r="BL10" s="971"/>
      <c r="BM10" s="971"/>
      <c r="BN10" s="971"/>
      <c r="BO10" s="971"/>
      <c r="BP10" s="971"/>
      <c r="BQ10" s="971"/>
      <c r="BR10" s="971"/>
      <c r="BS10" s="971"/>
      <c r="BT10" s="971"/>
      <c r="BU10" s="971"/>
      <c r="BV10" s="971"/>
      <c r="BW10" s="971"/>
      <c r="BX10" s="971"/>
      <c r="BY10" s="971"/>
      <c r="BZ10" s="971"/>
      <c r="CA10" s="971"/>
      <c r="CB10" s="971"/>
      <c r="CC10" s="971"/>
      <c r="CD10" s="971"/>
      <c r="CE10" s="971"/>
      <c r="CF10" s="971"/>
      <c r="CG10" s="971"/>
      <c r="CH10" s="971"/>
      <c r="CI10" s="971"/>
      <c r="CJ10" s="971"/>
      <c r="CK10" s="971"/>
      <c r="CL10" s="971"/>
      <c r="CM10" s="971"/>
      <c r="CN10" s="971"/>
      <c r="CO10" s="971"/>
      <c r="CP10" s="971"/>
      <c r="CQ10" s="971"/>
      <c r="CR10" s="971"/>
      <c r="CS10" s="971"/>
      <c r="CT10" s="971"/>
      <c r="CU10" s="971"/>
      <c r="CV10" s="971"/>
      <c r="CW10" s="971"/>
      <c r="CX10" s="971"/>
      <c r="CY10" s="971"/>
      <c r="CZ10" s="971"/>
      <c r="DA10" s="971"/>
      <c r="DB10" s="971"/>
      <c r="DC10" s="971"/>
      <c r="DD10" s="971"/>
      <c r="DE10" s="971"/>
      <c r="DF10" s="971"/>
      <c r="DG10" s="971"/>
      <c r="DH10" s="971"/>
      <c r="DI10" s="971"/>
      <c r="DJ10" s="971"/>
      <c r="DK10" s="971"/>
      <c r="DL10" s="971"/>
      <c r="DM10" s="971"/>
      <c r="DN10" s="971"/>
      <c r="DO10" s="971"/>
      <c r="DP10" s="971"/>
      <c r="DQ10" s="971"/>
      <c r="DR10" s="971"/>
      <c r="DS10" s="971"/>
      <c r="DT10" s="971"/>
      <c r="DU10" s="971"/>
      <c r="DV10" s="971"/>
      <c r="DW10" s="971"/>
      <c r="DX10" s="971"/>
      <c r="DY10" s="971"/>
      <c r="DZ10" s="971"/>
      <c r="EA10" s="971"/>
      <c r="EB10" s="971"/>
      <c r="EC10" s="971"/>
      <c r="ED10" s="971"/>
      <c r="EE10" s="971"/>
      <c r="EF10" s="971"/>
      <c r="EG10" s="971"/>
      <c r="EH10" s="971"/>
      <c r="EI10" s="971"/>
      <c r="EJ10" s="971"/>
      <c r="EK10" s="971"/>
      <c r="EL10" s="971"/>
      <c r="EM10" s="971"/>
      <c r="EN10" s="971"/>
      <c r="EO10" s="971"/>
      <c r="EP10" s="971"/>
      <c r="EQ10" s="971"/>
      <c r="ER10" s="971"/>
      <c r="ES10" s="971"/>
      <c r="ET10" s="971"/>
      <c r="EU10" s="971"/>
      <c r="EV10" s="971"/>
      <c r="EW10" s="971"/>
      <c r="EX10" s="971"/>
      <c r="EY10" s="971"/>
      <c r="EZ10" s="971"/>
      <c r="FA10" s="971"/>
      <c r="FB10" s="971"/>
      <c r="FC10" s="971"/>
      <c r="FD10" s="971"/>
      <c r="FE10" s="971"/>
      <c r="FF10" s="971"/>
      <c r="FG10" s="971"/>
      <c r="FH10" s="971"/>
      <c r="FI10" s="971"/>
      <c r="FJ10" s="971"/>
      <c r="FK10" s="971"/>
      <c r="FL10" s="971"/>
      <c r="FM10" s="971"/>
      <c r="FN10" s="971"/>
      <c r="FO10" s="971"/>
      <c r="FP10" s="971"/>
      <c r="FQ10" s="971"/>
      <c r="FR10" s="971"/>
      <c r="FS10" s="971"/>
      <c r="FT10" s="971"/>
      <c r="FU10" s="971"/>
      <c r="FV10" s="971"/>
      <c r="FW10" s="971"/>
      <c r="FX10" s="971"/>
      <c r="FY10" s="971"/>
      <c r="FZ10" s="971"/>
      <c r="GA10" s="971"/>
      <c r="GB10" s="971"/>
      <c r="GC10" s="971"/>
      <c r="GD10" s="971"/>
      <c r="GE10" s="971"/>
      <c r="GF10" s="971"/>
      <c r="GG10" s="971"/>
      <c r="GH10" s="971"/>
      <c r="GI10" s="971"/>
      <c r="GJ10" s="971"/>
      <c r="GK10" s="971"/>
      <c r="GL10" s="971"/>
      <c r="GM10" s="971"/>
      <c r="GN10" s="971"/>
      <c r="GO10" s="971"/>
      <c r="GP10" s="971"/>
      <c r="GQ10" s="971"/>
      <c r="GR10" s="971"/>
      <c r="GS10" s="971"/>
      <c r="GT10" s="971"/>
      <c r="GU10" s="971"/>
      <c r="GV10" s="971"/>
      <c r="GW10" s="971"/>
      <c r="GX10" s="971"/>
      <c r="GY10" s="971"/>
      <c r="GZ10" s="971"/>
      <c r="HA10" s="971"/>
      <c r="HB10" s="971"/>
      <c r="HC10" s="971"/>
      <c r="HD10" s="971"/>
      <c r="HE10" s="971"/>
      <c r="HF10" s="971"/>
      <c r="HG10" s="971"/>
      <c r="HH10" s="971"/>
      <c r="HI10" s="971"/>
      <c r="HJ10" s="971"/>
      <c r="HK10" s="971"/>
      <c r="HL10" s="971"/>
      <c r="HM10" s="971"/>
      <c r="HN10" s="971"/>
      <c r="HO10" s="971"/>
      <c r="HP10" s="971"/>
      <c r="HQ10" s="971"/>
      <c r="HR10" s="971"/>
      <c r="HS10" s="971"/>
      <c r="HT10" s="971"/>
      <c r="HU10" s="971"/>
      <c r="HV10" s="971"/>
      <c r="HW10" s="971"/>
      <c r="HX10" s="971"/>
      <c r="HY10" s="971"/>
      <c r="HZ10" s="971"/>
      <c r="IA10" s="971"/>
      <c r="IB10" s="971"/>
      <c r="IC10" s="971"/>
      <c r="ID10" s="971"/>
      <c r="IE10" s="971"/>
      <c r="IF10" s="971"/>
      <c r="IG10" s="971"/>
      <c r="IH10" s="971"/>
      <c r="II10" s="971"/>
      <c r="IJ10" s="971"/>
      <c r="IK10" s="971"/>
      <c r="IL10" s="971"/>
      <c r="IM10" s="971"/>
      <c r="IN10" s="971"/>
      <c r="IO10" s="971"/>
      <c r="IP10" s="971"/>
      <c r="IQ10" s="971"/>
      <c r="IR10" s="971"/>
      <c r="IS10" s="971"/>
      <c r="IT10" s="971"/>
      <c r="IU10" s="971"/>
      <c r="IV10" s="971"/>
      <c r="IW10" s="971"/>
      <c r="IX10" s="971"/>
      <c r="IY10" s="971"/>
      <c r="IZ10" s="971"/>
      <c r="JA10" s="971"/>
      <c r="JB10" s="971"/>
      <c r="JC10" s="971"/>
      <c r="JD10" s="971"/>
      <c r="JE10" s="971"/>
      <c r="JF10" s="971"/>
      <c r="JG10" s="971"/>
      <c r="JH10" s="971"/>
      <c r="JI10" s="971"/>
      <c r="JJ10" s="971"/>
      <c r="JK10" s="971"/>
      <c r="JL10" s="971"/>
      <c r="JM10" s="971"/>
      <c r="JN10" s="971"/>
      <c r="JO10" s="971"/>
      <c r="JP10" s="971"/>
      <c r="JQ10" s="971"/>
      <c r="JR10" s="971"/>
      <c r="JS10" s="971"/>
      <c r="JT10" s="971"/>
      <c r="JU10" s="971"/>
      <c r="JV10" s="971"/>
      <c r="JW10" s="971"/>
      <c r="JX10" s="971"/>
      <c r="JY10" s="971"/>
      <c r="JZ10" s="971"/>
      <c r="KA10" s="971"/>
      <c r="KB10" s="971"/>
      <c r="KC10" s="971"/>
      <c r="KD10" s="971"/>
      <c r="KE10" s="971"/>
      <c r="KF10" s="971"/>
      <c r="KG10" s="971"/>
      <c r="KH10" s="971"/>
      <c r="KI10" s="971"/>
      <c r="KJ10" s="971"/>
      <c r="KK10" s="971"/>
      <c r="KL10" s="971"/>
      <c r="KM10" s="971"/>
      <c r="KN10" s="971"/>
      <c r="KO10" s="971"/>
      <c r="KP10" s="971"/>
      <c r="KQ10" s="971"/>
      <c r="KR10" s="971"/>
      <c r="KS10" s="971"/>
      <c r="KT10" s="971"/>
      <c r="KU10" s="971"/>
      <c r="KV10" s="971"/>
      <c r="KW10" s="971"/>
      <c r="KX10" s="971"/>
      <c r="KY10" s="971"/>
      <c r="KZ10" s="971"/>
      <c r="LA10" s="971"/>
      <c r="LB10" s="971"/>
      <c r="LC10" s="971"/>
      <c r="LD10" s="971"/>
      <c r="LE10" s="971"/>
      <c r="LF10" s="971"/>
      <c r="LG10" s="971"/>
      <c r="LH10" s="971"/>
      <c r="LI10" s="971"/>
      <c r="LJ10" s="971"/>
      <c r="LK10" s="971"/>
      <c r="LL10" s="971"/>
      <c r="LM10" s="971"/>
      <c r="LN10" s="971"/>
      <c r="LO10" s="971"/>
      <c r="LP10" s="971"/>
      <c r="LQ10" s="971"/>
      <c r="LR10" s="971"/>
      <c r="LS10" s="971"/>
      <c r="LT10" s="971"/>
      <c r="LU10" s="971"/>
      <c r="LV10" s="971"/>
      <c r="LW10" s="971"/>
      <c r="LX10" s="971"/>
      <c r="LY10" s="971"/>
      <c r="LZ10" s="971"/>
      <c r="MA10" s="971"/>
      <c r="MB10" s="971"/>
      <c r="MC10" s="971"/>
      <c r="MD10" s="971"/>
      <c r="ME10" s="971"/>
      <c r="MF10" s="971"/>
      <c r="MG10" s="971"/>
      <c r="MH10" s="971"/>
      <c r="MI10" s="971"/>
      <c r="MJ10" s="971"/>
      <c r="MK10" s="971"/>
      <c r="ML10" s="971"/>
      <c r="MM10" s="971"/>
      <c r="MN10" s="971"/>
      <c r="MO10" s="971"/>
      <c r="MP10" s="971"/>
      <c r="MQ10" s="971"/>
      <c r="MR10" s="971"/>
      <c r="MS10" s="971"/>
      <c r="MT10" s="971"/>
      <c r="MU10" s="971"/>
      <c r="MV10" s="971"/>
      <c r="MW10" s="971"/>
      <c r="MX10" s="971"/>
      <c r="MY10" s="971"/>
      <c r="MZ10" s="971"/>
      <c r="NA10" s="971"/>
      <c r="NB10" s="971"/>
      <c r="NC10" s="971"/>
      <c r="ND10" s="971"/>
      <c r="NE10" s="971"/>
      <c r="NF10" s="971"/>
      <c r="NG10" s="971"/>
      <c r="NH10" s="971"/>
      <c r="NI10" s="971"/>
      <c r="NJ10" s="971"/>
      <c r="NK10" s="971"/>
      <c r="NL10" s="971"/>
      <c r="NM10" s="971"/>
      <c r="NN10" s="971"/>
      <c r="NO10" s="971"/>
      <c r="NP10" s="971"/>
      <c r="NQ10" s="971"/>
      <c r="NR10" s="971"/>
      <c r="NS10" s="971"/>
      <c r="NT10" s="971"/>
      <c r="NU10" s="971"/>
      <c r="NV10" s="971"/>
      <c r="NW10" s="971"/>
      <c r="NX10" s="971"/>
      <c r="NY10" s="971"/>
      <c r="NZ10" s="971"/>
      <c r="OA10" s="971"/>
      <c r="OB10" s="971"/>
      <c r="OC10" s="971"/>
      <c r="OD10" s="971"/>
      <c r="OE10" s="971"/>
      <c r="OF10" s="971"/>
      <c r="OG10" s="971"/>
      <c r="OH10" s="971"/>
      <c r="OI10" s="971"/>
      <c r="OJ10" s="971"/>
      <c r="OK10" s="971"/>
      <c r="OL10" s="971"/>
      <c r="OM10" s="971"/>
      <c r="ON10" s="971"/>
      <c r="OO10" s="971"/>
      <c r="OP10" s="971"/>
      <c r="OQ10" s="971"/>
      <c r="OR10" s="971"/>
      <c r="OS10" s="971"/>
      <c r="OT10" s="971"/>
      <c r="OU10" s="971"/>
      <c r="OV10" s="971"/>
      <c r="OW10" s="971"/>
      <c r="OX10" s="971"/>
      <c r="OY10" s="971"/>
      <c r="OZ10" s="971"/>
      <c r="PA10" s="971"/>
      <c r="PB10" s="971"/>
      <c r="PC10" s="971"/>
      <c r="PD10" s="971"/>
      <c r="PE10" s="971"/>
      <c r="PF10" s="971"/>
      <c r="PG10" s="971"/>
      <c r="PH10" s="971"/>
      <c r="PI10" s="971"/>
      <c r="PJ10" s="971"/>
      <c r="PK10" s="971"/>
      <c r="PL10" s="971"/>
      <c r="PM10" s="971"/>
      <c r="PN10" s="971"/>
      <c r="PO10" s="971"/>
      <c r="PP10" s="971"/>
      <c r="PQ10" s="971"/>
      <c r="PR10" s="971"/>
      <c r="PS10" s="971"/>
      <c r="PT10" s="971"/>
      <c r="PU10" s="971"/>
      <c r="PV10" s="971"/>
      <c r="PW10" s="971"/>
      <c r="PX10" s="971"/>
      <c r="PY10" s="971"/>
      <c r="PZ10" s="971"/>
      <c r="QA10" s="971"/>
      <c r="QB10" s="971"/>
      <c r="QC10" s="971"/>
      <c r="QD10" s="971"/>
      <c r="QE10" s="971"/>
      <c r="QF10" s="971"/>
      <c r="QG10" s="971"/>
      <c r="QH10" s="971"/>
      <c r="QI10" s="971"/>
      <c r="QJ10" s="971"/>
      <c r="QK10" s="971"/>
      <c r="QL10" s="971"/>
      <c r="QM10" s="971"/>
      <c r="QN10" s="971"/>
      <c r="QO10" s="971"/>
      <c r="QP10" s="971"/>
      <c r="QQ10" s="971"/>
      <c r="QR10" s="971"/>
      <c r="QS10" s="971"/>
      <c r="QT10" s="971"/>
      <c r="QU10" s="971"/>
      <c r="QV10" s="971"/>
      <c r="QW10" s="971"/>
      <c r="QX10" s="971"/>
      <c r="QY10" s="971"/>
      <c r="QZ10" s="971"/>
      <c r="RA10" s="971"/>
      <c r="RB10" s="971"/>
      <c r="RC10" s="971"/>
      <c r="RD10" s="971"/>
      <c r="RE10" s="971"/>
      <c r="RF10" s="971"/>
      <c r="RG10" s="971"/>
      <c r="RH10" s="971"/>
      <c r="RI10" s="971"/>
      <c r="RJ10" s="971"/>
      <c r="RK10" s="971"/>
      <c r="RL10" s="971"/>
      <c r="RM10" s="971"/>
      <c r="RN10" s="971"/>
      <c r="RO10" s="971"/>
      <c r="RP10" s="971"/>
      <c r="RQ10" s="971"/>
      <c r="RR10" s="971"/>
      <c r="RS10" s="971"/>
      <c r="RT10" s="971"/>
      <c r="RU10" s="971"/>
      <c r="RV10" s="971"/>
      <c r="RW10" s="971"/>
      <c r="RX10" s="971"/>
      <c r="RY10" s="971"/>
      <c r="RZ10" s="971"/>
      <c r="SA10" s="971"/>
      <c r="SB10" s="971"/>
      <c r="SC10" s="971"/>
      <c r="SD10" s="971"/>
      <c r="SE10" s="971"/>
      <c r="SF10" s="971"/>
      <c r="SG10" s="971"/>
      <c r="SH10" s="971"/>
      <c r="SI10" s="971"/>
      <c r="SJ10" s="971"/>
      <c r="SK10" s="971"/>
      <c r="SL10" s="971"/>
      <c r="SM10" s="971"/>
      <c r="SN10" s="971"/>
      <c r="SO10" s="971"/>
      <c r="SP10" s="971"/>
      <c r="SQ10" s="971"/>
      <c r="SR10" s="971"/>
      <c r="SS10" s="971"/>
      <c r="ST10" s="971"/>
      <c r="SU10" s="971"/>
      <c r="SV10" s="971"/>
      <c r="SW10" s="971"/>
      <c r="SX10" s="971"/>
      <c r="SY10" s="971"/>
      <c r="SZ10" s="971"/>
      <c r="TA10" s="971"/>
      <c r="TB10" s="971"/>
      <c r="TC10" s="971"/>
      <c r="TD10" s="971"/>
      <c r="TE10" s="971"/>
      <c r="TF10" s="971"/>
      <c r="TG10" s="971"/>
      <c r="TH10" s="971"/>
      <c r="TI10" s="971"/>
      <c r="TJ10" s="971"/>
      <c r="TK10" s="971"/>
      <c r="TL10" s="971"/>
      <c r="TM10" s="971"/>
      <c r="TN10" s="971"/>
      <c r="TO10" s="971"/>
      <c r="TP10" s="971"/>
      <c r="TQ10" s="971"/>
      <c r="TR10" s="971"/>
      <c r="TS10" s="971"/>
      <c r="TT10" s="971"/>
      <c r="TU10" s="971"/>
      <c r="TV10" s="971"/>
      <c r="TW10" s="971"/>
      <c r="TX10" s="971"/>
      <c r="TY10" s="971"/>
      <c r="TZ10" s="971"/>
      <c r="UA10" s="971"/>
      <c r="UB10" s="971"/>
      <c r="UC10" s="971"/>
      <c r="UD10" s="971"/>
      <c r="UE10" s="971"/>
      <c r="UF10" s="971"/>
      <c r="UG10" s="971"/>
      <c r="UH10" s="971"/>
      <c r="UI10" s="971"/>
      <c r="UJ10" s="971"/>
      <c r="UK10" s="971"/>
      <c r="UL10" s="971"/>
      <c r="UM10" s="971"/>
      <c r="UN10" s="971"/>
      <c r="UO10" s="971"/>
      <c r="UP10" s="971"/>
      <c r="UQ10" s="971"/>
      <c r="UR10" s="971"/>
      <c r="US10" s="971"/>
      <c r="UT10" s="971"/>
      <c r="UU10" s="971"/>
      <c r="UV10" s="971"/>
      <c r="UW10" s="971"/>
      <c r="UX10" s="971"/>
      <c r="UY10" s="971"/>
      <c r="UZ10" s="971"/>
      <c r="VA10" s="971"/>
      <c r="VB10" s="971"/>
      <c r="VC10" s="971"/>
      <c r="VD10" s="971"/>
      <c r="VE10" s="971"/>
      <c r="VF10" s="971"/>
      <c r="VG10" s="971"/>
      <c r="VH10" s="971"/>
      <c r="VI10" s="971"/>
      <c r="VJ10" s="971"/>
      <c r="VK10" s="971"/>
      <c r="VL10" s="971"/>
      <c r="VM10" s="971"/>
      <c r="VN10" s="971"/>
      <c r="VO10" s="971"/>
      <c r="VP10" s="971"/>
      <c r="VQ10" s="971"/>
      <c r="VR10" s="971"/>
      <c r="VS10" s="971"/>
      <c r="VT10" s="971"/>
      <c r="VU10" s="971"/>
      <c r="VV10" s="971"/>
      <c r="VW10" s="971"/>
      <c r="VX10" s="971"/>
      <c r="VY10" s="971"/>
      <c r="VZ10" s="971"/>
      <c r="WA10" s="971"/>
      <c r="WB10" s="971"/>
      <c r="WC10" s="971"/>
      <c r="WD10" s="971"/>
      <c r="WE10" s="971"/>
      <c r="WF10" s="971"/>
      <c r="WG10" s="971"/>
      <c r="WH10" s="971"/>
      <c r="WI10" s="971"/>
      <c r="WJ10" s="971"/>
      <c r="WK10" s="971"/>
      <c r="WL10" s="971"/>
      <c r="WM10" s="971"/>
      <c r="WN10" s="971"/>
      <c r="WO10" s="971"/>
      <c r="WP10" s="971"/>
      <c r="WQ10" s="971"/>
      <c r="WR10" s="971"/>
      <c r="WS10" s="971"/>
      <c r="WT10" s="971"/>
      <c r="WU10" s="971"/>
      <c r="WV10" s="971"/>
      <c r="WW10" s="971"/>
      <c r="WX10" s="971"/>
      <c r="WY10" s="971"/>
      <c r="WZ10" s="971"/>
      <c r="XA10" s="971"/>
      <c r="XB10" s="971"/>
      <c r="XC10" s="971"/>
      <c r="XD10" s="971"/>
      <c r="XE10" s="971"/>
      <c r="XF10" s="971"/>
      <c r="XG10" s="971"/>
      <c r="XH10" s="971"/>
      <c r="XI10" s="971"/>
      <c r="XJ10" s="971"/>
      <c r="XK10" s="971"/>
      <c r="XL10" s="971"/>
      <c r="XM10" s="971"/>
      <c r="XN10" s="971"/>
      <c r="XO10" s="971"/>
      <c r="XP10" s="971"/>
      <c r="XQ10" s="971"/>
      <c r="XR10" s="971"/>
      <c r="XS10" s="971"/>
      <c r="XT10" s="971"/>
      <c r="XU10" s="971"/>
      <c r="XV10" s="971"/>
      <c r="XW10" s="971"/>
      <c r="XX10" s="971"/>
      <c r="XY10" s="971"/>
      <c r="XZ10" s="971"/>
      <c r="YA10" s="971"/>
      <c r="YB10" s="971"/>
      <c r="YC10" s="971"/>
      <c r="YD10" s="971"/>
      <c r="YE10" s="971"/>
      <c r="YF10" s="971"/>
      <c r="YG10" s="971"/>
      <c r="YH10" s="971"/>
      <c r="YI10" s="971"/>
      <c r="YJ10" s="971"/>
      <c r="YK10" s="971"/>
      <c r="YL10" s="971"/>
      <c r="YM10" s="971"/>
      <c r="YN10" s="971"/>
      <c r="YO10" s="971"/>
      <c r="YP10" s="971"/>
      <c r="YQ10" s="971"/>
      <c r="YR10" s="971"/>
      <c r="YS10" s="971"/>
      <c r="YT10" s="971"/>
      <c r="YU10" s="971"/>
      <c r="YV10" s="971"/>
      <c r="YW10" s="971"/>
      <c r="YX10" s="971"/>
      <c r="YY10" s="971"/>
      <c r="YZ10" s="971"/>
      <c r="ZA10" s="971"/>
      <c r="ZB10" s="971"/>
      <c r="ZC10" s="971"/>
      <c r="ZD10" s="971"/>
      <c r="ZE10" s="971"/>
      <c r="ZF10" s="971"/>
      <c r="ZG10" s="971"/>
      <c r="ZH10" s="971"/>
      <c r="ZI10" s="971"/>
      <c r="ZJ10" s="971"/>
      <c r="ZK10" s="971"/>
      <c r="ZL10" s="971"/>
      <c r="ZM10" s="971"/>
      <c r="ZN10" s="971"/>
      <c r="ZO10" s="971"/>
      <c r="ZP10" s="971"/>
      <c r="ZQ10" s="971"/>
      <c r="ZR10" s="971"/>
      <c r="ZS10" s="971"/>
      <c r="ZT10" s="971"/>
      <c r="ZU10" s="971"/>
      <c r="ZV10" s="971"/>
      <c r="ZW10" s="971"/>
      <c r="ZX10" s="971"/>
      <c r="ZY10" s="971"/>
      <c r="ZZ10" s="971"/>
      <c r="AAA10" s="971"/>
      <c r="AAB10" s="971"/>
      <c r="AAC10" s="971"/>
      <c r="AAD10" s="971"/>
      <c r="AAE10" s="971"/>
      <c r="AAF10" s="971"/>
      <c r="AAG10" s="971"/>
      <c r="AAH10" s="971"/>
      <c r="AAI10" s="971"/>
      <c r="AAJ10" s="971"/>
      <c r="AAK10" s="971"/>
      <c r="AAL10" s="971"/>
      <c r="AAM10" s="971"/>
      <c r="AAN10" s="971"/>
      <c r="AAO10" s="971"/>
      <c r="AAP10" s="971"/>
      <c r="AAQ10" s="971"/>
      <c r="AAR10" s="971"/>
      <c r="AAS10" s="971"/>
      <c r="AAT10" s="971"/>
      <c r="AAU10" s="971"/>
      <c r="AAV10" s="971"/>
      <c r="AAW10" s="971"/>
      <c r="AAX10" s="971"/>
      <c r="AAY10" s="971"/>
      <c r="AAZ10" s="971"/>
      <c r="ABA10" s="971"/>
      <c r="ABB10" s="971"/>
      <c r="ABC10" s="971"/>
      <c r="ABD10" s="971"/>
      <c r="ABE10" s="971"/>
      <c r="ABF10" s="971"/>
      <c r="ABG10" s="971"/>
      <c r="ABH10" s="971"/>
      <c r="ABI10" s="971"/>
      <c r="ABJ10" s="971"/>
      <c r="ABK10" s="971"/>
      <c r="ABL10" s="971"/>
      <c r="ABM10" s="971"/>
      <c r="ABN10" s="971"/>
      <c r="ABO10" s="971"/>
      <c r="ABP10" s="971"/>
      <c r="ABQ10" s="971"/>
      <c r="ABR10" s="971"/>
      <c r="ABS10" s="971"/>
      <c r="ABT10" s="971"/>
      <c r="ABU10" s="971"/>
      <c r="ABV10" s="971"/>
      <c r="ABW10" s="971"/>
      <c r="ABX10" s="971"/>
      <c r="ABY10" s="971"/>
      <c r="ABZ10" s="971"/>
      <c r="ACA10" s="971"/>
      <c r="ACB10" s="971"/>
      <c r="ACC10" s="971"/>
      <c r="ACD10" s="971"/>
      <c r="ACE10" s="971"/>
      <c r="ACF10" s="971"/>
      <c r="ACG10" s="971"/>
      <c r="ACH10" s="971"/>
      <c r="ACI10" s="971"/>
      <c r="ACJ10" s="971"/>
      <c r="ACK10" s="971"/>
      <c r="ACL10" s="971"/>
      <c r="ACM10" s="971"/>
      <c r="ACN10" s="971"/>
      <c r="ACO10" s="971"/>
      <c r="ACP10" s="971"/>
      <c r="ACQ10" s="971"/>
      <c r="ACR10" s="971"/>
      <c r="ACS10" s="971"/>
      <c r="ACT10" s="971"/>
      <c r="ACU10" s="971"/>
      <c r="ACV10" s="971"/>
      <c r="ACW10" s="971"/>
      <c r="ACX10" s="971"/>
      <c r="ACY10" s="971"/>
      <c r="ACZ10" s="971"/>
      <c r="ADA10" s="971"/>
      <c r="ADB10" s="971"/>
      <c r="ADC10" s="971"/>
      <c r="ADD10" s="971"/>
      <c r="ADE10" s="971"/>
      <c r="ADF10" s="971"/>
      <c r="ADG10" s="971"/>
      <c r="ADH10" s="971"/>
      <c r="ADI10" s="971"/>
      <c r="ADJ10" s="971"/>
      <c r="ADK10" s="971"/>
      <c r="ADL10" s="971"/>
      <c r="ADM10" s="971"/>
      <c r="ADN10" s="971"/>
      <c r="ADO10" s="971"/>
      <c r="ADP10" s="971"/>
      <c r="ADQ10" s="971"/>
      <c r="ADR10" s="971"/>
      <c r="ADS10" s="971"/>
      <c r="ADT10" s="971"/>
      <c r="ADU10" s="971"/>
      <c r="ADV10" s="971"/>
      <c r="ADW10" s="971"/>
      <c r="ADX10" s="971"/>
      <c r="ADY10" s="971"/>
      <c r="ADZ10" s="971"/>
      <c r="AEA10" s="971"/>
      <c r="AEB10" s="971"/>
      <c r="AEC10" s="971"/>
      <c r="AED10" s="971"/>
      <c r="AEE10" s="971"/>
      <c r="AEF10" s="971"/>
      <c r="AEG10" s="971"/>
      <c r="AEH10" s="971"/>
      <c r="AEI10" s="971"/>
      <c r="AEJ10" s="971"/>
      <c r="AEK10" s="971"/>
      <c r="AEL10" s="971"/>
      <c r="AEM10" s="971"/>
      <c r="AEN10" s="971"/>
      <c r="AEO10" s="971"/>
      <c r="AEP10" s="971"/>
      <c r="AEQ10" s="971"/>
      <c r="AER10" s="971"/>
      <c r="AES10" s="971"/>
      <c r="AET10" s="971"/>
      <c r="AEU10" s="971"/>
      <c r="AEV10" s="971"/>
      <c r="AEW10" s="971"/>
      <c r="AEX10" s="971"/>
      <c r="AEY10" s="971"/>
      <c r="AEZ10" s="971"/>
      <c r="AFA10" s="971"/>
      <c r="AFB10" s="971"/>
      <c r="AFC10" s="971"/>
      <c r="AFD10" s="971"/>
      <c r="AFE10" s="971"/>
      <c r="AFF10" s="971"/>
      <c r="AFG10" s="971"/>
      <c r="AFH10" s="971"/>
      <c r="AFI10" s="971"/>
      <c r="AFJ10" s="971"/>
      <c r="AFK10" s="971"/>
      <c r="AFL10" s="971"/>
      <c r="AFM10" s="971"/>
      <c r="AFN10" s="971"/>
      <c r="AFO10" s="971"/>
      <c r="AFP10" s="971"/>
      <c r="AFQ10" s="971"/>
      <c r="AFR10" s="971"/>
      <c r="AFS10" s="971"/>
      <c r="AFT10" s="971"/>
      <c r="AFU10" s="971"/>
      <c r="AFV10" s="971"/>
      <c r="AFW10" s="971"/>
      <c r="AFX10" s="971"/>
      <c r="AFY10" s="971"/>
      <c r="AFZ10" s="971"/>
      <c r="AGA10" s="971"/>
      <c r="AGB10" s="971"/>
      <c r="AGC10" s="971"/>
      <c r="AGD10" s="971"/>
      <c r="AGE10" s="971"/>
      <c r="AGF10" s="971"/>
      <c r="AGG10" s="971"/>
      <c r="AGH10" s="971"/>
      <c r="AGI10" s="971"/>
      <c r="AGJ10" s="971"/>
      <c r="AGK10" s="971"/>
      <c r="AGL10" s="971"/>
      <c r="AGM10" s="971"/>
      <c r="AGN10" s="971"/>
      <c r="AGO10" s="971"/>
      <c r="AGP10" s="971"/>
      <c r="AGQ10" s="971"/>
      <c r="AGR10" s="971"/>
      <c r="AGS10" s="971"/>
      <c r="AGT10" s="971"/>
      <c r="AGU10" s="971"/>
      <c r="AGV10" s="971"/>
      <c r="AGW10" s="971"/>
      <c r="AGX10" s="971"/>
      <c r="AGY10" s="971"/>
      <c r="AGZ10" s="971"/>
      <c r="AHA10" s="971"/>
      <c r="AHB10" s="971"/>
      <c r="AHC10" s="971"/>
      <c r="AHD10" s="971"/>
      <c r="AHE10" s="971"/>
      <c r="AHF10" s="971"/>
      <c r="AHG10" s="971"/>
      <c r="AHH10" s="971"/>
      <c r="AHI10" s="971"/>
      <c r="AHJ10" s="971"/>
      <c r="AHK10" s="971"/>
      <c r="AHL10" s="971"/>
      <c r="AHM10" s="971"/>
      <c r="AHN10" s="971"/>
      <c r="AHO10" s="971"/>
      <c r="AHP10" s="971"/>
      <c r="AHQ10" s="971"/>
      <c r="AHR10" s="971"/>
      <c r="AHS10" s="971"/>
      <c r="AHT10" s="971"/>
      <c r="AHU10" s="971"/>
      <c r="AHV10" s="971"/>
      <c r="AHW10" s="971"/>
      <c r="AHX10" s="971"/>
      <c r="AHY10" s="971"/>
      <c r="AHZ10" s="971"/>
      <c r="AIA10" s="971"/>
      <c r="AIB10" s="971"/>
      <c r="AIC10" s="971"/>
      <c r="AID10" s="971"/>
      <c r="AIE10" s="971"/>
      <c r="AIF10" s="971"/>
      <c r="AIG10" s="971"/>
      <c r="AIH10" s="971"/>
      <c r="AII10" s="971"/>
      <c r="AIJ10" s="971"/>
      <c r="AIK10" s="971"/>
      <c r="AIL10" s="971"/>
      <c r="AIM10" s="971"/>
      <c r="AIN10" s="971"/>
      <c r="AIO10" s="971"/>
      <c r="AIP10" s="971"/>
      <c r="AIQ10" s="971"/>
      <c r="AIR10" s="971"/>
      <c r="AIS10" s="971"/>
      <c r="AIT10" s="971"/>
      <c r="AIU10" s="971"/>
      <c r="AIV10" s="971"/>
      <c r="AIW10" s="971"/>
      <c r="AIX10" s="971"/>
      <c r="AIY10" s="971"/>
      <c r="AIZ10" s="971"/>
      <c r="AJA10" s="971"/>
      <c r="AJB10" s="971"/>
      <c r="AJC10" s="971"/>
      <c r="AJD10" s="971"/>
      <c r="AJE10" s="971"/>
      <c r="AJF10" s="971"/>
      <c r="AJG10" s="971"/>
      <c r="AJH10" s="971"/>
      <c r="AJI10" s="971"/>
      <c r="AJJ10" s="971"/>
      <c r="AJK10" s="971"/>
      <c r="AJL10" s="971"/>
      <c r="AJM10" s="971"/>
      <c r="AJN10" s="971"/>
      <c r="AJO10" s="971"/>
      <c r="AJP10" s="971"/>
      <c r="AJQ10" s="971"/>
      <c r="AJR10" s="971"/>
      <c r="AJS10" s="971"/>
      <c r="AJT10" s="971"/>
      <c r="AJU10" s="971"/>
      <c r="AJV10" s="971"/>
      <c r="AJW10" s="971"/>
      <c r="AJX10" s="971"/>
      <c r="AJY10" s="971"/>
      <c r="AJZ10" s="971"/>
      <c r="AKA10" s="971"/>
      <c r="AKB10" s="971"/>
      <c r="AKC10" s="971"/>
      <c r="AKD10" s="971"/>
      <c r="AKE10" s="971"/>
      <c r="AKF10" s="971"/>
      <c r="AKG10" s="971"/>
      <c r="AKH10" s="971"/>
      <c r="AKI10" s="971"/>
      <c r="AKJ10" s="971"/>
      <c r="AKK10" s="971"/>
      <c r="AKL10" s="971"/>
      <c r="AKM10" s="971"/>
      <c r="AKN10" s="971"/>
      <c r="AKO10" s="971"/>
      <c r="AKP10" s="971"/>
      <c r="AKQ10" s="971"/>
      <c r="AKR10" s="971"/>
      <c r="AKS10" s="971"/>
      <c r="AKT10" s="971"/>
      <c r="AKU10" s="971"/>
      <c r="AKV10" s="971"/>
      <c r="AKW10" s="971"/>
      <c r="AKX10" s="971"/>
      <c r="AKY10" s="971"/>
      <c r="AKZ10" s="971"/>
      <c r="ALA10" s="971"/>
      <c r="ALB10" s="971"/>
      <c r="ALC10" s="971"/>
      <c r="ALD10" s="971"/>
      <c r="ALE10" s="971"/>
      <c r="ALF10" s="971"/>
      <c r="ALG10" s="971"/>
      <c r="ALH10" s="971"/>
      <c r="ALI10" s="971"/>
      <c r="ALJ10" s="971"/>
      <c r="ALK10" s="971"/>
      <c r="ALL10" s="971"/>
    </row>
    <row r="11" s="929" customFormat="1" ht="13.5" customHeight="1" hidden="1">
      <c r="A11" s="971"/>
      <c r="B11" s="971"/>
      <c r="C11" s="971"/>
      <c r="D11" s="971"/>
      <c r="E11" s="971"/>
      <c r="F11" s="971"/>
      <c r="G11" s="971"/>
      <c r="H11" s="971"/>
      <c r="I11" s="971"/>
      <c r="J11" s="971"/>
      <c r="K11" s="971"/>
      <c r="L11" s="971"/>
      <c r="M11" s="971"/>
      <c r="N11" s="971"/>
      <c r="O11" s="971"/>
      <c r="P11" s="971"/>
      <c r="Q11" s="971"/>
      <c r="R11" s="971"/>
      <c r="S11" s="971"/>
      <c r="T11" s="971"/>
      <c r="U11" s="971"/>
      <c r="V11" s="971"/>
      <c r="W11" s="971"/>
      <c r="X11" s="971"/>
      <c r="Y11" s="971"/>
      <c r="Z11" s="971"/>
      <c r="AA11" s="971"/>
      <c r="AB11" s="971"/>
      <c r="AC11" s="971"/>
      <c r="AD11" s="971"/>
      <c r="AE11" s="971"/>
      <c r="AF11" s="971"/>
      <c r="AG11" s="971"/>
      <c r="AH11" s="971"/>
      <c r="AI11" s="971"/>
      <c r="AJ11" s="971"/>
      <c r="AK11" s="971"/>
      <c r="AL11" s="971"/>
      <c r="AM11" s="971"/>
      <c r="AN11" s="971"/>
      <c r="AO11" s="971"/>
      <c r="AP11" s="971"/>
      <c r="AQ11" s="971"/>
      <c r="AR11" s="971"/>
      <c r="AS11" s="971"/>
      <c r="AT11" s="971"/>
      <c r="AU11" s="971"/>
      <c r="AV11" s="971"/>
      <c r="AW11" s="971"/>
      <c r="AX11" s="971"/>
      <c r="AY11" s="971"/>
      <c r="AZ11" s="971"/>
      <c r="BA11" s="971"/>
      <c r="BB11" s="971"/>
      <c r="BC11" s="971"/>
      <c r="BD11" s="971"/>
      <c r="BE11" s="971"/>
      <c r="BF11" s="971"/>
      <c r="BG11" s="971"/>
      <c r="BH11" s="971"/>
      <c r="BI11" s="971"/>
      <c r="BJ11" s="971"/>
      <c r="BK11" s="971"/>
      <c r="BL11" s="971"/>
      <c r="BM11" s="971"/>
      <c r="BN11" s="971"/>
      <c r="BO11" s="971"/>
      <c r="BP11" s="971"/>
      <c r="BQ11" s="971"/>
      <c r="BR11" s="971"/>
      <c r="BS11" s="971"/>
      <c r="BT11" s="971"/>
      <c r="BU11" s="971"/>
      <c r="BV11" s="971"/>
      <c r="BW11" s="971"/>
      <c r="BX11" s="971"/>
      <c r="BY11" s="971"/>
      <c r="BZ11" s="971"/>
      <c r="CA11" s="971"/>
      <c r="CB11" s="971"/>
      <c r="CC11" s="971"/>
      <c r="CD11" s="971"/>
      <c r="CE11" s="971"/>
      <c r="CF11" s="971"/>
      <c r="CG11" s="971"/>
      <c r="CH11" s="971"/>
      <c r="CI11" s="971"/>
      <c r="CJ11" s="971"/>
      <c r="CK11" s="971"/>
      <c r="CL11" s="971"/>
      <c r="CM11" s="971"/>
      <c r="CN11" s="971"/>
      <c r="CO11" s="971"/>
      <c r="CP11" s="971"/>
      <c r="CQ11" s="971"/>
      <c r="CR11" s="971"/>
      <c r="CS11" s="971"/>
      <c r="CT11" s="971"/>
      <c r="CU11" s="971"/>
      <c r="CV11" s="971"/>
      <c r="CW11" s="971"/>
      <c r="CX11" s="971"/>
      <c r="CY11" s="971"/>
      <c r="CZ11" s="971"/>
      <c r="DA11" s="971"/>
      <c r="DB11" s="971"/>
      <c r="DC11" s="971"/>
      <c r="DD11" s="971"/>
      <c r="DE11" s="971"/>
      <c r="DF11" s="971"/>
      <c r="DG11" s="971"/>
      <c r="DH11" s="971"/>
      <c r="DI11" s="971"/>
      <c r="DJ11" s="971"/>
      <c r="DK11" s="971"/>
      <c r="DL11" s="971"/>
      <c r="DM11" s="971"/>
      <c r="DN11" s="971"/>
      <c r="DO11" s="971"/>
      <c r="DP11" s="971"/>
      <c r="DQ11" s="971"/>
      <c r="DR11" s="971"/>
      <c r="DS11" s="971"/>
      <c r="DT11" s="971"/>
      <c r="DU11" s="971"/>
      <c r="DV11" s="971"/>
      <c r="DW11" s="971"/>
      <c r="DX11" s="971"/>
      <c r="DY11" s="971"/>
      <c r="DZ11" s="971"/>
      <c r="EA11" s="971"/>
      <c r="EB11" s="971"/>
      <c r="EC11" s="971"/>
      <c r="ED11" s="971"/>
      <c r="EE11" s="971"/>
      <c r="EF11" s="971"/>
      <c r="EG11" s="971"/>
      <c r="EH11" s="971"/>
      <c r="EI11" s="971"/>
      <c r="EJ11" s="971"/>
      <c r="EK11" s="971"/>
      <c r="EL11" s="971"/>
      <c r="EM11" s="971"/>
      <c r="EN11" s="971"/>
      <c r="EO11" s="971"/>
      <c r="EP11" s="971"/>
      <c r="EQ11" s="971"/>
      <c r="ER11" s="971"/>
      <c r="ES11" s="971"/>
      <c r="ET11" s="971"/>
      <c r="EU11" s="971"/>
      <c r="EV11" s="971"/>
      <c r="EW11" s="971"/>
      <c r="EX11" s="971"/>
      <c r="EY11" s="971"/>
      <c r="EZ11" s="971"/>
      <c r="FA11" s="971"/>
      <c r="FB11" s="971"/>
      <c r="FC11" s="971"/>
      <c r="FD11" s="971"/>
      <c r="FE11" s="971"/>
      <c r="FF11" s="971"/>
      <c r="FG11" s="971"/>
      <c r="FH11" s="971"/>
      <c r="FI11" s="971"/>
      <c r="FJ11" s="971"/>
      <c r="FK11" s="971"/>
      <c r="FL11" s="971"/>
      <c r="FM11" s="971"/>
      <c r="FN11" s="971"/>
      <c r="FO11" s="971"/>
      <c r="FP11" s="971"/>
      <c r="FQ11" s="971"/>
      <c r="FR11" s="971"/>
      <c r="FS11" s="971"/>
      <c r="FT11" s="971"/>
      <c r="FU11" s="971"/>
      <c r="FV11" s="971"/>
      <c r="FW11" s="971"/>
      <c r="FX11" s="971"/>
      <c r="FY11" s="971"/>
      <c r="FZ11" s="971"/>
      <c r="GA11" s="971"/>
      <c r="GB11" s="971"/>
      <c r="GC11" s="971"/>
      <c r="GD11" s="971"/>
      <c r="GE11" s="971"/>
      <c r="GF11" s="971"/>
      <c r="GG11" s="971"/>
      <c r="GH11" s="971"/>
      <c r="GI11" s="971"/>
      <c r="GJ11" s="971"/>
      <c r="GK11" s="971"/>
      <c r="GL11" s="971"/>
      <c r="GM11" s="971"/>
      <c r="GN11" s="971"/>
      <c r="GO11" s="971"/>
      <c r="GP11" s="971"/>
      <c r="GQ11" s="971"/>
      <c r="GR11" s="971"/>
      <c r="GS11" s="971"/>
      <c r="GT11" s="971"/>
      <c r="GU11" s="971"/>
      <c r="GV11" s="971"/>
      <c r="GW11" s="971"/>
      <c r="GX11" s="971"/>
      <c r="GY11" s="971"/>
      <c r="GZ11" s="971"/>
      <c r="HA11" s="971"/>
      <c r="HB11" s="971"/>
      <c r="HC11" s="971"/>
      <c r="HD11" s="971"/>
      <c r="HE11" s="971"/>
      <c r="HF11" s="971"/>
      <c r="HG11" s="971"/>
      <c r="HH11" s="971"/>
      <c r="HI11" s="971"/>
      <c r="HJ11" s="971"/>
      <c r="HK11" s="971"/>
      <c r="HL11" s="971"/>
      <c r="HM11" s="971"/>
      <c r="HN11" s="971"/>
      <c r="HO11" s="971"/>
      <c r="HP11" s="971"/>
      <c r="HQ11" s="971"/>
      <c r="HR11" s="971"/>
      <c r="HS11" s="971"/>
      <c r="HT11" s="971"/>
      <c r="HU11" s="971"/>
      <c r="HV11" s="971"/>
      <c r="HW11" s="971"/>
      <c r="HX11" s="971"/>
      <c r="HY11" s="971"/>
      <c r="HZ11" s="971"/>
      <c r="IA11" s="971"/>
      <c r="IB11" s="971"/>
      <c r="IC11" s="971"/>
      <c r="ID11" s="971"/>
      <c r="IE11" s="971"/>
      <c r="IF11" s="971"/>
      <c r="IG11" s="971"/>
      <c r="IH11" s="971"/>
      <c r="II11" s="971"/>
      <c r="IJ11" s="971"/>
      <c r="IK11" s="971"/>
      <c r="IL11" s="971"/>
      <c r="IM11" s="971"/>
      <c r="IN11" s="971"/>
      <c r="IO11" s="971"/>
      <c r="IP11" s="971"/>
      <c r="IQ11" s="971"/>
      <c r="IR11" s="971"/>
      <c r="IS11" s="971"/>
      <c r="IT11" s="971"/>
      <c r="IU11" s="971"/>
      <c r="IV11" s="971"/>
      <c r="IW11" s="971"/>
      <c r="IX11" s="971"/>
      <c r="IY11" s="971"/>
      <c r="IZ11" s="971"/>
      <c r="JA11" s="971"/>
      <c r="JB11" s="971"/>
      <c r="JC11" s="971"/>
      <c r="JD11" s="971"/>
      <c r="JE11" s="971"/>
      <c r="JF11" s="971"/>
      <c r="JG11" s="971"/>
      <c r="JH11" s="971"/>
      <c r="JI11" s="971"/>
      <c r="JJ11" s="971"/>
      <c r="JK11" s="971"/>
      <c r="JL11" s="971"/>
      <c r="JM11" s="971"/>
      <c r="JN11" s="971"/>
      <c r="JO11" s="971"/>
      <c r="JP11" s="971"/>
      <c r="JQ11" s="971"/>
      <c r="JR11" s="971"/>
      <c r="JS11" s="971"/>
      <c r="JT11" s="971"/>
      <c r="JU11" s="971"/>
      <c r="JV11" s="971"/>
      <c r="JW11" s="971"/>
      <c r="JX11" s="971"/>
      <c r="JY11" s="971"/>
      <c r="JZ11" s="971"/>
      <c r="KA11" s="971"/>
      <c r="KB11" s="971"/>
      <c r="KC11" s="971"/>
      <c r="KD11" s="971"/>
      <c r="KE11" s="971"/>
      <c r="KF11" s="971"/>
      <c r="KG11" s="971"/>
      <c r="KH11" s="971"/>
      <c r="KI11" s="971"/>
      <c r="KJ11" s="971"/>
      <c r="KK11" s="971"/>
      <c r="KL11" s="971"/>
      <c r="KM11" s="971"/>
      <c r="KN11" s="971"/>
      <c r="KO11" s="971"/>
      <c r="KP11" s="971"/>
      <c r="KQ11" s="971"/>
      <c r="KR11" s="971"/>
      <c r="KS11" s="971"/>
      <c r="KT11" s="971"/>
      <c r="KU11" s="971"/>
      <c r="KV11" s="971"/>
      <c r="KW11" s="971"/>
      <c r="KX11" s="971"/>
      <c r="KY11" s="971"/>
      <c r="KZ11" s="971"/>
      <c r="LA11" s="971"/>
      <c r="LB11" s="971"/>
      <c r="LC11" s="971"/>
      <c r="LD11" s="971"/>
      <c r="LE11" s="971"/>
      <c r="LF11" s="971"/>
      <c r="LG11" s="971"/>
      <c r="LH11" s="971"/>
      <c r="LI11" s="971"/>
      <c r="LJ11" s="971"/>
      <c r="LK11" s="971"/>
      <c r="LL11" s="971"/>
      <c r="LM11" s="971"/>
      <c r="LN11" s="971"/>
      <c r="LO11" s="971"/>
      <c r="LP11" s="971"/>
      <c r="LQ11" s="971"/>
      <c r="LR11" s="971"/>
      <c r="LS11" s="971"/>
      <c r="LT11" s="971"/>
      <c r="LU11" s="971"/>
      <c r="LV11" s="971"/>
      <c r="LW11" s="971"/>
      <c r="LX11" s="971"/>
      <c r="LY11" s="971"/>
      <c r="LZ11" s="971"/>
      <c r="MA11" s="971"/>
      <c r="MB11" s="971"/>
      <c r="MC11" s="971"/>
      <c r="MD11" s="971"/>
      <c r="ME11" s="971"/>
      <c r="MF11" s="971"/>
      <c r="MG11" s="971"/>
      <c r="MH11" s="971"/>
      <c r="MI11" s="971"/>
      <c r="MJ11" s="971"/>
      <c r="MK11" s="971"/>
      <c r="ML11" s="971"/>
      <c r="MM11" s="971"/>
      <c r="MN11" s="971"/>
      <c r="MO11" s="971"/>
      <c r="MP11" s="971"/>
      <c r="MQ11" s="971"/>
      <c r="MR11" s="971"/>
      <c r="MS11" s="971"/>
      <c r="MT11" s="971"/>
      <c r="MU11" s="971"/>
      <c r="MV11" s="971"/>
      <c r="MW11" s="971"/>
      <c r="MX11" s="971"/>
      <c r="MY11" s="971"/>
      <c r="MZ11" s="971"/>
      <c r="NA11" s="971"/>
      <c r="NB11" s="971"/>
      <c r="NC11" s="971"/>
      <c r="ND11" s="971"/>
      <c r="NE11" s="971"/>
      <c r="NF11" s="971"/>
      <c r="NG11" s="971"/>
      <c r="NH11" s="971"/>
      <c r="NI11" s="971"/>
      <c r="NJ11" s="971"/>
      <c r="NK11" s="971"/>
      <c r="NL11" s="971"/>
      <c r="NM11" s="971"/>
      <c r="NN11" s="971"/>
      <c r="NO11" s="971"/>
      <c r="NP11" s="971"/>
      <c r="NQ11" s="971"/>
      <c r="NR11" s="971"/>
      <c r="NS11" s="971"/>
      <c r="NT11" s="971"/>
      <c r="NU11" s="971"/>
      <c r="NV11" s="971"/>
      <c r="NW11" s="971"/>
      <c r="NX11" s="971"/>
      <c r="NY11" s="971"/>
      <c r="NZ11" s="971"/>
      <c r="OA11" s="971"/>
      <c r="OB11" s="971"/>
      <c r="OC11" s="971"/>
      <c r="OD11" s="971"/>
      <c r="OE11" s="971"/>
      <c r="OF11" s="971"/>
      <c r="OG11" s="971"/>
      <c r="OH11" s="971"/>
      <c r="OI11" s="971"/>
      <c r="OJ11" s="971"/>
      <c r="OK11" s="971"/>
      <c r="OL11" s="971"/>
      <c r="OM11" s="971"/>
      <c r="ON11" s="971"/>
      <c r="OO11" s="971"/>
      <c r="OP11" s="971"/>
      <c r="OQ11" s="971"/>
      <c r="OR11" s="971"/>
      <c r="OS11" s="971"/>
      <c r="OT11" s="971"/>
      <c r="OU11" s="971"/>
      <c r="OV11" s="971"/>
      <c r="OW11" s="971"/>
      <c r="OX11" s="971"/>
      <c r="OY11" s="971"/>
      <c r="OZ11" s="971"/>
      <c r="PA11" s="971"/>
      <c r="PB11" s="971"/>
      <c r="PC11" s="971"/>
      <c r="PD11" s="971"/>
      <c r="PE11" s="971"/>
      <c r="PF11" s="971"/>
      <c r="PG11" s="971"/>
      <c r="PH11" s="971"/>
      <c r="PI11" s="971"/>
      <c r="PJ11" s="971"/>
      <c r="PK11" s="971"/>
      <c r="PL11" s="971"/>
      <c r="PM11" s="971"/>
      <c r="PN11" s="971"/>
      <c r="PO11" s="971"/>
      <c r="PP11" s="971"/>
      <c r="PQ11" s="971"/>
      <c r="PR11" s="971"/>
      <c r="PS11" s="971"/>
      <c r="PT11" s="971"/>
      <c r="PU11" s="971"/>
      <c r="PV11" s="971"/>
      <c r="PW11" s="971"/>
      <c r="PX11" s="971"/>
      <c r="PY11" s="971"/>
      <c r="PZ11" s="971"/>
      <c r="QA11" s="971"/>
      <c r="QB11" s="971"/>
      <c r="QC11" s="971"/>
      <c r="QD11" s="971"/>
      <c r="QE11" s="971"/>
      <c r="QF11" s="971"/>
      <c r="QG11" s="971"/>
      <c r="QH11" s="971"/>
      <c r="QI11" s="971"/>
      <c r="QJ11" s="971"/>
      <c r="QK11" s="971"/>
      <c r="QL11" s="971"/>
      <c r="QM11" s="971"/>
      <c r="QN11" s="971"/>
      <c r="QO11" s="971"/>
      <c r="QP11" s="971"/>
      <c r="QQ11" s="971"/>
      <c r="QR11" s="971"/>
      <c r="QS11" s="971"/>
      <c r="QT11" s="971"/>
      <c r="QU11" s="971"/>
      <c r="QV11" s="971"/>
      <c r="QW11" s="971"/>
      <c r="QX11" s="971"/>
      <c r="QY11" s="971"/>
      <c r="QZ11" s="971"/>
      <c r="RA11" s="971"/>
      <c r="RB11" s="971"/>
      <c r="RC11" s="971"/>
      <c r="RD11" s="971"/>
      <c r="RE11" s="971"/>
      <c r="RF11" s="971"/>
      <c r="RG11" s="971"/>
      <c r="RH11" s="971"/>
      <c r="RI11" s="971"/>
      <c r="RJ11" s="971"/>
      <c r="RK11" s="971"/>
      <c r="RL11" s="971"/>
      <c r="RM11" s="971"/>
      <c r="RN11" s="971"/>
      <c r="RO11" s="971"/>
      <c r="RP11" s="971"/>
      <c r="RQ11" s="971"/>
      <c r="RR11" s="971"/>
      <c r="RS11" s="971"/>
      <c r="RT11" s="971"/>
      <c r="RU11" s="971"/>
      <c r="RV11" s="971"/>
      <c r="RW11" s="971"/>
      <c r="RX11" s="971"/>
      <c r="RY11" s="971"/>
      <c r="RZ11" s="971"/>
      <c r="SA11" s="971"/>
      <c r="SB11" s="971"/>
      <c r="SC11" s="971"/>
      <c r="SD11" s="971"/>
      <c r="SE11" s="971"/>
      <c r="SF11" s="971"/>
      <c r="SG11" s="971"/>
      <c r="SH11" s="971"/>
      <c r="SI11" s="971"/>
      <c r="SJ11" s="971"/>
      <c r="SK11" s="971"/>
      <c r="SL11" s="971"/>
      <c r="SM11" s="971"/>
      <c r="SN11" s="971"/>
      <c r="SO11" s="971"/>
      <c r="SP11" s="971"/>
      <c r="SQ11" s="971"/>
      <c r="SR11" s="971"/>
      <c r="SS11" s="971"/>
      <c r="ST11" s="971"/>
      <c r="SU11" s="971"/>
      <c r="SV11" s="971"/>
      <c r="SW11" s="971"/>
      <c r="SX11" s="971"/>
      <c r="SY11" s="971"/>
      <c r="SZ11" s="971"/>
      <c r="TA11" s="971"/>
      <c r="TB11" s="971"/>
      <c r="TC11" s="971"/>
      <c r="TD11" s="971"/>
      <c r="TE11" s="971"/>
      <c r="TF11" s="971"/>
      <c r="TG11" s="971"/>
      <c r="TH11" s="971"/>
      <c r="TI11" s="971"/>
      <c r="TJ11" s="971"/>
      <c r="TK11" s="971"/>
      <c r="TL11" s="971"/>
      <c r="TM11" s="971"/>
      <c r="TN11" s="971"/>
      <c r="TO11" s="971"/>
      <c r="TP11" s="971"/>
      <c r="TQ11" s="971"/>
      <c r="TR11" s="971"/>
      <c r="TS11" s="971"/>
      <c r="TT11" s="971"/>
      <c r="TU11" s="971"/>
      <c r="TV11" s="971"/>
      <c r="TW11" s="971"/>
      <c r="TX11" s="971"/>
      <c r="TY11" s="971"/>
      <c r="TZ11" s="971"/>
      <c r="UA11" s="971"/>
      <c r="UB11" s="971"/>
      <c r="UC11" s="971"/>
      <c r="UD11" s="971"/>
      <c r="UE11" s="971"/>
      <c r="UF11" s="971"/>
      <c r="UG11" s="971"/>
      <c r="UH11" s="971"/>
      <c r="UI11" s="971"/>
      <c r="UJ11" s="971"/>
      <c r="UK11" s="971"/>
      <c r="UL11" s="971"/>
      <c r="UM11" s="971"/>
      <c r="UN11" s="971"/>
      <c r="UO11" s="971"/>
      <c r="UP11" s="971"/>
      <c r="UQ11" s="971"/>
      <c r="UR11" s="971"/>
      <c r="US11" s="971"/>
      <c r="UT11" s="971"/>
      <c r="UU11" s="971"/>
      <c r="UV11" s="971"/>
      <c r="UW11" s="971"/>
      <c r="UX11" s="971"/>
      <c r="UY11" s="971"/>
      <c r="UZ11" s="971"/>
      <c r="VA11" s="971"/>
      <c r="VB11" s="971"/>
      <c r="VC11" s="971"/>
      <c r="VD11" s="971"/>
      <c r="VE11" s="971"/>
      <c r="VF11" s="971"/>
      <c r="VG11" s="971"/>
      <c r="VH11" s="971"/>
      <c r="VI11" s="971"/>
      <c r="VJ11" s="971"/>
      <c r="VK11" s="971"/>
      <c r="VL11" s="971"/>
      <c r="VM11" s="971"/>
      <c r="VN11" s="971"/>
      <c r="VO11" s="971"/>
      <c r="VP11" s="971"/>
      <c r="VQ11" s="971"/>
      <c r="VR11" s="971"/>
      <c r="VS11" s="971"/>
      <c r="VT11" s="971"/>
      <c r="VU11" s="971"/>
      <c r="VV11" s="971"/>
      <c r="VW11" s="971"/>
      <c r="VX11" s="971"/>
      <c r="VY11" s="971"/>
      <c r="VZ11" s="971"/>
      <c r="WA11" s="971"/>
      <c r="WB11" s="971"/>
      <c r="WC11" s="971"/>
      <c r="WD11" s="971"/>
      <c r="WE11" s="971"/>
      <c r="WF11" s="971"/>
      <c r="WG11" s="971"/>
      <c r="WH11" s="971"/>
      <c r="WI11" s="971"/>
      <c r="WJ11" s="971"/>
      <c r="WK11" s="971"/>
      <c r="WL11" s="971"/>
      <c r="WM11" s="971"/>
      <c r="WN11" s="971"/>
      <c r="WO11" s="971"/>
      <c r="WP11" s="971"/>
      <c r="WQ11" s="971"/>
      <c r="WR11" s="971"/>
      <c r="WS11" s="971"/>
      <c r="WT11" s="971"/>
      <c r="WU11" s="971"/>
      <c r="WV11" s="971"/>
      <c r="WW11" s="971"/>
      <c r="WX11" s="971"/>
      <c r="WY11" s="971"/>
      <c r="WZ11" s="971"/>
      <c r="XA11" s="971"/>
      <c r="XB11" s="971"/>
      <c r="XC11" s="971"/>
      <c r="XD11" s="971"/>
      <c r="XE11" s="971"/>
      <c r="XF11" s="971"/>
      <c r="XG11" s="971"/>
      <c r="XH11" s="971"/>
      <c r="XI11" s="971"/>
      <c r="XJ11" s="971"/>
      <c r="XK11" s="971"/>
      <c r="XL11" s="971"/>
      <c r="XM11" s="971"/>
      <c r="XN11" s="971"/>
      <c r="XO11" s="971"/>
      <c r="XP11" s="971"/>
      <c r="XQ11" s="971"/>
      <c r="XR11" s="971"/>
      <c r="XS11" s="971"/>
      <c r="XT11" s="971"/>
      <c r="XU11" s="971"/>
      <c r="XV11" s="971"/>
      <c r="XW11" s="971"/>
      <c r="XX11" s="971"/>
      <c r="XY11" s="971"/>
      <c r="XZ11" s="971"/>
      <c r="YA11" s="971"/>
      <c r="YB11" s="971"/>
      <c r="YC11" s="971"/>
      <c r="YD11" s="971"/>
      <c r="YE11" s="971"/>
      <c r="YF11" s="971"/>
      <c r="YG11" s="971"/>
      <c r="YH11" s="971"/>
      <c r="YI11" s="971"/>
      <c r="YJ11" s="971"/>
      <c r="YK11" s="971"/>
      <c r="YL11" s="971"/>
      <c r="YM11" s="971"/>
      <c r="YN11" s="971"/>
      <c r="YO11" s="971"/>
      <c r="YP11" s="971"/>
      <c r="YQ11" s="971"/>
      <c r="YR11" s="971"/>
      <c r="YS11" s="971"/>
      <c r="YT11" s="971"/>
      <c r="YU11" s="971"/>
      <c r="YV11" s="971"/>
      <c r="YW11" s="971"/>
      <c r="YX11" s="971"/>
      <c r="YY11" s="971"/>
      <c r="YZ11" s="971"/>
      <c r="ZA11" s="971"/>
      <c r="ZB11" s="971"/>
      <c r="ZC11" s="971"/>
      <c r="ZD11" s="971"/>
      <c r="ZE11" s="971"/>
      <c r="ZF11" s="971"/>
      <c r="ZG11" s="971"/>
      <c r="ZH11" s="971"/>
      <c r="ZI11" s="971"/>
      <c r="ZJ11" s="971"/>
      <c r="ZK11" s="971"/>
      <c r="ZL11" s="971"/>
      <c r="ZM11" s="971"/>
      <c r="ZN11" s="971"/>
      <c r="ZO11" s="971"/>
      <c r="ZP11" s="971"/>
      <c r="ZQ11" s="971"/>
      <c r="ZR11" s="971"/>
      <c r="ZS11" s="971"/>
      <c r="ZT11" s="971"/>
      <c r="ZU11" s="971"/>
      <c r="ZV11" s="971"/>
      <c r="ZW11" s="971"/>
      <c r="ZX11" s="971"/>
      <c r="ZY11" s="971"/>
      <c r="ZZ11" s="971"/>
      <c r="AAA11" s="971"/>
      <c r="AAB11" s="971"/>
      <c r="AAC11" s="971"/>
      <c r="AAD11" s="971"/>
      <c r="AAE11" s="971"/>
      <c r="AAF11" s="971"/>
      <c r="AAG11" s="971"/>
      <c r="AAH11" s="971"/>
      <c r="AAI11" s="971"/>
      <c r="AAJ11" s="971"/>
      <c r="AAK11" s="971"/>
      <c r="AAL11" s="971"/>
      <c r="AAM11" s="971"/>
      <c r="AAN11" s="971"/>
      <c r="AAO11" s="971"/>
      <c r="AAP11" s="971"/>
      <c r="AAQ11" s="971"/>
      <c r="AAR11" s="971"/>
      <c r="AAS11" s="971"/>
      <c r="AAT11" s="971"/>
      <c r="AAU11" s="971"/>
      <c r="AAV11" s="971"/>
      <c r="AAW11" s="971"/>
      <c r="AAX11" s="971"/>
      <c r="AAY11" s="971"/>
      <c r="AAZ11" s="971"/>
      <c r="ABA11" s="971"/>
      <c r="ABB11" s="971"/>
      <c r="ABC11" s="971"/>
      <c r="ABD11" s="971"/>
      <c r="ABE11" s="971"/>
      <c r="ABF11" s="971"/>
      <c r="ABG11" s="971"/>
      <c r="ABH11" s="971"/>
      <c r="ABI11" s="971"/>
      <c r="ABJ11" s="971"/>
      <c r="ABK11" s="971"/>
      <c r="ABL11" s="971"/>
      <c r="ABM11" s="971"/>
      <c r="ABN11" s="971"/>
      <c r="ABO11" s="971"/>
      <c r="ABP11" s="971"/>
      <c r="ABQ11" s="971"/>
      <c r="ABR11" s="971"/>
      <c r="ABS11" s="971"/>
      <c r="ABT11" s="971"/>
      <c r="ABU11" s="971"/>
      <c r="ABV11" s="971"/>
      <c r="ABW11" s="971"/>
      <c r="ABX11" s="971"/>
      <c r="ABY11" s="971"/>
      <c r="ABZ11" s="971"/>
      <c r="ACA11" s="971"/>
      <c r="ACB11" s="971"/>
      <c r="ACC11" s="971"/>
      <c r="ACD11" s="971"/>
      <c r="ACE11" s="971"/>
      <c r="ACF11" s="971"/>
      <c r="ACG11" s="971"/>
      <c r="ACH11" s="971"/>
      <c r="ACI11" s="971"/>
      <c r="ACJ11" s="971"/>
      <c r="ACK11" s="971"/>
      <c r="ACL11" s="971"/>
      <c r="ACM11" s="971"/>
      <c r="ACN11" s="971"/>
      <c r="ACO11" s="971"/>
      <c r="ACP11" s="971"/>
      <c r="ACQ11" s="971"/>
      <c r="ACR11" s="971"/>
      <c r="ACS11" s="971"/>
      <c r="ACT11" s="971"/>
      <c r="ACU11" s="971"/>
      <c r="ACV11" s="971"/>
      <c r="ACW11" s="971"/>
      <c r="ACX11" s="971"/>
      <c r="ACY11" s="971"/>
      <c r="ACZ11" s="971"/>
      <c r="ADA11" s="971"/>
      <c r="ADB11" s="971"/>
      <c r="ADC11" s="971"/>
      <c r="ADD11" s="971"/>
      <c r="ADE11" s="971"/>
      <c r="ADF11" s="971"/>
      <c r="ADG11" s="971"/>
      <c r="ADH11" s="971"/>
      <c r="ADI11" s="971"/>
      <c r="ADJ11" s="971"/>
      <c r="ADK11" s="971"/>
      <c r="ADL11" s="971"/>
      <c r="ADM11" s="971"/>
      <c r="ADN11" s="971"/>
      <c r="ADO11" s="971"/>
      <c r="ADP11" s="971"/>
      <c r="ADQ11" s="971"/>
      <c r="ADR11" s="971"/>
      <c r="ADS11" s="971"/>
      <c r="ADT11" s="971"/>
      <c r="ADU11" s="971"/>
      <c r="ADV11" s="971"/>
      <c r="ADW11" s="971"/>
      <c r="ADX11" s="971"/>
      <c r="ADY11" s="971"/>
      <c r="ADZ11" s="971"/>
      <c r="AEA11" s="971"/>
      <c r="AEB11" s="971"/>
      <c r="AEC11" s="971"/>
      <c r="AED11" s="971"/>
      <c r="AEE11" s="971"/>
      <c r="AEF11" s="971"/>
      <c r="AEG11" s="971"/>
      <c r="AEH11" s="971"/>
      <c r="AEI11" s="971"/>
      <c r="AEJ11" s="971"/>
      <c r="AEK11" s="971"/>
      <c r="AEL11" s="971"/>
      <c r="AEM11" s="971"/>
      <c r="AEN11" s="971"/>
      <c r="AEO11" s="971"/>
      <c r="AEP11" s="971"/>
      <c r="AEQ11" s="971"/>
      <c r="AER11" s="971"/>
      <c r="AES11" s="971"/>
      <c r="AET11" s="971"/>
      <c r="AEU11" s="971"/>
      <c r="AEV11" s="971"/>
      <c r="AEW11" s="971"/>
      <c r="AEX11" s="971"/>
      <c r="AEY11" s="971"/>
      <c r="AEZ11" s="971"/>
      <c r="AFA11" s="971"/>
      <c r="AFB11" s="971"/>
      <c r="AFC11" s="971"/>
      <c r="AFD11" s="971"/>
      <c r="AFE11" s="971"/>
      <c r="AFF11" s="971"/>
      <c r="AFG11" s="971"/>
      <c r="AFH11" s="971"/>
      <c r="AFI11" s="971"/>
      <c r="AFJ11" s="971"/>
      <c r="AFK11" s="971"/>
      <c r="AFL11" s="971"/>
      <c r="AFM11" s="971"/>
      <c r="AFN11" s="971"/>
      <c r="AFO11" s="971"/>
      <c r="AFP11" s="971"/>
      <c r="AFQ11" s="971"/>
      <c r="AFR11" s="971"/>
      <c r="AFS11" s="971"/>
      <c r="AFT11" s="971"/>
      <c r="AFU11" s="971"/>
      <c r="AFV11" s="971"/>
      <c r="AFW11" s="971"/>
      <c r="AFX11" s="971"/>
      <c r="AFY11" s="971"/>
      <c r="AFZ11" s="971"/>
      <c r="AGA11" s="971"/>
      <c r="AGB11" s="971"/>
      <c r="AGC11" s="971"/>
      <c r="AGD11" s="971"/>
      <c r="AGE11" s="971"/>
      <c r="AGF11" s="971"/>
      <c r="AGG11" s="971"/>
      <c r="AGH11" s="971"/>
      <c r="AGI11" s="971"/>
      <c r="AGJ11" s="971"/>
      <c r="AGK11" s="971"/>
      <c r="AGL11" s="971"/>
      <c r="AGM11" s="971"/>
      <c r="AGN11" s="971"/>
      <c r="AGO11" s="971"/>
      <c r="AGP11" s="971"/>
      <c r="AGQ11" s="971"/>
      <c r="AGR11" s="971"/>
      <c r="AGS11" s="971"/>
      <c r="AGT11" s="971"/>
      <c r="AGU11" s="971"/>
      <c r="AGV11" s="971"/>
      <c r="AGW11" s="971"/>
      <c r="AGX11" s="971"/>
      <c r="AGY11" s="971"/>
      <c r="AGZ11" s="971"/>
      <c r="AHA11" s="971"/>
      <c r="AHB11" s="971"/>
      <c r="AHC11" s="971"/>
      <c r="AHD11" s="971"/>
      <c r="AHE11" s="971"/>
      <c r="AHF11" s="971"/>
      <c r="AHG11" s="971"/>
      <c r="AHH11" s="971"/>
      <c r="AHI11" s="971"/>
      <c r="AHJ11" s="971"/>
      <c r="AHK11" s="971"/>
      <c r="AHL11" s="971"/>
      <c r="AHM11" s="971"/>
      <c r="AHN11" s="971"/>
      <c r="AHO11" s="971"/>
      <c r="AHP11" s="971"/>
      <c r="AHQ11" s="971"/>
      <c r="AHR11" s="971"/>
      <c r="AHS11" s="971"/>
      <c r="AHT11" s="971"/>
      <c r="AHU11" s="971"/>
      <c r="AHV11" s="971"/>
      <c r="AHW11" s="971"/>
      <c r="AHX11" s="971"/>
      <c r="AHY11" s="971"/>
      <c r="AHZ11" s="971"/>
      <c r="AIA11" s="971"/>
      <c r="AIB11" s="971"/>
      <c r="AIC11" s="971"/>
      <c r="AID11" s="971"/>
      <c r="AIE11" s="971"/>
      <c r="AIF11" s="971"/>
      <c r="AIG11" s="971"/>
      <c r="AIH11" s="971"/>
      <c r="AII11" s="971"/>
      <c r="AIJ11" s="971"/>
      <c r="AIK11" s="971"/>
      <c r="AIL11" s="971"/>
      <c r="AIM11" s="971"/>
      <c r="AIN11" s="971"/>
      <c r="AIO11" s="971"/>
      <c r="AIP11" s="971"/>
      <c r="AIQ11" s="971"/>
      <c r="AIR11" s="971"/>
      <c r="AIS11" s="971"/>
      <c r="AIT11" s="971"/>
      <c r="AIU11" s="971"/>
      <c r="AIV11" s="971"/>
      <c r="AIW11" s="971"/>
      <c r="AIX11" s="971"/>
      <c r="AIY11" s="971"/>
      <c r="AIZ11" s="971"/>
      <c r="AJA11" s="971"/>
      <c r="AJB11" s="971"/>
      <c r="AJC11" s="971"/>
      <c r="AJD11" s="971"/>
      <c r="AJE11" s="971"/>
      <c r="AJF11" s="971"/>
      <c r="AJG11" s="971"/>
      <c r="AJH11" s="971"/>
      <c r="AJI11" s="971"/>
      <c r="AJJ11" s="971"/>
      <c r="AJK11" s="971"/>
      <c r="AJL11" s="971"/>
      <c r="AJM11" s="971"/>
      <c r="AJN11" s="971"/>
      <c r="AJO11" s="971"/>
      <c r="AJP11" s="971"/>
      <c r="AJQ11" s="971"/>
      <c r="AJR11" s="971"/>
      <c r="AJS11" s="971"/>
      <c r="AJT11" s="971"/>
      <c r="AJU11" s="971"/>
      <c r="AJV11" s="971"/>
      <c r="AJW11" s="971"/>
      <c r="AJX11" s="971"/>
      <c r="AJY11" s="971"/>
      <c r="AJZ11" s="971"/>
      <c r="AKA11" s="971"/>
      <c r="AKB11" s="971"/>
      <c r="AKC11" s="971"/>
      <c r="AKD11" s="971"/>
      <c r="AKE11" s="971"/>
      <c r="AKF11" s="971"/>
      <c r="AKG11" s="971"/>
      <c r="AKH11" s="971"/>
      <c r="AKI11" s="971"/>
      <c r="AKJ11" s="971"/>
      <c r="AKK11" s="971"/>
      <c r="AKL11" s="971"/>
      <c r="AKM11" s="971"/>
      <c r="AKN11" s="971"/>
      <c r="AKO11" s="971"/>
      <c r="AKP11" s="971"/>
      <c r="AKQ11" s="971"/>
      <c r="AKR11" s="971"/>
      <c r="AKS11" s="971"/>
      <c r="AKT11" s="971"/>
      <c r="AKU11" s="971"/>
      <c r="AKV11" s="971"/>
      <c r="AKW11" s="971"/>
      <c r="AKX11" s="971"/>
      <c r="AKY11" s="971"/>
      <c r="AKZ11" s="971"/>
      <c r="ALA11" s="971"/>
      <c r="ALB11" s="971"/>
      <c r="ALC11" s="971"/>
      <c r="ALD11" s="971"/>
      <c r="ALE11" s="971"/>
      <c r="ALF11" s="971"/>
      <c r="ALG11" s="971"/>
      <c r="ALH11" s="971"/>
      <c r="ALI11" s="971"/>
      <c r="ALJ11" s="971"/>
      <c r="ALK11" s="971"/>
      <c r="ALL11" s="971"/>
    </row>
    <row r="12" s="929" customFormat="1" ht="13.5" customHeight="1" hidden="1">
      <c r="A12" s="971"/>
      <c r="B12" s="971"/>
      <c r="C12" s="971"/>
      <c r="D12" s="971"/>
      <c r="E12" s="971"/>
      <c r="F12" s="971"/>
      <c r="G12" s="971"/>
      <c r="H12" s="971"/>
      <c r="I12" s="971"/>
      <c r="J12" s="971"/>
      <c r="K12" s="971"/>
      <c r="L12" s="971"/>
      <c r="M12" s="971"/>
      <c r="N12" s="971"/>
      <c r="O12" s="971"/>
      <c r="P12" s="971"/>
      <c r="Q12" s="971"/>
      <c r="R12" s="971"/>
      <c r="S12" s="971"/>
      <c r="T12" s="971"/>
      <c r="U12" s="971"/>
      <c r="V12" s="971"/>
      <c r="W12" s="971"/>
      <c r="X12" s="971"/>
      <c r="Y12" s="971"/>
      <c r="Z12" s="971"/>
      <c r="AA12" s="971"/>
      <c r="AB12" s="971"/>
      <c r="AC12" s="971"/>
      <c r="AD12" s="971"/>
      <c r="AE12" s="971"/>
      <c r="AF12" s="971"/>
      <c r="AG12" s="971"/>
      <c r="AH12" s="971"/>
      <c r="AI12" s="971"/>
      <c r="AJ12" s="971"/>
      <c r="AK12" s="971"/>
      <c r="AL12" s="971"/>
      <c r="AM12" s="971"/>
      <c r="AN12" s="971"/>
      <c r="AO12" s="971"/>
      <c r="AP12" s="971"/>
      <c r="AQ12" s="971"/>
      <c r="AR12" s="971"/>
      <c r="AS12" s="971"/>
      <c r="AT12" s="971"/>
      <c r="AU12" s="971"/>
      <c r="AV12" s="971"/>
      <c r="AW12" s="971"/>
      <c r="AX12" s="971"/>
      <c r="AY12" s="971"/>
      <c r="AZ12" s="971"/>
      <c r="BA12" s="971"/>
      <c r="BB12" s="971"/>
      <c r="BC12" s="971"/>
      <c r="BD12" s="971"/>
      <c r="BE12" s="971"/>
      <c r="BF12" s="971"/>
      <c r="BG12" s="971"/>
      <c r="BH12" s="971"/>
      <c r="BI12" s="971"/>
      <c r="BJ12" s="971"/>
      <c r="BK12" s="971"/>
      <c r="BL12" s="971"/>
      <c r="BM12" s="971"/>
      <c r="BN12" s="971"/>
      <c r="BO12" s="971"/>
      <c r="BP12" s="971"/>
      <c r="BQ12" s="971"/>
      <c r="BR12" s="971"/>
      <c r="BS12" s="971"/>
      <c r="BT12" s="971"/>
      <c r="BU12" s="971"/>
      <c r="BV12" s="971"/>
      <c r="BW12" s="971"/>
      <c r="BX12" s="971"/>
      <c r="BY12" s="971"/>
      <c r="BZ12" s="971"/>
      <c r="CA12" s="971"/>
      <c r="CB12" s="971"/>
      <c r="CC12" s="971"/>
      <c r="CD12" s="971"/>
      <c r="CE12" s="971"/>
      <c r="CF12" s="971"/>
      <c r="CG12" s="971"/>
      <c r="CH12" s="971"/>
      <c r="CI12" s="971"/>
      <c r="CJ12" s="971"/>
      <c r="CK12" s="971"/>
      <c r="CL12" s="971"/>
      <c r="CM12" s="971"/>
      <c r="CN12" s="971"/>
      <c r="CO12" s="971"/>
      <c r="CP12" s="971"/>
      <c r="CQ12" s="971"/>
      <c r="CR12" s="971"/>
      <c r="CS12" s="971"/>
      <c r="CT12" s="971"/>
      <c r="CU12" s="971"/>
      <c r="CV12" s="971"/>
      <c r="CW12" s="971"/>
      <c r="CX12" s="971"/>
      <c r="CY12" s="971"/>
      <c r="CZ12" s="971"/>
      <c r="DA12" s="971"/>
      <c r="DB12" s="971"/>
      <c r="DC12" s="971"/>
      <c r="DD12" s="971"/>
      <c r="DE12" s="971"/>
      <c r="DF12" s="971"/>
      <c r="DG12" s="971"/>
      <c r="DH12" s="971"/>
      <c r="DI12" s="971"/>
      <c r="DJ12" s="971"/>
      <c r="DK12" s="971"/>
      <c r="DL12" s="971"/>
      <c r="DM12" s="971"/>
      <c r="DN12" s="971"/>
      <c r="DO12" s="971"/>
      <c r="DP12" s="971"/>
      <c r="DQ12" s="971"/>
      <c r="DR12" s="971"/>
      <c r="DS12" s="971"/>
      <c r="DT12" s="971"/>
      <c r="DU12" s="971"/>
      <c r="DV12" s="971"/>
      <c r="DW12" s="971"/>
      <c r="DX12" s="971"/>
      <c r="DY12" s="971"/>
      <c r="DZ12" s="971"/>
      <c r="EA12" s="971"/>
      <c r="EB12" s="971"/>
      <c r="EC12" s="971"/>
      <c r="ED12" s="971"/>
      <c r="EE12" s="971"/>
      <c r="EF12" s="971"/>
      <c r="EG12" s="971"/>
      <c r="EH12" s="971"/>
      <c r="EI12" s="971"/>
      <c r="EJ12" s="971"/>
      <c r="EK12" s="971"/>
      <c r="EL12" s="971"/>
      <c r="EM12" s="971"/>
      <c r="EN12" s="971"/>
      <c r="EO12" s="971"/>
      <c r="EP12" s="971"/>
      <c r="EQ12" s="971"/>
      <c r="ER12" s="971"/>
      <c r="ES12" s="971"/>
      <c r="ET12" s="971"/>
      <c r="EU12" s="971"/>
      <c r="EV12" s="971"/>
      <c r="EW12" s="971"/>
      <c r="EX12" s="971"/>
      <c r="EY12" s="971"/>
      <c r="EZ12" s="971"/>
      <c r="FA12" s="971"/>
      <c r="FB12" s="971"/>
      <c r="FC12" s="971"/>
      <c r="FD12" s="971"/>
      <c r="FE12" s="971"/>
      <c r="FF12" s="971"/>
      <c r="FG12" s="971"/>
      <c r="FH12" s="971"/>
      <c r="FI12" s="971"/>
      <c r="FJ12" s="971"/>
      <c r="FK12" s="971"/>
      <c r="FL12" s="971"/>
      <c r="FM12" s="971"/>
      <c r="FN12" s="971"/>
      <c r="FO12" s="971"/>
      <c r="FP12" s="971"/>
      <c r="FQ12" s="971"/>
      <c r="FR12" s="971"/>
      <c r="FS12" s="971"/>
      <c r="FT12" s="971"/>
      <c r="FU12" s="971"/>
      <c r="FV12" s="971"/>
      <c r="FW12" s="971"/>
      <c r="FX12" s="971"/>
      <c r="FY12" s="971"/>
      <c r="FZ12" s="971"/>
      <c r="GA12" s="971"/>
      <c r="GB12" s="971"/>
      <c r="GC12" s="971"/>
      <c r="GD12" s="971"/>
      <c r="GE12" s="971"/>
      <c r="GF12" s="971"/>
      <c r="GG12" s="971"/>
      <c r="GH12" s="971"/>
      <c r="GI12" s="971"/>
      <c r="GJ12" s="971"/>
      <c r="GK12" s="971"/>
      <c r="GL12" s="971"/>
      <c r="GM12" s="971"/>
      <c r="GN12" s="971"/>
      <c r="GO12" s="971"/>
      <c r="GP12" s="971"/>
      <c r="GQ12" s="971"/>
      <c r="GR12" s="971"/>
      <c r="GS12" s="971"/>
      <c r="GT12" s="971"/>
      <c r="GU12" s="971"/>
      <c r="GV12" s="971"/>
      <c r="GW12" s="971"/>
      <c r="GX12" s="971"/>
      <c r="GY12" s="971"/>
      <c r="GZ12" s="971"/>
      <c r="HA12" s="971"/>
      <c r="HB12" s="971"/>
      <c r="HC12" s="971"/>
      <c r="HD12" s="971"/>
      <c r="HE12" s="971"/>
      <c r="HF12" s="971"/>
      <c r="HG12" s="971"/>
      <c r="HH12" s="971"/>
      <c r="HI12" s="971"/>
      <c r="HJ12" s="971"/>
      <c r="HK12" s="971"/>
      <c r="HL12" s="971"/>
      <c r="HM12" s="971"/>
      <c r="HN12" s="971"/>
      <c r="HO12" s="971"/>
      <c r="HP12" s="971"/>
      <c r="HQ12" s="971"/>
      <c r="HR12" s="971"/>
      <c r="HS12" s="971"/>
      <c r="HT12" s="971"/>
      <c r="HU12" s="971"/>
      <c r="HV12" s="971"/>
      <c r="HW12" s="971"/>
      <c r="HX12" s="971"/>
      <c r="HY12" s="971"/>
      <c r="HZ12" s="971"/>
      <c r="IA12" s="971"/>
      <c r="IB12" s="971"/>
      <c r="IC12" s="971"/>
      <c r="ID12" s="971"/>
      <c r="IE12" s="971"/>
      <c r="IF12" s="971"/>
      <c r="IG12" s="971"/>
      <c r="IH12" s="971"/>
      <c r="II12" s="971"/>
      <c r="IJ12" s="971"/>
      <c r="IK12" s="971"/>
      <c r="IL12" s="971"/>
      <c r="IM12" s="971"/>
      <c r="IN12" s="971"/>
      <c r="IO12" s="971"/>
      <c r="IP12" s="971"/>
      <c r="IQ12" s="971"/>
      <c r="IR12" s="971"/>
      <c r="IS12" s="971"/>
      <c r="IT12" s="971"/>
      <c r="IU12" s="971"/>
      <c r="IV12" s="971"/>
      <c r="IW12" s="971"/>
      <c r="IX12" s="971"/>
      <c r="IY12" s="971"/>
      <c r="IZ12" s="971"/>
      <c r="JA12" s="971"/>
      <c r="JB12" s="971"/>
      <c r="JC12" s="971"/>
      <c r="JD12" s="971"/>
      <c r="JE12" s="971"/>
      <c r="JF12" s="971"/>
      <c r="JG12" s="971"/>
      <c r="JH12" s="971"/>
      <c r="JI12" s="971"/>
      <c r="JJ12" s="971"/>
      <c r="JK12" s="971"/>
      <c r="JL12" s="971"/>
      <c r="JM12" s="971"/>
      <c r="JN12" s="971"/>
      <c r="JO12" s="971"/>
      <c r="JP12" s="971"/>
      <c r="JQ12" s="971"/>
      <c r="JR12" s="971"/>
      <c r="JS12" s="971"/>
      <c r="JT12" s="971"/>
      <c r="JU12" s="971"/>
      <c r="JV12" s="971"/>
      <c r="JW12" s="971"/>
      <c r="JX12" s="971"/>
      <c r="JY12" s="971"/>
      <c r="JZ12" s="971"/>
      <c r="KA12" s="971"/>
      <c r="KB12" s="971"/>
      <c r="KC12" s="971"/>
      <c r="KD12" s="971"/>
      <c r="KE12" s="971"/>
      <c r="KF12" s="971"/>
      <c r="KG12" s="971"/>
      <c r="KH12" s="971"/>
      <c r="KI12" s="971"/>
      <c r="KJ12" s="971"/>
      <c r="KK12" s="971"/>
      <c r="KL12" s="971"/>
      <c r="KM12" s="971"/>
      <c r="KN12" s="971"/>
      <c r="KO12" s="971"/>
      <c r="KP12" s="971"/>
      <c r="KQ12" s="971"/>
      <c r="KR12" s="971"/>
      <c r="KS12" s="971"/>
      <c r="KT12" s="971"/>
      <c r="KU12" s="971"/>
      <c r="KV12" s="971"/>
      <c r="KW12" s="971"/>
      <c r="KX12" s="971"/>
      <c r="KY12" s="971"/>
      <c r="KZ12" s="971"/>
      <c r="LA12" s="971"/>
      <c r="LB12" s="971"/>
      <c r="LC12" s="971"/>
      <c r="LD12" s="971"/>
      <c r="LE12" s="971"/>
      <c r="LF12" s="971"/>
      <c r="LG12" s="971"/>
      <c r="LH12" s="971"/>
      <c r="LI12" s="971"/>
      <c r="LJ12" s="971"/>
      <c r="LK12" s="971"/>
      <c r="LL12" s="971"/>
      <c r="LM12" s="971"/>
      <c r="LN12" s="971"/>
      <c r="LO12" s="971"/>
      <c r="LP12" s="971"/>
      <c r="LQ12" s="971"/>
      <c r="LR12" s="971"/>
      <c r="LS12" s="971"/>
      <c r="LT12" s="971"/>
      <c r="LU12" s="971"/>
      <c r="LV12" s="971"/>
      <c r="LW12" s="971"/>
      <c r="LX12" s="971"/>
      <c r="LY12" s="971"/>
      <c r="LZ12" s="971"/>
      <c r="MA12" s="971"/>
      <c r="MB12" s="971"/>
      <c r="MC12" s="971"/>
      <c r="MD12" s="971"/>
      <c r="ME12" s="971"/>
      <c r="MF12" s="971"/>
      <c r="MG12" s="971"/>
      <c r="MH12" s="971"/>
      <c r="MI12" s="971"/>
      <c r="MJ12" s="971"/>
      <c r="MK12" s="971"/>
      <c r="ML12" s="971"/>
      <c r="MM12" s="971"/>
      <c r="MN12" s="971"/>
      <c r="MO12" s="971"/>
      <c r="MP12" s="971"/>
      <c r="MQ12" s="971"/>
      <c r="MR12" s="971"/>
      <c r="MS12" s="971"/>
      <c r="MT12" s="971"/>
      <c r="MU12" s="971"/>
      <c r="MV12" s="971"/>
      <c r="MW12" s="971"/>
      <c r="MX12" s="971"/>
      <c r="MY12" s="971"/>
      <c r="MZ12" s="971"/>
      <c r="NA12" s="971"/>
      <c r="NB12" s="971"/>
      <c r="NC12" s="971"/>
      <c r="ND12" s="971"/>
      <c r="NE12" s="971"/>
      <c r="NF12" s="971"/>
      <c r="NG12" s="971"/>
      <c r="NH12" s="971"/>
      <c r="NI12" s="971"/>
      <c r="NJ12" s="971"/>
      <c r="NK12" s="971"/>
      <c r="NL12" s="971"/>
      <c r="NM12" s="971"/>
      <c r="NN12" s="971"/>
      <c r="NO12" s="971"/>
      <c r="NP12" s="971"/>
      <c r="NQ12" s="971"/>
      <c r="NR12" s="971"/>
      <c r="NS12" s="971"/>
      <c r="NT12" s="971"/>
      <c r="NU12" s="971"/>
      <c r="NV12" s="971"/>
      <c r="NW12" s="971"/>
      <c r="NX12" s="971"/>
      <c r="NY12" s="971"/>
      <c r="NZ12" s="971"/>
      <c r="OA12" s="971"/>
      <c r="OB12" s="971"/>
      <c r="OC12" s="971"/>
      <c r="OD12" s="971"/>
      <c r="OE12" s="971"/>
      <c r="OF12" s="971"/>
      <c r="OG12" s="971"/>
      <c r="OH12" s="971"/>
      <c r="OI12" s="971"/>
      <c r="OJ12" s="971"/>
      <c r="OK12" s="971"/>
      <c r="OL12" s="971"/>
      <c r="OM12" s="971"/>
      <c r="ON12" s="971"/>
      <c r="OO12" s="971"/>
      <c r="OP12" s="971"/>
      <c r="OQ12" s="971"/>
      <c r="OR12" s="971"/>
      <c r="OS12" s="971"/>
      <c r="OT12" s="971"/>
      <c r="OU12" s="971"/>
      <c r="OV12" s="971"/>
      <c r="OW12" s="971"/>
      <c r="OX12" s="971"/>
      <c r="OY12" s="971"/>
      <c r="OZ12" s="971"/>
      <c r="PA12" s="971"/>
      <c r="PB12" s="971"/>
      <c r="PC12" s="971"/>
      <c r="PD12" s="971"/>
      <c r="PE12" s="971"/>
      <c r="PF12" s="971"/>
      <c r="PG12" s="971"/>
      <c r="PH12" s="971"/>
      <c r="PI12" s="971"/>
      <c r="PJ12" s="971"/>
      <c r="PK12" s="971"/>
      <c r="PL12" s="971"/>
      <c r="PM12" s="971"/>
      <c r="PN12" s="971"/>
      <c r="PO12" s="971"/>
      <c r="PP12" s="971"/>
      <c r="PQ12" s="971"/>
      <c r="PR12" s="971"/>
      <c r="PS12" s="971"/>
      <c r="PT12" s="971"/>
      <c r="PU12" s="971"/>
      <c r="PV12" s="971"/>
      <c r="PW12" s="971"/>
      <c r="PX12" s="971"/>
      <c r="PY12" s="971"/>
      <c r="PZ12" s="971"/>
      <c r="QA12" s="971"/>
      <c r="QB12" s="971"/>
      <c r="QC12" s="971"/>
      <c r="QD12" s="971"/>
      <c r="QE12" s="971"/>
      <c r="QF12" s="971"/>
      <c r="QG12" s="971"/>
      <c r="QH12" s="971"/>
      <c r="QI12" s="971"/>
      <c r="QJ12" s="971"/>
      <c r="QK12" s="971"/>
      <c r="QL12" s="971"/>
      <c r="QM12" s="971"/>
      <c r="QN12" s="971"/>
      <c r="QO12" s="971"/>
      <c r="QP12" s="971"/>
      <c r="QQ12" s="971"/>
      <c r="QR12" s="971"/>
      <c r="QS12" s="971"/>
      <c r="QT12" s="971"/>
      <c r="QU12" s="971"/>
      <c r="QV12" s="971"/>
      <c r="QW12" s="971"/>
      <c r="QX12" s="971"/>
      <c r="QY12" s="971"/>
      <c r="QZ12" s="971"/>
      <c r="RA12" s="971"/>
      <c r="RB12" s="971"/>
      <c r="RC12" s="971"/>
      <c r="RD12" s="971"/>
      <c r="RE12" s="971"/>
      <c r="RF12" s="971"/>
      <c r="RG12" s="971"/>
      <c r="RH12" s="971"/>
      <c r="RI12" s="971"/>
      <c r="RJ12" s="971"/>
      <c r="RK12" s="971"/>
      <c r="RL12" s="971"/>
      <c r="RM12" s="971"/>
      <c r="RN12" s="971"/>
      <c r="RO12" s="971"/>
      <c r="RP12" s="971"/>
      <c r="RQ12" s="971"/>
      <c r="RR12" s="971"/>
      <c r="RS12" s="971"/>
      <c r="RT12" s="971"/>
      <c r="RU12" s="971"/>
      <c r="RV12" s="971"/>
      <c r="RW12" s="971"/>
      <c r="RX12" s="971"/>
      <c r="RY12" s="971"/>
      <c r="RZ12" s="971"/>
      <c r="SA12" s="971"/>
      <c r="SB12" s="971"/>
      <c r="SC12" s="971"/>
      <c r="SD12" s="971"/>
      <c r="SE12" s="971"/>
      <c r="SF12" s="971"/>
      <c r="SG12" s="971"/>
      <c r="SH12" s="971"/>
      <c r="SI12" s="971"/>
      <c r="SJ12" s="971"/>
      <c r="SK12" s="971"/>
      <c r="SL12" s="971"/>
      <c r="SM12" s="971"/>
      <c r="SN12" s="971"/>
      <c r="SO12" s="971"/>
      <c r="SP12" s="971"/>
      <c r="SQ12" s="971"/>
      <c r="SR12" s="971"/>
      <c r="SS12" s="971"/>
      <c r="ST12" s="971"/>
      <c r="SU12" s="971"/>
      <c r="SV12" s="971"/>
      <c r="SW12" s="971"/>
      <c r="SX12" s="971"/>
      <c r="SY12" s="971"/>
      <c r="SZ12" s="971"/>
      <c r="TA12" s="971"/>
      <c r="TB12" s="971"/>
      <c r="TC12" s="971"/>
      <c r="TD12" s="971"/>
      <c r="TE12" s="971"/>
      <c r="TF12" s="971"/>
      <c r="TG12" s="971"/>
      <c r="TH12" s="971"/>
      <c r="TI12" s="971"/>
      <c r="TJ12" s="971"/>
      <c r="TK12" s="971"/>
      <c r="TL12" s="971"/>
      <c r="TM12" s="971"/>
      <c r="TN12" s="971"/>
      <c r="TO12" s="971"/>
      <c r="TP12" s="971"/>
      <c r="TQ12" s="971"/>
      <c r="TR12" s="971"/>
      <c r="TS12" s="971"/>
      <c r="TT12" s="971"/>
      <c r="TU12" s="971"/>
      <c r="TV12" s="971"/>
      <c r="TW12" s="971"/>
      <c r="TX12" s="971"/>
      <c r="TY12" s="971"/>
      <c r="TZ12" s="971"/>
      <c r="UA12" s="971"/>
      <c r="UB12" s="971"/>
      <c r="UC12" s="971"/>
      <c r="UD12" s="971"/>
      <c r="UE12" s="971"/>
      <c r="UF12" s="971"/>
      <c r="UG12" s="971"/>
      <c r="UH12" s="971"/>
      <c r="UI12" s="971"/>
      <c r="UJ12" s="971"/>
      <c r="UK12" s="971"/>
      <c r="UL12" s="971"/>
      <c r="UM12" s="971"/>
      <c r="UN12" s="971"/>
      <c r="UO12" s="971"/>
      <c r="UP12" s="971"/>
      <c r="UQ12" s="971"/>
      <c r="UR12" s="971"/>
      <c r="US12" s="971"/>
      <c r="UT12" s="971"/>
      <c r="UU12" s="971"/>
      <c r="UV12" s="971"/>
      <c r="UW12" s="971"/>
      <c r="UX12" s="971"/>
      <c r="UY12" s="971"/>
      <c r="UZ12" s="971"/>
      <c r="VA12" s="971"/>
      <c r="VB12" s="971"/>
      <c r="VC12" s="971"/>
      <c r="VD12" s="971"/>
      <c r="VE12" s="971"/>
      <c r="VF12" s="971"/>
      <c r="VG12" s="971"/>
      <c r="VH12" s="971"/>
      <c r="VI12" s="971"/>
      <c r="VJ12" s="971"/>
      <c r="VK12" s="971"/>
      <c r="VL12" s="971"/>
      <c r="VM12" s="971"/>
      <c r="VN12" s="971"/>
      <c r="VO12" s="971"/>
      <c r="VP12" s="971"/>
      <c r="VQ12" s="971"/>
      <c r="VR12" s="971"/>
      <c r="VS12" s="971"/>
      <c r="VT12" s="971"/>
      <c r="VU12" s="971"/>
      <c r="VV12" s="971"/>
      <c r="VW12" s="971"/>
      <c r="VX12" s="971"/>
      <c r="VY12" s="971"/>
      <c r="VZ12" s="971"/>
      <c r="WA12" s="971"/>
      <c r="WB12" s="971"/>
      <c r="WC12" s="971"/>
      <c r="WD12" s="971"/>
      <c r="WE12" s="971"/>
      <c r="WF12" s="971"/>
      <c r="WG12" s="971"/>
      <c r="WH12" s="971"/>
      <c r="WI12" s="971"/>
      <c r="WJ12" s="971"/>
      <c r="WK12" s="971"/>
      <c r="WL12" s="971"/>
      <c r="WM12" s="971"/>
      <c r="WN12" s="971"/>
      <c r="WO12" s="971"/>
      <c r="WP12" s="971"/>
      <c r="WQ12" s="971"/>
      <c r="WR12" s="971"/>
      <c r="WS12" s="971"/>
      <c r="WT12" s="971"/>
      <c r="WU12" s="971"/>
      <c r="WV12" s="971"/>
      <c r="WW12" s="971"/>
      <c r="WX12" s="971"/>
      <c r="WY12" s="971"/>
      <c r="WZ12" s="971"/>
      <c r="XA12" s="971"/>
      <c r="XB12" s="971"/>
      <c r="XC12" s="971"/>
      <c r="XD12" s="971"/>
      <c r="XE12" s="971"/>
      <c r="XF12" s="971"/>
      <c r="XG12" s="971"/>
      <c r="XH12" s="971"/>
      <c r="XI12" s="971"/>
      <c r="XJ12" s="971"/>
      <c r="XK12" s="971"/>
      <c r="XL12" s="971"/>
      <c r="XM12" s="971"/>
      <c r="XN12" s="971"/>
      <c r="XO12" s="971"/>
      <c r="XP12" s="971"/>
      <c r="XQ12" s="971"/>
      <c r="XR12" s="971"/>
      <c r="XS12" s="971"/>
      <c r="XT12" s="971"/>
      <c r="XU12" s="971"/>
      <c r="XV12" s="971"/>
      <c r="XW12" s="971"/>
      <c r="XX12" s="971"/>
      <c r="XY12" s="971"/>
      <c r="XZ12" s="971"/>
      <c r="YA12" s="971"/>
      <c r="YB12" s="971"/>
      <c r="YC12" s="971"/>
      <c r="YD12" s="971"/>
      <c r="YE12" s="971"/>
      <c r="YF12" s="971"/>
      <c r="YG12" s="971"/>
      <c r="YH12" s="971"/>
      <c r="YI12" s="971"/>
      <c r="YJ12" s="971"/>
      <c r="YK12" s="971"/>
      <c r="YL12" s="971"/>
      <c r="YM12" s="971"/>
      <c r="YN12" s="971"/>
      <c r="YO12" s="971"/>
      <c r="YP12" s="971"/>
      <c r="YQ12" s="971"/>
      <c r="YR12" s="971"/>
      <c r="YS12" s="971"/>
      <c r="YT12" s="971"/>
      <c r="YU12" s="971"/>
      <c r="YV12" s="971"/>
      <c r="YW12" s="971"/>
      <c r="YX12" s="971"/>
      <c r="YY12" s="971"/>
      <c r="YZ12" s="971"/>
      <c r="ZA12" s="971"/>
      <c r="ZB12" s="971"/>
      <c r="ZC12" s="971"/>
      <c r="ZD12" s="971"/>
      <c r="ZE12" s="971"/>
      <c r="ZF12" s="971"/>
      <c r="ZG12" s="971"/>
      <c r="ZH12" s="971"/>
      <c r="ZI12" s="971"/>
      <c r="ZJ12" s="971"/>
      <c r="ZK12" s="971"/>
      <c r="ZL12" s="971"/>
      <c r="ZM12" s="971"/>
      <c r="ZN12" s="971"/>
      <c r="ZO12" s="971"/>
      <c r="ZP12" s="971"/>
      <c r="ZQ12" s="971"/>
      <c r="ZR12" s="971"/>
      <c r="ZS12" s="971"/>
      <c r="ZT12" s="971"/>
      <c r="ZU12" s="971"/>
      <c r="ZV12" s="971"/>
      <c r="ZW12" s="971"/>
      <c r="ZX12" s="971"/>
      <c r="ZY12" s="971"/>
      <c r="ZZ12" s="971"/>
      <c r="AAA12" s="971"/>
      <c r="AAB12" s="971"/>
      <c r="AAC12" s="971"/>
      <c r="AAD12" s="971"/>
      <c r="AAE12" s="971"/>
      <c r="AAF12" s="971"/>
      <c r="AAG12" s="971"/>
      <c r="AAH12" s="971"/>
      <c r="AAI12" s="971"/>
      <c r="AAJ12" s="971"/>
      <c r="AAK12" s="971"/>
      <c r="AAL12" s="971"/>
      <c r="AAM12" s="971"/>
      <c r="AAN12" s="971"/>
      <c r="AAO12" s="971"/>
      <c r="AAP12" s="971"/>
      <c r="AAQ12" s="971"/>
      <c r="AAR12" s="971"/>
      <c r="AAS12" s="971"/>
      <c r="AAT12" s="971"/>
      <c r="AAU12" s="971"/>
      <c r="AAV12" s="971"/>
      <c r="AAW12" s="971"/>
      <c r="AAX12" s="971"/>
      <c r="AAY12" s="971"/>
      <c r="AAZ12" s="971"/>
      <c r="ABA12" s="971"/>
      <c r="ABB12" s="971"/>
      <c r="ABC12" s="971"/>
      <c r="ABD12" s="971"/>
      <c r="ABE12" s="971"/>
      <c r="ABF12" s="971"/>
      <c r="ABG12" s="971"/>
      <c r="ABH12" s="971"/>
      <c r="ABI12" s="971"/>
      <c r="ABJ12" s="971"/>
      <c r="ABK12" s="971"/>
      <c r="ABL12" s="971"/>
      <c r="ABM12" s="971"/>
      <c r="ABN12" s="971"/>
      <c r="ABO12" s="971"/>
      <c r="ABP12" s="971"/>
      <c r="ABQ12" s="971"/>
      <c r="ABR12" s="971"/>
      <c r="ABS12" s="971"/>
      <c r="ABT12" s="971"/>
      <c r="ABU12" s="971"/>
      <c r="ABV12" s="971"/>
      <c r="ABW12" s="971"/>
      <c r="ABX12" s="971"/>
      <c r="ABY12" s="971"/>
      <c r="ABZ12" s="971"/>
      <c r="ACA12" s="971"/>
      <c r="ACB12" s="971"/>
      <c r="ACC12" s="971"/>
      <c r="ACD12" s="971"/>
      <c r="ACE12" s="971"/>
      <c r="ACF12" s="971"/>
      <c r="ACG12" s="971"/>
      <c r="ACH12" s="971"/>
      <c r="ACI12" s="971"/>
      <c r="ACJ12" s="971"/>
      <c r="ACK12" s="971"/>
      <c r="ACL12" s="971"/>
      <c r="ACM12" s="971"/>
      <c r="ACN12" s="971"/>
      <c r="ACO12" s="971"/>
      <c r="ACP12" s="971"/>
      <c r="ACQ12" s="971"/>
      <c r="ACR12" s="971"/>
      <c r="ACS12" s="971"/>
      <c r="ACT12" s="971"/>
      <c r="ACU12" s="971"/>
      <c r="ACV12" s="971"/>
      <c r="ACW12" s="971"/>
      <c r="ACX12" s="971"/>
      <c r="ACY12" s="971"/>
      <c r="ACZ12" s="971"/>
      <c r="ADA12" s="971"/>
      <c r="ADB12" s="971"/>
      <c r="ADC12" s="971"/>
      <c r="ADD12" s="971"/>
      <c r="ADE12" s="971"/>
      <c r="ADF12" s="971"/>
      <c r="ADG12" s="971"/>
      <c r="ADH12" s="971"/>
      <c r="ADI12" s="971"/>
      <c r="ADJ12" s="971"/>
      <c r="ADK12" s="971"/>
      <c r="ADL12" s="971"/>
      <c r="ADM12" s="971"/>
      <c r="ADN12" s="971"/>
      <c r="ADO12" s="971"/>
      <c r="ADP12" s="971"/>
      <c r="ADQ12" s="971"/>
      <c r="ADR12" s="971"/>
      <c r="ADS12" s="971"/>
      <c r="ADT12" s="971"/>
      <c r="ADU12" s="971"/>
      <c r="ADV12" s="971"/>
      <c r="ADW12" s="971"/>
      <c r="ADX12" s="971"/>
      <c r="ADY12" s="971"/>
      <c r="ADZ12" s="971"/>
      <c r="AEA12" s="971"/>
      <c r="AEB12" s="971"/>
      <c r="AEC12" s="971"/>
      <c r="AED12" s="971"/>
      <c r="AEE12" s="971"/>
      <c r="AEF12" s="971"/>
      <c r="AEG12" s="971"/>
      <c r="AEH12" s="971"/>
      <c r="AEI12" s="971"/>
      <c r="AEJ12" s="971"/>
      <c r="AEK12" s="971"/>
      <c r="AEL12" s="971"/>
      <c r="AEM12" s="971"/>
      <c r="AEN12" s="971"/>
      <c r="AEO12" s="971"/>
      <c r="AEP12" s="971"/>
      <c r="AEQ12" s="971"/>
      <c r="AER12" s="971"/>
      <c r="AES12" s="971"/>
      <c r="AET12" s="971"/>
      <c r="AEU12" s="971"/>
      <c r="AEV12" s="971"/>
      <c r="AEW12" s="971"/>
      <c r="AEX12" s="971"/>
      <c r="AEY12" s="971"/>
      <c r="AEZ12" s="971"/>
      <c r="AFA12" s="971"/>
      <c r="AFB12" s="971"/>
      <c r="AFC12" s="971"/>
      <c r="AFD12" s="971"/>
      <c r="AFE12" s="971"/>
      <c r="AFF12" s="971"/>
      <c r="AFG12" s="971"/>
      <c r="AFH12" s="971"/>
      <c r="AFI12" s="971"/>
      <c r="AFJ12" s="971"/>
      <c r="AFK12" s="971"/>
      <c r="AFL12" s="971"/>
      <c r="AFM12" s="971"/>
      <c r="AFN12" s="971"/>
      <c r="AFO12" s="971"/>
      <c r="AFP12" s="971"/>
      <c r="AFQ12" s="971"/>
      <c r="AFR12" s="971"/>
      <c r="AFS12" s="971"/>
      <c r="AFT12" s="971"/>
      <c r="AFU12" s="971"/>
      <c r="AFV12" s="971"/>
      <c r="AFW12" s="971"/>
      <c r="AFX12" s="971"/>
      <c r="AFY12" s="971"/>
      <c r="AFZ12" s="971"/>
      <c r="AGA12" s="971"/>
      <c r="AGB12" s="971"/>
      <c r="AGC12" s="971"/>
      <c r="AGD12" s="971"/>
      <c r="AGE12" s="971"/>
      <c r="AGF12" s="971"/>
      <c r="AGG12" s="971"/>
      <c r="AGH12" s="971"/>
      <c r="AGI12" s="971"/>
      <c r="AGJ12" s="971"/>
      <c r="AGK12" s="971"/>
      <c r="AGL12" s="971"/>
      <c r="AGM12" s="971"/>
      <c r="AGN12" s="971"/>
      <c r="AGO12" s="971"/>
      <c r="AGP12" s="971"/>
      <c r="AGQ12" s="971"/>
      <c r="AGR12" s="971"/>
      <c r="AGS12" s="971"/>
      <c r="AGT12" s="971"/>
      <c r="AGU12" s="971"/>
      <c r="AGV12" s="971"/>
      <c r="AGW12" s="971"/>
      <c r="AGX12" s="971"/>
      <c r="AGY12" s="971"/>
      <c r="AGZ12" s="971"/>
      <c r="AHA12" s="971"/>
      <c r="AHB12" s="971"/>
      <c r="AHC12" s="971"/>
      <c r="AHD12" s="971"/>
      <c r="AHE12" s="971"/>
      <c r="AHF12" s="971"/>
      <c r="AHG12" s="971"/>
      <c r="AHH12" s="971"/>
      <c r="AHI12" s="971"/>
      <c r="AHJ12" s="971"/>
      <c r="AHK12" s="971"/>
      <c r="AHL12" s="971"/>
      <c r="AHM12" s="971"/>
      <c r="AHN12" s="971"/>
      <c r="AHO12" s="971"/>
      <c r="AHP12" s="971"/>
      <c r="AHQ12" s="971"/>
      <c r="AHR12" s="971"/>
      <c r="AHS12" s="971"/>
      <c r="AHT12" s="971"/>
      <c r="AHU12" s="971"/>
      <c r="AHV12" s="971"/>
      <c r="AHW12" s="971"/>
      <c r="AHX12" s="971"/>
      <c r="AHY12" s="971"/>
      <c r="AHZ12" s="971"/>
      <c r="AIA12" s="971"/>
      <c r="AIB12" s="971"/>
      <c r="AIC12" s="971"/>
      <c r="AID12" s="971"/>
      <c r="AIE12" s="971"/>
      <c r="AIF12" s="971"/>
      <c r="AIG12" s="971"/>
      <c r="AIH12" s="971"/>
      <c r="AII12" s="971"/>
      <c r="AIJ12" s="971"/>
      <c r="AIK12" s="971"/>
      <c r="AIL12" s="971"/>
      <c r="AIM12" s="971"/>
      <c r="AIN12" s="971"/>
      <c r="AIO12" s="971"/>
      <c r="AIP12" s="971"/>
      <c r="AIQ12" s="971"/>
      <c r="AIR12" s="971"/>
      <c r="AIS12" s="971"/>
      <c r="AIT12" s="971"/>
      <c r="AIU12" s="971"/>
      <c r="AIV12" s="971"/>
      <c r="AIW12" s="971"/>
      <c r="AIX12" s="971"/>
      <c r="AIY12" s="971"/>
      <c r="AIZ12" s="971"/>
      <c r="AJA12" s="971"/>
      <c r="AJB12" s="971"/>
      <c r="AJC12" s="971"/>
      <c r="AJD12" s="971"/>
      <c r="AJE12" s="971"/>
      <c r="AJF12" s="971"/>
      <c r="AJG12" s="971"/>
      <c r="AJH12" s="971"/>
      <c r="AJI12" s="971"/>
      <c r="AJJ12" s="971"/>
      <c r="AJK12" s="971"/>
      <c r="AJL12" s="971"/>
      <c r="AJM12" s="971"/>
      <c r="AJN12" s="971"/>
      <c r="AJO12" s="971"/>
      <c r="AJP12" s="971"/>
      <c r="AJQ12" s="971"/>
      <c r="AJR12" s="971"/>
      <c r="AJS12" s="971"/>
      <c r="AJT12" s="971"/>
      <c r="AJU12" s="971"/>
      <c r="AJV12" s="971"/>
      <c r="AJW12" s="971"/>
      <c r="AJX12" s="971"/>
      <c r="AJY12" s="971"/>
      <c r="AJZ12" s="971"/>
      <c r="AKA12" s="971"/>
      <c r="AKB12" s="971"/>
      <c r="AKC12" s="971"/>
      <c r="AKD12" s="971"/>
      <c r="AKE12" s="971"/>
      <c r="AKF12" s="971"/>
      <c r="AKG12" s="971"/>
      <c r="AKH12" s="971"/>
      <c r="AKI12" s="971"/>
      <c r="AKJ12" s="971"/>
      <c r="AKK12" s="971"/>
      <c r="AKL12" s="971"/>
      <c r="AKM12" s="971"/>
      <c r="AKN12" s="971"/>
      <c r="AKO12" s="971"/>
      <c r="AKP12" s="971"/>
      <c r="AKQ12" s="971"/>
      <c r="AKR12" s="971"/>
      <c r="AKS12" s="971"/>
      <c r="AKT12" s="971"/>
      <c r="AKU12" s="971"/>
      <c r="AKV12" s="971"/>
      <c r="AKW12" s="971"/>
      <c r="AKX12" s="971"/>
      <c r="AKY12" s="971"/>
      <c r="AKZ12" s="971"/>
      <c r="ALA12" s="971"/>
      <c r="ALB12" s="971"/>
      <c r="ALC12" s="971"/>
      <c r="ALD12" s="971"/>
      <c r="ALE12" s="971"/>
      <c r="ALF12" s="971"/>
      <c r="ALG12" s="971"/>
      <c r="ALH12" s="971"/>
      <c r="ALI12" s="971"/>
      <c r="ALJ12" s="971"/>
      <c r="ALK12" s="971"/>
      <c r="ALL12" s="971"/>
    </row>
    <row r="13" s="929" customFormat="1" ht="13.5" customHeight="1" hidden="1">
      <c r="A13" s="971"/>
      <c r="B13" s="971"/>
      <c r="C13" s="971"/>
      <c r="D13" s="971"/>
      <c r="E13" s="971"/>
      <c r="F13" s="971"/>
      <c r="G13" s="971"/>
      <c r="H13" s="971"/>
      <c r="I13" s="971"/>
      <c r="J13" s="971"/>
      <c r="K13" s="971"/>
      <c r="L13" s="971"/>
      <c r="M13" s="971"/>
      <c r="N13" s="971"/>
      <c r="O13" s="971"/>
      <c r="P13" s="971"/>
      <c r="Q13" s="971"/>
      <c r="R13" s="971"/>
      <c r="S13" s="971"/>
      <c r="T13" s="971"/>
      <c r="U13" s="971"/>
      <c r="V13" s="971"/>
      <c r="W13" s="971"/>
      <c r="X13" s="971"/>
      <c r="Y13" s="971"/>
      <c r="Z13" s="971"/>
      <c r="AA13" s="971"/>
      <c r="AB13" s="971"/>
      <c r="AC13" s="971"/>
      <c r="AD13" s="971"/>
      <c r="AE13" s="971"/>
      <c r="AF13" s="971"/>
      <c r="AG13" s="971"/>
      <c r="AH13" s="971"/>
      <c r="AI13" s="971"/>
      <c r="AJ13" s="971"/>
      <c r="AK13" s="971"/>
      <c r="AL13" s="971"/>
      <c r="AM13" s="971"/>
      <c r="AN13" s="971"/>
      <c r="AO13" s="971"/>
      <c r="AP13" s="971"/>
      <c r="AQ13" s="971"/>
      <c r="AR13" s="971"/>
      <c r="AS13" s="971"/>
      <c r="AT13" s="971"/>
      <c r="AU13" s="971"/>
      <c r="AV13" s="971"/>
      <c r="AW13" s="971"/>
      <c r="AX13" s="971"/>
      <c r="AY13" s="971"/>
      <c r="AZ13" s="971"/>
      <c r="BA13" s="971"/>
      <c r="BB13" s="971"/>
      <c r="BC13" s="971"/>
      <c r="BD13" s="971"/>
      <c r="BE13" s="971"/>
      <c r="BF13" s="971"/>
      <c r="BG13" s="971"/>
      <c r="BH13" s="971"/>
      <c r="BI13" s="971"/>
      <c r="BJ13" s="971"/>
      <c r="BK13" s="971"/>
      <c r="BL13" s="971"/>
      <c r="BM13" s="971"/>
      <c r="BN13" s="971"/>
      <c r="BO13" s="971"/>
      <c r="BP13" s="971"/>
      <c r="BQ13" s="971"/>
      <c r="BR13" s="971"/>
      <c r="BS13" s="971"/>
      <c r="BT13" s="971"/>
      <c r="BU13" s="971"/>
      <c r="BV13" s="971"/>
      <c r="BW13" s="971"/>
      <c r="BX13" s="971"/>
      <c r="BY13" s="971"/>
      <c r="BZ13" s="971"/>
      <c r="CA13" s="971"/>
      <c r="CB13" s="971"/>
      <c r="CC13" s="971"/>
      <c r="CD13" s="971"/>
      <c r="CE13" s="971"/>
      <c r="CF13" s="971"/>
      <c r="CG13" s="971"/>
      <c r="CH13" s="971"/>
      <c r="CI13" s="971"/>
      <c r="CJ13" s="971"/>
      <c r="CK13" s="971"/>
      <c r="CL13" s="971"/>
      <c r="CM13" s="971"/>
      <c r="CN13" s="971"/>
      <c r="CO13" s="971"/>
      <c r="CP13" s="971"/>
      <c r="CQ13" s="971"/>
      <c r="CR13" s="971"/>
      <c r="CS13" s="971"/>
      <c r="CT13" s="971"/>
      <c r="CU13" s="971"/>
      <c r="CV13" s="971"/>
      <c r="CW13" s="971"/>
      <c r="CX13" s="971"/>
      <c r="CY13" s="971"/>
      <c r="CZ13" s="971"/>
      <c r="DA13" s="971"/>
      <c r="DB13" s="971"/>
      <c r="DC13" s="971"/>
      <c r="DD13" s="971"/>
      <c r="DE13" s="971"/>
      <c r="DF13" s="971"/>
      <c r="DG13" s="971"/>
      <c r="DH13" s="971"/>
      <c r="DI13" s="971"/>
      <c r="DJ13" s="971"/>
      <c r="DK13" s="971"/>
      <c r="DL13" s="971"/>
      <c r="DM13" s="971"/>
      <c r="DN13" s="971"/>
      <c r="DO13" s="971"/>
      <c r="DP13" s="971"/>
      <c r="DQ13" s="971"/>
      <c r="DR13" s="971"/>
      <c r="DS13" s="971"/>
      <c r="DT13" s="971"/>
      <c r="DU13" s="971"/>
      <c r="DV13" s="971"/>
      <c r="DW13" s="971"/>
      <c r="DX13" s="971"/>
      <c r="DY13" s="971"/>
      <c r="DZ13" s="971"/>
      <c r="EA13" s="971"/>
      <c r="EB13" s="971"/>
      <c r="EC13" s="971"/>
      <c r="ED13" s="971"/>
      <c r="EE13" s="971"/>
      <c r="EF13" s="971"/>
      <c r="EG13" s="971"/>
      <c r="EH13" s="971"/>
      <c r="EI13" s="971"/>
      <c r="EJ13" s="971"/>
      <c r="EK13" s="971"/>
      <c r="EL13" s="971"/>
      <c r="EM13" s="971"/>
      <c r="EN13" s="971"/>
      <c r="EO13" s="971"/>
      <c r="EP13" s="971"/>
      <c r="EQ13" s="971"/>
      <c r="ER13" s="971"/>
      <c r="ES13" s="971"/>
      <c r="ET13" s="971"/>
      <c r="EU13" s="971"/>
      <c r="EV13" s="971"/>
      <c r="EW13" s="971"/>
      <c r="EX13" s="971"/>
      <c r="EY13" s="971"/>
      <c r="EZ13" s="971"/>
      <c r="FA13" s="971"/>
      <c r="FB13" s="971"/>
      <c r="FC13" s="971"/>
      <c r="FD13" s="971"/>
      <c r="FE13" s="971"/>
      <c r="FF13" s="971"/>
      <c r="FG13" s="971"/>
      <c r="FH13" s="971"/>
      <c r="FI13" s="971"/>
      <c r="FJ13" s="971"/>
      <c r="FK13" s="971"/>
      <c r="FL13" s="971"/>
      <c r="FM13" s="971"/>
      <c r="FN13" s="971"/>
      <c r="FO13" s="971"/>
      <c r="FP13" s="971"/>
      <c r="FQ13" s="971"/>
      <c r="FR13" s="971"/>
      <c r="FS13" s="971"/>
      <c r="FT13" s="971"/>
      <c r="FU13" s="971"/>
      <c r="FV13" s="971"/>
      <c r="FW13" s="971"/>
      <c r="FX13" s="971"/>
      <c r="FY13" s="971"/>
      <c r="FZ13" s="971"/>
      <c r="GA13" s="971"/>
      <c r="GB13" s="971"/>
      <c r="GC13" s="971"/>
      <c r="GD13" s="971"/>
      <c r="GE13" s="971"/>
      <c r="GF13" s="971"/>
      <c r="GG13" s="971"/>
      <c r="GH13" s="971"/>
      <c r="GI13" s="971"/>
      <c r="GJ13" s="971"/>
      <c r="GK13" s="971"/>
      <c r="GL13" s="971"/>
      <c r="GM13" s="971"/>
      <c r="GN13" s="971"/>
      <c r="GO13" s="971"/>
      <c r="GP13" s="971"/>
      <c r="GQ13" s="971"/>
      <c r="GR13" s="971"/>
      <c r="GS13" s="971"/>
      <c r="GT13" s="971"/>
      <c r="GU13" s="971"/>
      <c r="GV13" s="971"/>
      <c r="GW13" s="971"/>
      <c r="GX13" s="971"/>
      <c r="GY13" s="971"/>
      <c r="GZ13" s="971"/>
      <c r="HA13" s="971"/>
      <c r="HB13" s="971"/>
      <c r="HC13" s="971"/>
      <c r="HD13" s="971"/>
      <c r="HE13" s="971"/>
      <c r="HF13" s="971"/>
      <c r="HG13" s="971"/>
      <c r="HH13" s="971"/>
      <c r="HI13" s="971"/>
      <c r="HJ13" s="971"/>
      <c r="HK13" s="971"/>
      <c r="HL13" s="971"/>
      <c r="HM13" s="971"/>
      <c r="HN13" s="971"/>
      <c r="HO13" s="971"/>
      <c r="HP13" s="971"/>
      <c r="HQ13" s="971"/>
      <c r="HR13" s="971"/>
      <c r="HS13" s="971"/>
      <c r="HT13" s="971"/>
      <c r="HU13" s="971"/>
      <c r="HV13" s="971"/>
      <c r="HW13" s="971"/>
      <c r="HX13" s="971"/>
      <c r="HY13" s="971"/>
      <c r="HZ13" s="971"/>
      <c r="IA13" s="971"/>
      <c r="IB13" s="971"/>
      <c r="IC13" s="971"/>
      <c r="ID13" s="971"/>
      <c r="IE13" s="971"/>
      <c r="IF13" s="971"/>
      <c r="IG13" s="971"/>
      <c r="IH13" s="971"/>
      <c r="II13" s="971"/>
      <c r="IJ13" s="971"/>
      <c r="IK13" s="971"/>
      <c r="IL13" s="971"/>
      <c r="IM13" s="971"/>
      <c r="IN13" s="971"/>
      <c r="IO13" s="971"/>
      <c r="IP13" s="971"/>
      <c r="IQ13" s="971"/>
      <c r="IR13" s="971"/>
      <c r="IS13" s="971"/>
      <c r="IT13" s="971"/>
      <c r="IU13" s="971"/>
      <c r="IV13" s="971"/>
      <c r="IW13" s="971"/>
      <c r="IX13" s="971"/>
      <c r="IY13" s="971"/>
      <c r="IZ13" s="971"/>
      <c r="JA13" s="971"/>
      <c r="JB13" s="971"/>
      <c r="JC13" s="971"/>
      <c r="JD13" s="971"/>
      <c r="JE13" s="971"/>
      <c r="JF13" s="971"/>
      <c r="JG13" s="971"/>
      <c r="JH13" s="971"/>
      <c r="JI13" s="971"/>
      <c r="JJ13" s="971"/>
      <c r="JK13" s="971"/>
      <c r="JL13" s="971"/>
      <c r="JM13" s="971"/>
      <c r="JN13" s="971"/>
      <c r="JO13" s="971"/>
      <c r="JP13" s="971"/>
      <c r="JQ13" s="971"/>
      <c r="JR13" s="971"/>
      <c r="JS13" s="971"/>
      <c r="JT13" s="971"/>
      <c r="JU13" s="971"/>
      <c r="JV13" s="971"/>
      <c r="JW13" s="971"/>
      <c r="JX13" s="971"/>
      <c r="JY13" s="971"/>
      <c r="JZ13" s="971"/>
      <c r="KA13" s="971"/>
      <c r="KB13" s="971"/>
      <c r="KC13" s="971"/>
      <c r="KD13" s="971"/>
      <c r="KE13" s="971"/>
      <c r="KF13" s="971"/>
      <c r="KG13" s="971"/>
      <c r="KH13" s="971"/>
      <c r="KI13" s="971"/>
      <c r="KJ13" s="971"/>
      <c r="KK13" s="971"/>
      <c r="KL13" s="971"/>
      <c r="KM13" s="971"/>
      <c r="KN13" s="971"/>
      <c r="KO13" s="971"/>
      <c r="KP13" s="971"/>
      <c r="KQ13" s="971"/>
      <c r="KR13" s="971"/>
      <c r="KS13" s="971"/>
      <c r="KT13" s="971"/>
      <c r="KU13" s="971"/>
      <c r="KV13" s="971"/>
      <c r="KW13" s="971"/>
      <c r="KX13" s="971"/>
      <c r="KY13" s="971"/>
      <c r="KZ13" s="971"/>
      <c r="LA13" s="971"/>
      <c r="LB13" s="971"/>
      <c r="LC13" s="971"/>
      <c r="LD13" s="971"/>
      <c r="LE13" s="971"/>
      <c r="LF13" s="971"/>
      <c r="LG13" s="971"/>
      <c r="LH13" s="971"/>
      <c r="LI13" s="971"/>
      <c r="LJ13" s="971"/>
      <c r="LK13" s="971"/>
      <c r="LL13" s="971"/>
      <c r="LM13" s="971"/>
      <c r="LN13" s="971"/>
      <c r="LO13" s="971"/>
      <c r="LP13" s="971"/>
      <c r="LQ13" s="971"/>
      <c r="LR13" s="971"/>
      <c r="LS13" s="971"/>
      <c r="LT13" s="971"/>
      <c r="LU13" s="971"/>
      <c r="LV13" s="971"/>
      <c r="LW13" s="971"/>
      <c r="LX13" s="971"/>
      <c r="LY13" s="971"/>
      <c r="LZ13" s="971"/>
      <c r="MA13" s="971"/>
      <c r="MB13" s="971"/>
      <c r="MC13" s="971"/>
      <c r="MD13" s="971"/>
      <c r="ME13" s="971"/>
      <c r="MF13" s="971"/>
      <c r="MG13" s="971"/>
      <c r="MH13" s="971"/>
      <c r="MI13" s="971"/>
      <c r="MJ13" s="971"/>
      <c r="MK13" s="971"/>
      <c r="ML13" s="971"/>
      <c r="MM13" s="971"/>
      <c r="MN13" s="971"/>
      <c r="MO13" s="971"/>
      <c r="MP13" s="971"/>
      <c r="MQ13" s="971"/>
      <c r="MR13" s="971"/>
      <c r="MS13" s="971"/>
      <c r="MT13" s="971"/>
      <c r="MU13" s="971"/>
      <c r="MV13" s="971"/>
      <c r="MW13" s="971"/>
      <c r="MX13" s="971"/>
      <c r="MY13" s="971"/>
      <c r="MZ13" s="971"/>
      <c r="NA13" s="971"/>
      <c r="NB13" s="971"/>
      <c r="NC13" s="971"/>
      <c r="ND13" s="971"/>
      <c r="NE13" s="971"/>
      <c r="NF13" s="971"/>
      <c r="NG13" s="971"/>
      <c r="NH13" s="971"/>
      <c r="NI13" s="971"/>
      <c r="NJ13" s="971"/>
      <c r="NK13" s="971"/>
      <c r="NL13" s="971"/>
      <c r="NM13" s="971"/>
      <c r="NN13" s="971"/>
      <c r="NO13" s="971"/>
      <c r="NP13" s="971"/>
      <c r="NQ13" s="971"/>
      <c r="NR13" s="971"/>
      <c r="NS13" s="971"/>
      <c r="NT13" s="971"/>
      <c r="NU13" s="971"/>
      <c r="NV13" s="971"/>
      <c r="NW13" s="971"/>
      <c r="NX13" s="971"/>
      <c r="NY13" s="971"/>
      <c r="NZ13" s="971"/>
      <c r="OA13" s="971"/>
      <c r="OB13" s="971"/>
      <c r="OC13" s="971"/>
      <c r="OD13" s="971"/>
      <c r="OE13" s="971"/>
      <c r="OF13" s="971"/>
      <c r="OG13" s="971"/>
      <c r="OH13" s="971"/>
      <c r="OI13" s="971"/>
      <c r="OJ13" s="971"/>
      <c r="OK13" s="971"/>
      <c r="OL13" s="971"/>
      <c r="OM13" s="971"/>
      <c r="ON13" s="971"/>
      <c r="OO13" s="971"/>
      <c r="OP13" s="971"/>
      <c r="OQ13" s="971"/>
      <c r="OR13" s="971"/>
      <c r="OS13" s="971"/>
      <c r="OT13" s="971"/>
      <c r="OU13" s="971"/>
      <c r="OV13" s="971"/>
      <c r="OW13" s="971"/>
      <c r="OX13" s="971"/>
      <c r="OY13" s="971"/>
      <c r="OZ13" s="971"/>
      <c r="PA13" s="971"/>
      <c r="PB13" s="971"/>
      <c r="PC13" s="971"/>
      <c r="PD13" s="971"/>
      <c r="PE13" s="971"/>
      <c r="PF13" s="971"/>
      <c r="PG13" s="971"/>
      <c r="PH13" s="971"/>
      <c r="PI13" s="971"/>
      <c r="PJ13" s="971"/>
      <c r="PK13" s="971"/>
      <c r="PL13" s="971"/>
      <c r="PM13" s="971"/>
      <c r="PN13" s="971"/>
      <c r="PO13" s="971"/>
      <c r="PP13" s="971"/>
      <c r="PQ13" s="971"/>
      <c r="PR13" s="971"/>
      <c r="PS13" s="971"/>
      <c r="PT13" s="971"/>
      <c r="PU13" s="971"/>
      <c r="PV13" s="971"/>
      <c r="PW13" s="971"/>
      <c r="PX13" s="971"/>
      <c r="PY13" s="971"/>
      <c r="PZ13" s="971"/>
      <c r="QA13" s="971"/>
      <c r="QB13" s="971"/>
      <c r="QC13" s="971"/>
      <c r="QD13" s="971"/>
      <c r="QE13" s="971"/>
      <c r="QF13" s="971"/>
      <c r="QG13" s="971"/>
      <c r="QH13" s="971"/>
      <c r="QI13" s="971"/>
      <c r="QJ13" s="971"/>
      <c r="QK13" s="971"/>
      <c r="QL13" s="971"/>
      <c r="QM13" s="971"/>
      <c r="QN13" s="971"/>
      <c r="QO13" s="971"/>
      <c r="QP13" s="971"/>
      <c r="QQ13" s="971"/>
      <c r="QR13" s="971"/>
      <c r="QS13" s="971"/>
      <c r="QT13" s="971"/>
      <c r="QU13" s="971"/>
      <c r="QV13" s="971"/>
      <c r="QW13" s="971"/>
      <c r="QX13" s="971"/>
      <c r="QY13" s="971"/>
      <c r="QZ13" s="971"/>
      <c r="RA13" s="971"/>
      <c r="RB13" s="971"/>
      <c r="RC13" s="971"/>
      <c r="RD13" s="971"/>
      <c r="RE13" s="971"/>
      <c r="RF13" s="971"/>
      <c r="RG13" s="971"/>
      <c r="RH13" s="971"/>
      <c r="RI13" s="971"/>
      <c r="RJ13" s="971"/>
      <c r="RK13" s="971"/>
      <c r="RL13" s="971"/>
      <c r="RM13" s="971"/>
      <c r="RN13" s="971"/>
      <c r="RO13" s="971"/>
      <c r="RP13" s="971"/>
      <c r="RQ13" s="971"/>
      <c r="RR13" s="971"/>
      <c r="RS13" s="971"/>
      <c r="RT13" s="971"/>
      <c r="RU13" s="971"/>
      <c r="RV13" s="971"/>
      <c r="RW13" s="971"/>
      <c r="RX13" s="971"/>
      <c r="RY13" s="971"/>
      <c r="RZ13" s="971"/>
      <c r="SA13" s="971"/>
      <c r="SB13" s="971"/>
      <c r="SC13" s="971"/>
      <c r="SD13" s="971"/>
      <c r="SE13" s="971"/>
      <c r="SF13" s="971"/>
      <c r="SG13" s="971"/>
      <c r="SH13" s="971"/>
      <c r="SI13" s="971"/>
      <c r="SJ13" s="971"/>
      <c r="SK13" s="971"/>
      <c r="SL13" s="971"/>
      <c r="SM13" s="971"/>
      <c r="SN13" s="971"/>
      <c r="SO13" s="971"/>
      <c r="SP13" s="971"/>
      <c r="SQ13" s="971"/>
      <c r="SR13" s="971"/>
      <c r="SS13" s="971"/>
      <c r="ST13" s="971"/>
      <c r="SU13" s="971"/>
      <c r="SV13" s="971"/>
      <c r="SW13" s="971"/>
      <c r="SX13" s="971"/>
      <c r="SY13" s="971"/>
      <c r="SZ13" s="971"/>
      <c r="TA13" s="971"/>
      <c r="TB13" s="971"/>
      <c r="TC13" s="971"/>
      <c r="TD13" s="971"/>
      <c r="TE13" s="971"/>
      <c r="TF13" s="971"/>
      <c r="TG13" s="971"/>
      <c r="TH13" s="971"/>
      <c r="TI13" s="971"/>
      <c r="TJ13" s="971"/>
      <c r="TK13" s="971"/>
      <c r="TL13" s="971"/>
      <c r="TM13" s="971"/>
      <c r="TN13" s="971"/>
      <c r="TO13" s="971"/>
      <c r="TP13" s="971"/>
      <c r="TQ13" s="971"/>
      <c r="TR13" s="971"/>
      <c r="TS13" s="971"/>
      <c r="TT13" s="971"/>
      <c r="TU13" s="971"/>
      <c r="TV13" s="971"/>
      <c r="TW13" s="971"/>
      <c r="TX13" s="971"/>
      <c r="TY13" s="971"/>
      <c r="TZ13" s="971"/>
      <c r="UA13" s="971"/>
      <c r="UB13" s="971"/>
      <c r="UC13" s="971"/>
      <c r="UD13" s="971"/>
      <c r="UE13" s="971"/>
      <c r="UF13" s="971"/>
      <c r="UG13" s="971"/>
      <c r="UH13" s="971"/>
      <c r="UI13" s="971"/>
      <c r="UJ13" s="971"/>
      <c r="UK13" s="971"/>
      <c r="UL13" s="971"/>
      <c r="UM13" s="971"/>
      <c r="UN13" s="971"/>
      <c r="UO13" s="971"/>
      <c r="UP13" s="971"/>
      <c r="UQ13" s="971"/>
      <c r="UR13" s="971"/>
      <c r="US13" s="971"/>
      <c r="UT13" s="971"/>
      <c r="UU13" s="971"/>
      <c r="UV13" s="971"/>
      <c r="UW13" s="971"/>
      <c r="UX13" s="971"/>
      <c r="UY13" s="971"/>
      <c r="UZ13" s="971"/>
      <c r="VA13" s="971"/>
      <c r="VB13" s="971"/>
      <c r="VC13" s="971"/>
      <c r="VD13" s="971"/>
      <c r="VE13" s="971"/>
      <c r="VF13" s="971"/>
      <c r="VG13" s="971"/>
      <c r="VH13" s="971"/>
      <c r="VI13" s="971"/>
      <c r="VJ13" s="971"/>
      <c r="VK13" s="971"/>
      <c r="VL13" s="971"/>
      <c r="VM13" s="971"/>
      <c r="VN13" s="971"/>
      <c r="VO13" s="971"/>
      <c r="VP13" s="971"/>
      <c r="VQ13" s="971"/>
      <c r="VR13" s="971"/>
      <c r="VS13" s="971"/>
      <c r="VT13" s="971"/>
      <c r="VU13" s="971"/>
      <c r="VV13" s="971"/>
      <c r="VW13" s="971"/>
      <c r="VX13" s="971"/>
      <c r="VY13" s="971"/>
      <c r="VZ13" s="971"/>
      <c r="WA13" s="971"/>
      <c r="WB13" s="971"/>
      <c r="WC13" s="971"/>
      <c r="WD13" s="971"/>
      <c r="WE13" s="971"/>
      <c r="WF13" s="971"/>
      <c r="WG13" s="971"/>
      <c r="WH13" s="971"/>
      <c r="WI13" s="971"/>
      <c r="WJ13" s="971"/>
      <c r="WK13" s="971"/>
      <c r="WL13" s="971"/>
      <c r="WM13" s="971"/>
      <c r="WN13" s="971"/>
      <c r="WO13" s="971"/>
      <c r="WP13" s="971"/>
      <c r="WQ13" s="971"/>
      <c r="WR13" s="971"/>
      <c r="WS13" s="971"/>
      <c r="WT13" s="971"/>
      <c r="WU13" s="971"/>
      <c r="WV13" s="971"/>
      <c r="WW13" s="971"/>
      <c r="WX13" s="971"/>
      <c r="WY13" s="971"/>
      <c r="WZ13" s="971"/>
      <c r="XA13" s="971"/>
      <c r="XB13" s="971"/>
      <c r="XC13" s="971"/>
      <c r="XD13" s="971"/>
      <c r="XE13" s="971"/>
      <c r="XF13" s="971"/>
      <c r="XG13" s="971"/>
      <c r="XH13" s="971"/>
      <c r="XI13" s="971"/>
      <c r="XJ13" s="971"/>
      <c r="XK13" s="971"/>
      <c r="XL13" s="971"/>
      <c r="XM13" s="971"/>
      <c r="XN13" s="971"/>
      <c r="XO13" s="971"/>
      <c r="XP13" s="971"/>
      <c r="XQ13" s="971"/>
      <c r="XR13" s="971"/>
      <c r="XS13" s="971"/>
      <c r="XT13" s="971"/>
      <c r="XU13" s="971"/>
      <c r="XV13" s="971"/>
      <c r="XW13" s="971"/>
      <c r="XX13" s="971"/>
      <c r="XY13" s="971"/>
      <c r="XZ13" s="971"/>
      <c r="YA13" s="971"/>
      <c r="YB13" s="971"/>
      <c r="YC13" s="971"/>
      <c r="YD13" s="971"/>
      <c r="YE13" s="971"/>
      <c r="YF13" s="971"/>
      <c r="YG13" s="971"/>
      <c r="YH13" s="971"/>
      <c r="YI13" s="971"/>
      <c r="YJ13" s="971"/>
      <c r="YK13" s="971"/>
      <c r="YL13" s="971"/>
      <c r="YM13" s="971"/>
      <c r="YN13" s="971"/>
      <c r="YO13" s="971"/>
      <c r="YP13" s="971"/>
      <c r="YQ13" s="971"/>
      <c r="YR13" s="971"/>
      <c r="YS13" s="971"/>
      <c r="YT13" s="971"/>
      <c r="YU13" s="971"/>
      <c r="YV13" s="971"/>
      <c r="YW13" s="971"/>
      <c r="YX13" s="971"/>
      <c r="YY13" s="971"/>
      <c r="YZ13" s="971"/>
      <c r="ZA13" s="971"/>
      <c r="ZB13" s="971"/>
      <c r="ZC13" s="971"/>
      <c r="ZD13" s="971"/>
      <c r="ZE13" s="971"/>
      <c r="ZF13" s="971"/>
      <c r="ZG13" s="971"/>
      <c r="ZH13" s="971"/>
      <c r="ZI13" s="971"/>
      <c r="ZJ13" s="971"/>
      <c r="ZK13" s="971"/>
      <c r="ZL13" s="971"/>
      <c r="ZM13" s="971"/>
      <c r="ZN13" s="971"/>
      <c r="ZO13" s="971"/>
      <c r="ZP13" s="971"/>
      <c r="ZQ13" s="971"/>
      <c r="ZR13" s="971"/>
      <c r="ZS13" s="971"/>
      <c r="ZT13" s="971"/>
      <c r="ZU13" s="971"/>
      <c r="ZV13" s="971"/>
      <c r="ZW13" s="971"/>
      <c r="ZX13" s="971"/>
      <c r="ZY13" s="971"/>
      <c r="ZZ13" s="971"/>
      <c r="AAA13" s="971"/>
      <c r="AAB13" s="971"/>
      <c r="AAC13" s="971"/>
      <c r="AAD13" s="971"/>
      <c r="AAE13" s="971"/>
      <c r="AAF13" s="971"/>
      <c r="AAG13" s="971"/>
      <c r="AAH13" s="971"/>
      <c r="AAI13" s="971"/>
      <c r="AAJ13" s="971"/>
      <c r="AAK13" s="971"/>
      <c r="AAL13" s="971"/>
      <c r="AAM13" s="971"/>
      <c r="AAN13" s="971"/>
      <c r="AAO13" s="971"/>
      <c r="AAP13" s="971"/>
      <c r="AAQ13" s="971"/>
      <c r="AAR13" s="971"/>
      <c r="AAS13" s="971"/>
      <c r="AAT13" s="971"/>
      <c r="AAU13" s="971"/>
      <c r="AAV13" s="971"/>
      <c r="AAW13" s="971"/>
      <c r="AAX13" s="971"/>
      <c r="AAY13" s="971"/>
      <c r="AAZ13" s="971"/>
      <c r="ABA13" s="971"/>
      <c r="ABB13" s="971"/>
      <c r="ABC13" s="971"/>
      <c r="ABD13" s="971"/>
      <c r="ABE13" s="971"/>
      <c r="ABF13" s="971"/>
      <c r="ABG13" s="971"/>
      <c r="ABH13" s="971"/>
      <c r="ABI13" s="971"/>
      <c r="ABJ13" s="971"/>
      <c r="ABK13" s="971"/>
      <c r="ABL13" s="971"/>
      <c r="ABM13" s="971"/>
      <c r="ABN13" s="971"/>
      <c r="ABO13" s="971"/>
      <c r="ABP13" s="971"/>
      <c r="ABQ13" s="971"/>
      <c r="ABR13" s="971"/>
      <c r="ABS13" s="971"/>
      <c r="ABT13" s="971"/>
      <c r="ABU13" s="971"/>
      <c r="ABV13" s="971"/>
      <c r="ABW13" s="971"/>
      <c r="ABX13" s="971"/>
      <c r="ABY13" s="971"/>
      <c r="ABZ13" s="971"/>
      <c r="ACA13" s="971"/>
      <c r="ACB13" s="971"/>
      <c r="ACC13" s="971"/>
      <c r="ACD13" s="971"/>
      <c r="ACE13" s="971"/>
      <c r="ACF13" s="971"/>
      <c r="ACG13" s="971"/>
      <c r="ACH13" s="971"/>
      <c r="ACI13" s="971"/>
      <c r="ACJ13" s="971"/>
      <c r="ACK13" s="971"/>
      <c r="ACL13" s="971"/>
      <c r="ACM13" s="971"/>
      <c r="ACN13" s="971"/>
      <c r="ACO13" s="971"/>
      <c r="ACP13" s="971"/>
      <c r="ACQ13" s="971"/>
      <c r="ACR13" s="971"/>
      <c r="ACS13" s="971"/>
      <c r="ACT13" s="971"/>
      <c r="ACU13" s="971"/>
      <c r="ACV13" s="971"/>
      <c r="ACW13" s="971"/>
      <c r="ACX13" s="971"/>
      <c r="ACY13" s="971"/>
      <c r="ACZ13" s="971"/>
      <c r="ADA13" s="971"/>
      <c r="ADB13" s="971"/>
      <c r="ADC13" s="971"/>
      <c r="ADD13" s="971"/>
      <c r="ADE13" s="971"/>
      <c r="ADF13" s="971"/>
      <c r="ADG13" s="971"/>
      <c r="ADH13" s="971"/>
      <c r="ADI13" s="971"/>
      <c r="ADJ13" s="971"/>
      <c r="ADK13" s="971"/>
      <c r="ADL13" s="971"/>
      <c r="ADM13" s="971"/>
      <c r="ADN13" s="971"/>
      <c r="ADO13" s="971"/>
      <c r="ADP13" s="971"/>
      <c r="ADQ13" s="971"/>
      <c r="ADR13" s="971"/>
      <c r="ADS13" s="971"/>
      <c r="ADT13" s="971"/>
      <c r="ADU13" s="971"/>
      <c r="ADV13" s="971"/>
      <c r="ADW13" s="971"/>
      <c r="ADX13" s="971"/>
      <c r="ADY13" s="971"/>
      <c r="ADZ13" s="971"/>
      <c r="AEA13" s="971"/>
      <c r="AEB13" s="971"/>
      <c r="AEC13" s="971"/>
      <c r="AED13" s="971"/>
      <c r="AEE13" s="971"/>
      <c r="AEF13" s="971"/>
      <c r="AEG13" s="971"/>
      <c r="AEH13" s="971"/>
      <c r="AEI13" s="971"/>
      <c r="AEJ13" s="971"/>
      <c r="AEK13" s="971"/>
      <c r="AEL13" s="971"/>
      <c r="AEM13" s="971"/>
      <c r="AEN13" s="971"/>
      <c r="AEO13" s="971"/>
      <c r="AEP13" s="971"/>
      <c r="AEQ13" s="971"/>
      <c r="AER13" s="971"/>
      <c r="AES13" s="971"/>
      <c r="AET13" s="971"/>
      <c r="AEU13" s="971"/>
      <c r="AEV13" s="971"/>
      <c r="AEW13" s="971"/>
      <c r="AEX13" s="971"/>
      <c r="AEY13" s="971"/>
      <c r="AEZ13" s="971"/>
      <c r="AFA13" s="971"/>
      <c r="AFB13" s="971"/>
      <c r="AFC13" s="971"/>
      <c r="AFD13" s="971"/>
      <c r="AFE13" s="971"/>
      <c r="AFF13" s="971"/>
      <c r="AFG13" s="971"/>
      <c r="AFH13" s="971"/>
      <c r="AFI13" s="971"/>
      <c r="AFJ13" s="971"/>
      <c r="AFK13" s="971"/>
      <c r="AFL13" s="971"/>
      <c r="AFM13" s="971"/>
      <c r="AFN13" s="971"/>
      <c r="AFO13" s="971"/>
      <c r="AFP13" s="971"/>
      <c r="AFQ13" s="971"/>
      <c r="AFR13" s="971"/>
      <c r="AFS13" s="971"/>
      <c r="AFT13" s="971"/>
      <c r="AFU13" s="971"/>
      <c r="AFV13" s="971"/>
      <c r="AFW13" s="971"/>
      <c r="AFX13" s="971"/>
      <c r="AFY13" s="971"/>
      <c r="AFZ13" s="971"/>
      <c r="AGA13" s="971"/>
      <c r="AGB13" s="971"/>
      <c r="AGC13" s="971"/>
      <c r="AGD13" s="971"/>
      <c r="AGE13" s="971"/>
      <c r="AGF13" s="971"/>
      <c r="AGG13" s="971"/>
      <c r="AGH13" s="971"/>
      <c r="AGI13" s="971"/>
      <c r="AGJ13" s="971"/>
      <c r="AGK13" s="971"/>
      <c r="AGL13" s="971"/>
      <c r="AGM13" s="971"/>
      <c r="AGN13" s="971"/>
      <c r="AGO13" s="971"/>
      <c r="AGP13" s="971"/>
      <c r="AGQ13" s="971"/>
      <c r="AGR13" s="971"/>
      <c r="AGS13" s="971"/>
      <c r="AGT13" s="971"/>
      <c r="AGU13" s="971"/>
      <c r="AGV13" s="971"/>
      <c r="AGW13" s="971"/>
      <c r="AGX13" s="971"/>
      <c r="AGY13" s="971"/>
      <c r="AGZ13" s="971"/>
      <c r="AHA13" s="971"/>
      <c r="AHB13" s="971"/>
      <c r="AHC13" s="971"/>
      <c r="AHD13" s="971"/>
      <c r="AHE13" s="971"/>
      <c r="AHF13" s="971"/>
      <c r="AHG13" s="971"/>
      <c r="AHH13" s="971"/>
      <c r="AHI13" s="971"/>
      <c r="AHJ13" s="971"/>
      <c r="AHK13" s="971"/>
      <c r="AHL13" s="971"/>
      <c r="AHM13" s="971"/>
      <c r="AHN13" s="971"/>
      <c r="AHO13" s="971"/>
      <c r="AHP13" s="971"/>
      <c r="AHQ13" s="971"/>
      <c r="AHR13" s="971"/>
      <c r="AHS13" s="971"/>
      <c r="AHT13" s="971"/>
      <c r="AHU13" s="971"/>
      <c r="AHV13" s="971"/>
      <c r="AHW13" s="971"/>
      <c r="AHX13" s="971"/>
      <c r="AHY13" s="971"/>
      <c r="AHZ13" s="971"/>
      <c r="AIA13" s="971"/>
      <c r="AIB13" s="971"/>
      <c r="AIC13" s="971"/>
      <c r="AID13" s="971"/>
      <c r="AIE13" s="971"/>
      <c r="AIF13" s="971"/>
      <c r="AIG13" s="971"/>
      <c r="AIH13" s="971"/>
      <c r="AII13" s="971"/>
      <c r="AIJ13" s="971"/>
      <c r="AIK13" s="971"/>
      <c r="AIL13" s="971"/>
      <c r="AIM13" s="971"/>
      <c r="AIN13" s="971"/>
      <c r="AIO13" s="971"/>
      <c r="AIP13" s="971"/>
      <c r="AIQ13" s="971"/>
      <c r="AIR13" s="971"/>
      <c r="AIS13" s="971"/>
      <c r="AIT13" s="971"/>
      <c r="AIU13" s="971"/>
      <c r="AIV13" s="971"/>
      <c r="AIW13" s="971"/>
      <c r="AIX13" s="971"/>
      <c r="AIY13" s="971"/>
      <c r="AIZ13" s="971"/>
      <c r="AJA13" s="971"/>
      <c r="AJB13" s="971"/>
      <c r="AJC13" s="971"/>
      <c r="AJD13" s="971"/>
      <c r="AJE13" s="971"/>
      <c r="AJF13" s="971"/>
      <c r="AJG13" s="971"/>
      <c r="AJH13" s="971"/>
      <c r="AJI13" s="971"/>
      <c r="AJJ13" s="971"/>
      <c r="AJK13" s="971"/>
      <c r="AJL13" s="971"/>
      <c r="AJM13" s="971"/>
      <c r="AJN13" s="971"/>
      <c r="AJO13" s="971"/>
      <c r="AJP13" s="971"/>
      <c r="AJQ13" s="971"/>
      <c r="AJR13" s="971"/>
      <c r="AJS13" s="971"/>
      <c r="AJT13" s="971"/>
      <c r="AJU13" s="971"/>
      <c r="AJV13" s="971"/>
      <c r="AJW13" s="971"/>
      <c r="AJX13" s="971"/>
      <c r="AJY13" s="971"/>
      <c r="AJZ13" s="971"/>
      <c r="AKA13" s="971"/>
      <c r="AKB13" s="971"/>
      <c r="AKC13" s="971"/>
      <c r="AKD13" s="971"/>
      <c r="AKE13" s="971"/>
      <c r="AKF13" s="971"/>
      <c r="AKG13" s="971"/>
      <c r="AKH13" s="971"/>
      <c r="AKI13" s="971"/>
      <c r="AKJ13" s="971"/>
      <c r="AKK13" s="971"/>
      <c r="AKL13" s="971"/>
      <c r="AKM13" s="971"/>
      <c r="AKN13" s="971"/>
      <c r="AKO13" s="971"/>
      <c r="AKP13" s="971"/>
      <c r="AKQ13" s="971"/>
      <c r="AKR13" s="971"/>
      <c r="AKS13" s="971"/>
      <c r="AKT13" s="971"/>
      <c r="AKU13" s="971"/>
      <c r="AKV13" s="971"/>
      <c r="AKW13" s="971"/>
      <c r="AKX13" s="971"/>
      <c r="AKY13" s="971"/>
      <c r="AKZ13" s="971"/>
      <c r="ALA13" s="971"/>
      <c r="ALB13" s="971"/>
      <c r="ALC13" s="971"/>
      <c r="ALD13" s="971"/>
      <c r="ALE13" s="971"/>
      <c r="ALF13" s="971"/>
      <c r="ALG13" s="971"/>
      <c r="ALH13" s="971"/>
      <c r="ALI13" s="971"/>
      <c r="ALJ13" s="971"/>
      <c r="ALK13" s="971"/>
      <c r="ALL13" s="971"/>
    </row>
    <row r="14" s="929" customFormat="1" ht="13.5" customHeight="1" hidden="1">
      <c r="A14" s="971"/>
      <c r="B14" s="971"/>
      <c r="C14" s="971"/>
      <c r="D14" s="971"/>
      <c r="E14" s="971"/>
      <c r="F14" s="971"/>
      <c r="G14" s="971"/>
      <c r="H14" s="971"/>
      <c r="I14" s="971"/>
      <c r="J14" s="971"/>
      <c r="K14" s="971"/>
      <c r="L14" s="971"/>
      <c r="M14" s="971"/>
      <c r="N14" s="971"/>
      <c r="O14" s="971"/>
      <c r="P14" s="971"/>
      <c r="Q14" s="971"/>
      <c r="R14" s="971"/>
      <c r="S14" s="971"/>
      <c r="T14" s="971"/>
      <c r="U14" s="971"/>
      <c r="V14" s="971"/>
      <c r="W14" s="971"/>
      <c r="X14" s="971"/>
      <c r="Y14" s="971"/>
      <c r="Z14" s="971"/>
      <c r="AA14" s="971"/>
      <c r="AB14" s="971"/>
      <c r="AC14" s="971"/>
      <c r="AD14" s="971"/>
      <c r="AE14" s="971"/>
      <c r="AF14" s="971"/>
      <c r="AG14" s="971"/>
      <c r="AH14" s="971"/>
      <c r="AI14" s="971"/>
      <c r="AJ14" s="971"/>
      <c r="AK14" s="971"/>
      <c r="AL14" s="971"/>
      <c r="AM14" s="971"/>
      <c r="AN14" s="971"/>
      <c r="AO14" s="971"/>
      <c r="AP14" s="971"/>
      <c r="AQ14" s="971"/>
      <c r="AR14" s="971"/>
      <c r="AS14" s="971"/>
      <c r="AT14" s="971"/>
      <c r="AU14" s="971"/>
      <c r="AV14" s="971"/>
      <c r="AW14" s="971"/>
      <c r="AX14" s="971"/>
      <c r="AY14" s="971"/>
      <c r="AZ14" s="971"/>
      <c r="BA14" s="971"/>
      <c r="BB14" s="971"/>
      <c r="BC14" s="971"/>
      <c r="BD14" s="971"/>
      <c r="BE14" s="971"/>
      <c r="BF14" s="971"/>
      <c r="BG14" s="971"/>
      <c r="BH14" s="971"/>
      <c r="BI14" s="971"/>
      <c r="BJ14" s="971"/>
      <c r="BK14" s="971"/>
      <c r="BL14" s="971"/>
      <c r="BM14" s="971"/>
      <c r="BN14" s="971"/>
      <c r="BO14" s="971"/>
      <c r="BP14" s="971"/>
      <c r="BQ14" s="971"/>
      <c r="BR14" s="971"/>
      <c r="BS14" s="971"/>
      <c r="BT14" s="971"/>
      <c r="BU14" s="971"/>
      <c r="BV14" s="971"/>
      <c r="BW14" s="971"/>
      <c r="BX14" s="971"/>
      <c r="BY14" s="971"/>
      <c r="BZ14" s="971"/>
      <c r="CA14" s="971"/>
      <c r="CB14" s="971"/>
      <c r="CC14" s="971"/>
      <c r="CD14" s="971"/>
      <c r="CE14" s="971"/>
      <c r="CF14" s="971"/>
      <c r="CG14" s="971"/>
      <c r="CH14" s="971"/>
      <c r="CI14" s="971"/>
      <c r="CJ14" s="971"/>
      <c r="CK14" s="971"/>
      <c r="CL14" s="971"/>
      <c r="CM14" s="971"/>
      <c r="CN14" s="971"/>
      <c r="CO14" s="971"/>
      <c r="CP14" s="971"/>
      <c r="CQ14" s="971"/>
      <c r="CR14" s="971"/>
      <c r="CS14" s="971"/>
      <c r="CT14" s="971"/>
      <c r="CU14" s="971"/>
      <c r="CV14" s="971"/>
      <c r="CW14" s="971"/>
      <c r="CX14" s="971"/>
      <c r="CY14" s="971"/>
      <c r="CZ14" s="971"/>
      <c r="DA14" s="971"/>
      <c r="DB14" s="971"/>
      <c r="DC14" s="971"/>
      <c r="DD14" s="971"/>
      <c r="DE14" s="971"/>
      <c r="DF14" s="971"/>
      <c r="DG14" s="971"/>
      <c r="DH14" s="971"/>
      <c r="DI14" s="971"/>
      <c r="DJ14" s="971"/>
      <c r="DK14" s="971"/>
      <c r="DL14" s="971"/>
      <c r="DM14" s="971"/>
      <c r="DN14" s="971"/>
      <c r="DO14" s="971"/>
      <c r="DP14" s="971"/>
      <c r="DQ14" s="971"/>
      <c r="DR14" s="971"/>
      <c r="DS14" s="971"/>
      <c r="DT14" s="971"/>
      <c r="DU14" s="971"/>
      <c r="DV14" s="971"/>
      <c r="DW14" s="971"/>
      <c r="DX14" s="971"/>
      <c r="DY14" s="971"/>
      <c r="DZ14" s="971"/>
      <c r="EA14" s="971"/>
      <c r="EB14" s="971"/>
      <c r="EC14" s="971"/>
      <c r="ED14" s="971"/>
      <c r="EE14" s="971"/>
      <c r="EF14" s="971"/>
      <c r="EG14" s="971"/>
      <c r="EH14" s="971"/>
      <c r="EI14" s="971"/>
      <c r="EJ14" s="971"/>
      <c r="EK14" s="971"/>
      <c r="EL14" s="971"/>
      <c r="EM14" s="971"/>
      <c r="EN14" s="971"/>
      <c r="EO14" s="971"/>
      <c r="EP14" s="971"/>
      <c r="EQ14" s="971"/>
      <c r="ER14" s="971"/>
      <c r="ES14" s="971"/>
      <c r="ET14" s="971"/>
      <c r="EU14" s="971"/>
      <c r="EV14" s="971"/>
      <c r="EW14" s="971"/>
      <c r="EX14" s="971"/>
      <c r="EY14" s="971"/>
      <c r="EZ14" s="971"/>
      <c r="FA14" s="971"/>
      <c r="FB14" s="971"/>
      <c r="FC14" s="971"/>
      <c r="FD14" s="971"/>
      <c r="FE14" s="971"/>
      <c r="FF14" s="971"/>
      <c r="FG14" s="971"/>
      <c r="FH14" s="971"/>
      <c r="FI14" s="971"/>
      <c r="FJ14" s="971"/>
      <c r="FK14" s="971"/>
      <c r="FL14" s="971"/>
      <c r="FM14" s="971"/>
      <c r="FN14" s="971"/>
      <c r="FO14" s="971"/>
      <c r="FP14" s="971"/>
      <c r="FQ14" s="971"/>
      <c r="FR14" s="971"/>
      <c r="FS14" s="971"/>
      <c r="FT14" s="971"/>
      <c r="FU14" s="971"/>
      <c r="FV14" s="971"/>
      <c r="FW14" s="971"/>
      <c r="FX14" s="971"/>
      <c r="FY14" s="971"/>
      <c r="FZ14" s="971"/>
      <c r="GA14" s="971"/>
      <c r="GB14" s="971"/>
      <c r="GC14" s="971"/>
      <c r="GD14" s="971"/>
      <c r="GE14" s="971"/>
      <c r="GF14" s="971"/>
      <c r="GG14" s="971"/>
      <c r="GH14" s="971"/>
      <c r="GI14" s="971"/>
      <c r="GJ14" s="971"/>
      <c r="GK14" s="971"/>
      <c r="GL14" s="971"/>
      <c r="GM14" s="971"/>
      <c r="GN14" s="971"/>
      <c r="GO14" s="971"/>
      <c r="GP14" s="971"/>
      <c r="GQ14" s="971"/>
      <c r="GR14" s="971"/>
      <c r="GS14" s="971"/>
      <c r="GT14" s="971"/>
      <c r="GU14" s="971"/>
      <c r="GV14" s="971"/>
      <c r="GW14" s="971"/>
      <c r="GX14" s="971"/>
      <c r="GY14" s="971"/>
      <c r="GZ14" s="971"/>
      <c r="HA14" s="971"/>
      <c r="HB14" s="971"/>
      <c r="HC14" s="971"/>
      <c r="HD14" s="971"/>
      <c r="HE14" s="971"/>
      <c r="HF14" s="971"/>
      <c r="HG14" s="971"/>
      <c r="HH14" s="971"/>
      <c r="HI14" s="971"/>
      <c r="HJ14" s="971"/>
      <c r="HK14" s="971"/>
      <c r="HL14" s="971"/>
      <c r="HM14" s="971"/>
      <c r="HN14" s="971"/>
      <c r="HO14" s="971"/>
      <c r="HP14" s="971"/>
      <c r="HQ14" s="971"/>
      <c r="HR14" s="971"/>
      <c r="HS14" s="971"/>
      <c r="HT14" s="971"/>
      <c r="HU14" s="971"/>
      <c r="HV14" s="971"/>
      <c r="HW14" s="971"/>
      <c r="HX14" s="971"/>
      <c r="HY14" s="971"/>
      <c r="HZ14" s="971"/>
      <c r="IA14" s="971"/>
      <c r="IB14" s="971"/>
      <c r="IC14" s="971"/>
      <c r="ID14" s="971"/>
      <c r="IE14" s="971"/>
      <c r="IF14" s="971"/>
      <c r="IG14" s="971"/>
      <c r="IH14" s="971"/>
      <c r="II14" s="971"/>
      <c r="IJ14" s="971"/>
      <c r="IK14" s="971"/>
      <c r="IL14" s="971"/>
      <c r="IM14" s="971"/>
      <c r="IN14" s="971"/>
      <c r="IO14" s="971"/>
      <c r="IP14" s="971"/>
      <c r="IQ14" s="971"/>
      <c r="IR14" s="971"/>
      <c r="IS14" s="971"/>
      <c r="IT14" s="971"/>
      <c r="IU14" s="971"/>
      <c r="IV14" s="971"/>
      <c r="IW14" s="971"/>
      <c r="IX14" s="971"/>
      <c r="IY14" s="971"/>
      <c r="IZ14" s="971"/>
      <c r="JA14" s="971"/>
      <c r="JB14" s="971"/>
      <c r="JC14" s="971"/>
      <c r="JD14" s="971"/>
      <c r="JE14" s="971"/>
      <c r="JF14" s="971"/>
      <c r="JG14" s="971"/>
      <c r="JH14" s="971"/>
      <c r="JI14" s="971"/>
      <c r="JJ14" s="971"/>
      <c r="JK14" s="971"/>
      <c r="JL14" s="971"/>
      <c r="JM14" s="971"/>
      <c r="JN14" s="971"/>
      <c r="JO14" s="971"/>
      <c r="JP14" s="971"/>
      <c r="JQ14" s="971"/>
      <c r="JR14" s="971"/>
      <c r="JS14" s="971"/>
      <c r="JT14" s="971"/>
      <c r="JU14" s="971"/>
      <c r="JV14" s="971"/>
      <c r="JW14" s="971"/>
      <c r="JX14" s="971"/>
      <c r="JY14" s="971"/>
      <c r="JZ14" s="971"/>
      <c r="KA14" s="971"/>
      <c r="KB14" s="971"/>
      <c r="KC14" s="971"/>
      <c r="KD14" s="971"/>
      <c r="KE14" s="971"/>
      <c r="KF14" s="971"/>
      <c r="KG14" s="971"/>
      <c r="KH14" s="971"/>
      <c r="KI14" s="971"/>
      <c r="KJ14" s="971"/>
      <c r="KK14" s="971"/>
      <c r="KL14" s="971"/>
      <c r="KM14" s="971"/>
      <c r="KN14" s="971"/>
      <c r="KO14" s="971"/>
      <c r="KP14" s="971"/>
      <c r="KQ14" s="971"/>
      <c r="KR14" s="971"/>
      <c r="KS14" s="971"/>
      <c r="KT14" s="971"/>
      <c r="KU14" s="971"/>
      <c r="KV14" s="971"/>
      <c r="KW14" s="971"/>
      <c r="KX14" s="971"/>
      <c r="KY14" s="971"/>
      <c r="KZ14" s="971"/>
      <c r="LA14" s="971"/>
      <c r="LB14" s="971"/>
      <c r="LC14" s="971"/>
      <c r="LD14" s="971"/>
      <c r="LE14" s="971"/>
      <c r="LF14" s="971"/>
      <c r="LG14" s="971"/>
      <c r="LH14" s="971"/>
      <c r="LI14" s="971"/>
      <c r="LJ14" s="971"/>
      <c r="LK14" s="971"/>
      <c r="LL14" s="971"/>
      <c r="LM14" s="971"/>
      <c r="LN14" s="971"/>
      <c r="LO14" s="971"/>
      <c r="LP14" s="971"/>
      <c r="LQ14" s="971"/>
      <c r="LR14" s="971"/>
      <c r="LS14" s="971"/>
      <c r="LT14" s="971"/>
      <c r="LU14" s="971"/>
      <c r="LV14" s="971"/>
      <c r="LW14" s="971"/>
      <c r="LX14" s="971"/>
      <c r="LY14" s="971"/>
      <c r="LZ14" s="971"/>
      <c r="MA14" s="971"/>
      <c r="MB14" s="971"/>
      <c r="MC14" s="971"/>
      <c r="MD14" s="971"/>
      <c r="ME14" s="971"/>
      <c r="MF14" s="971"/>
      <c r="MG14" s="971"/>
      <c r="MH14" s="971"/>
      <c r="MI14" s="971"/>
      <c r="MJ14" s="971"/>
      <c r="MK14" s="971"/>
      <c r="ML14" s="971"/>
      <c r="MM14" s="971"/>
      <c r="MN14" s="971"/>
      <c r="MO14" s="971"/>
      <c r="MP14" s="971"/>
      <c r="MQ14" s="971"/>
      <c r="MR14" s="971"/>
      <c r="MS14" s="971"/>
      <c r="MT14" s="971"/>
      <c r="MU14" s="971"/>
      <c r="MV14" s="971"/>
      <c r="MW14" s="971"/>
      <c r="MX14" s="971"/>
      <c r="MY14" s="971"/>
      <c r="MZ14" s="971"/>
      <c r="NA14" s="971"/>
      <c r="NB14" s="971"/>
      <c r="NC14" s="971"/>
      <c r="ND14" s="971"/>
      <c r="NE14" s="971"/>
      <c r="NF14" s="971"/>
      <c r="NG14" s="971"/>
      <c r="NH14" s="971"/>
      <c r="NI14" s="971"/>
      <c r="NJ14" s="971"/>
      <c r="NK14" s="971"/>
      <c r="NL14" s="971"/>
      <c r="NM14" s="971"/>
      <c r="NN14" s="971"/>
      <c r="NO14" s="971"/>
      <c r="NP14" s="971"/>
      <c r="NQ14" s="971"/>
      <c r="NR14" s="971"/>
      <c r="NS14" s="971"/>
      <c r="NT14" s="971"/>
      <c r="NU14" s="971"/>
      <c r="NV14" s="971"/>
      <c r="NW14" s="971"/>
      <c r="NX14" s="971"/>
      <c r="NY14" s="971"/>
      <c r="NZ14" s="971"/>
      <c r="OA14" s="971"/>
      <c r="OB14" s="971"/>
      <c r="OC14" s="971"/>
      <c r="OD14" s="971"/>
      <c r="OE14" s="971"/>
      <c r="OF14" s="971"/>
      <c r="OG14" s="971"/>
      <c r="OH14" s="971"/>
      <c r="OI14" s="971"/>
      <c r="OJ14" s="971"/>
      <c r="OK14" s="971"/>
      <c r="OL14" s="971"/>
      <c r="OM14" s="971"/>
      <c r="ON14" s="971"/>
      <c r="OO14" s="971"/>
      <c r="OP14" s="971"/>
      <c r="OQ14" s="971"/>
      <c r="OR14" s="971"/>
      <c r="OS14" s="971"/>
      <c r="OT14" s="971"/>
      <c r="OU14" s="971"/>
      <c r="OV14" s="971"/>
      <c r="OW14" s="971"/>
      <c r="OX14" s="971"/>
      <c r="OY14" s="971"/>
      <c r="OZ14" s="971"/>
      <c r="PA14" s="971"/>
      <c r="PB14" s="971"/>
      <c r="PC14" s="971"/>
      <c r="PD14" s="971"/>
      <c r="PE14" s="971"/>
      <c r="PF14" s="971"/>
      <c r="PG14" s="971"/>
      <c r="PH14" s="971"/>
      <c r="PI14" s="971"/>
      <c r="PJ14" s="971"/>
      <c r="PK14" s="971"/>
      <c r="PL14" s="971"/>
      <c r="PM14" s="971"/>
      <c r="PN14" s="971"/>
      <c r="PO14" s="971"/>
      <c r="PP14" s="971"/>
      <c r="PQ14" s="971"/>
      <c r="PR14" s="971"/>
      <c r="PS14" s="971"/>
      <c r="PT14" s="971"/>
      <c r="PU14" s="971"/>
      <c r="PV14" s="971"/>
      <c r="PW14" s="971"/>
      <c r="PX14" s="971"/>
      <c r="PY14" s="971"/>
      <c r="PZ14" s="971"/>
      <c r="QA14" s="971"/>
      <c r="QB14" s="971"/>
      <c r="QC14" s="971"/>
      <c r="QD14" s="971"/>
      <c r="QE14" s="971"/>
      <c r="QF14" s="971"/>
      <c r="QG14" s="971"/>
      <c r="QH14" s="971"/>
      <c r="QI14" s="971"/>
      <c r="QJ14" s="971"/>
      <c r="QK14" s="971"/>
      <c r="QL14" s="971"/>
      <c r="QM14" s="971"/>
      <c r="QN14" s="971"/>
      <c r="QO14" s="971"/>
      <c r="QP14" s="971"/>
      <c r="QQ14" s="971"/>
      <c r="QR14" s="971"/>
      <c r="QS14" s="971"/>
      <c r="QT14" s="971"/>
      <c r="QU14" s="971"/>
      <c r="QV14" s="971"/>
      <c r="QW14" s="971"/>
      <c r="QX14" s="971"/>
      <c r="QY14" s="971"/>
      <c r="QZ14" s="971"/>
      <c r="RA14" s="971"/>
      <c r="RB14" s="971"/>
      <c r="RC14" s="971"/>
      <c r="RD14" s="971"/>
      <c r="RE14" s="971"/>
      <c r="RF14" s="971"/>
      <c r="RG14" s="971"/>
      <c r="RH14" s="971"/>
      <c r="RI14" s="971"/>
      <c r="RJ14" s="971"/>
      <c r="RK14" s="971"/>
      <c r="RL14" s="971"/>
      <c r="RM14" s="971"/>
      <c r="RN14" s="971"/>
      <c r="RO14" s="971"/>
      <c r="RP14" s="971"/>
      <c r="RQ14" s="971"/>
      <c r="RR14" s="971"/>
      <c r="RS14" s="971"/>
      <c r="RT14" s="971"/>
      <c r="RU14" s="971"/>
      <c r="RV14" s="971"/>
      <c r="RW14" s="971"/>
      <c r="RX14" s="971"/>
      <c r="RY14" s="971"/>
      <c r="RZ14" s="971"/>
      <c r="SA14" s="971"/>
      <c r="SB14" s="971"/>
      <c r="SC14" s="971"/>
      <c r="SD14" s="971"/>
      <c r="SE14" s="971"/>
      <c r="SF14" s="971"/>
      <c r="SG14" s="971"/>
      <c r="SH14" s="971"/>
      <c r="SI14" s="971"/>
      <c r="SJ14" s="971"/>
      <c r="SK14" s="971"/>
      <c r="SL14" s="971"/>
      <c r="SM14" s="971"/>
      <c r="SN14" s="971"/>
      <c r="SO14" s="971"/>
      <c r="SP14" s="971"/>
      <c r="SQ14" s="971"/>
      <c r="SR14" s="971"/>
      <c r="SS14" s="971"/>
      <c r="ST14" s="971"/>
      <c r="SU14" s="971"/>
      <c r="SV14" s="971"/>
      <c r="SW14" s="971"/>
      <c r="SX14" s="971"/>
      <c r="SY14" s="971"/>
      <c r="SZ14" s="971"/>
      <c r="TA14" s="971"/>
      <c r="TB14" s="971"/>
      <c r="TC14" s="971"/>
      <c r="TD14" s="971"/>
      <c r="TE14" s="971"/>
      <c r="TF14" s="971"/>
      <c r="TG14" s="971"/>
      <c r="TH14" s="971"/>
      <c r="TI14" s="971"/>
      <c r="TJ14" s="971"/>
      <c r="TK14" s="971"/>
      <c r="TL14" s="971"/>
      <c r="TM14" s="971"/>
      <c r="TN14" s="971"/>
      <c r="TO14" s="971"/>
      <c r="TP14" s="971"/>
      <c r="TQ14" s="971"/>
      <c r="TR14" s="971"/>
      <c r="TS14" s="971"/>
      <c r="TT14" s="971"/>
      <c r="TU14" s="971"/>
      <c r="TV14" s="971"/>
      <c r="TW14" s="971"/>
      <c r="TX14" s="971"/>
      <c r="TY14" s="971"/>
      <c r="TZ14" s="971"/>
      <c r="UA14" s="971"/>
      <c r="UB14" s="971"/>
      <c r="UC14" s="971"/>
      <c r="UD14" s="971"/>
      <c r="UE14" s="971"/>
      <c r="UF14" s="971"/>
      <c r="UG14" s="971"/>
      <c r="UH14" s="971"/>
      <c r="UI14" s="971"/>
      <c r="UJ14" s="971"/>
      <c r="UK14" s="971"/>
      <c r="UL14" s="971"/>
      <c r="UM14" s="971"/>
      <c r="UN14" s="971"/>
      <c r="UO14" s="971"/>
      <c r="UP14" s="971"/>
      <c r="UQ14" s="971"/>
      <c r="UR14" s="971"/>
      <c r="US14" s="971"/>
      <c r="UT14" s="971"/>
      <c r="UU14" s="971"/>
      <c r="UV14" s="971"/>
      <c r="UW14" s="971"/>
      <c r="UX14" s="971"/>
      <c r="UY14" s="971"/>
      <c r="UZ14" s="971"/>
      <c r="VA14" s="971"/>
      <c r="VB14" s="971"/>
      <c r="VC14" s="971"/>
      <c r="VD14" s="971"/>
      <c r="VE14" s="971"/>
      <c r="VF14" s="971"/>
      <c r="VG14" s="971"/>
      <c r="VH14" s="971"/>
      <c r="VI14" s="971"/>
      <c r="VJ14" s="971"/>
      <c r="VK14" s="971"/>
      <c r="VL14" s="971"/>
      <c r="VM14" s="971"/>
      <c r="VN14" s="971"/>
      <c r="VO14" s="971"/>
      <c r="VP14" s="971"/>
      <c r="VQ14" s="971"/>
      <c r="VR14" s="971"/>
      <c r="VS14" s="971"/>
      <c r="VT14" s="971"/>
      <c r="VU14" s="971"/>
      <c r="VV14" s="971"/>
      <c r="VW14" s="971"/>
      <c r="VX14" s="971"/>
      <c r="VY14" s="971"/>
      <c r="VZ14" s="971"/>
      <c r="WA14" s="971"/>
      <c r="WB14" s="971"/>
      <c r="WC14" s="971"/>
      <c r="WD14" s="971"/>
      <c r="WE14" s="971"/>
      <c r="WF14" s="971"/>
      <c r="WG14" s="971"/>
      <c r="WH14" s="971"/>
      <c r="WI14" s="971"/>
      <c r="WJ14" s="971"/>
      <c r="WK14" s="971"/>
      <c r="WL14" s="971"/>
      <c r="WM14" s="971"/>
      <c r="WN14" s="971"/>
      <c r="WO14" s="971"/>
      <c r="WP14" s="971"/>
      <c r="WQ14" s="971"/>
      <c r="WR14" s="971"/>
      <c r="WS14" s="971"/>
      <c r="WT14" s="971"/>
      <c r="WU14" s="971"/>
      <c r="WV14" s="971"/>
      <c r="WW14" s="971"/>
      <c r="WX14" s="971"/>
      <c r="WY14" s="971"/>
      <c r="WZ14" s="971"/>
      <c r="XA14" s="971"/>
      <c r="XB14" s="971"/>
      <c r="XC14" s="971"/>
      <c r="XD14" s="971"/>
      <c r="XE14" s="971"/>
      <c r="XF14" s="971"/>
      <c r="XG14" s="971"/>
      <c r="XH14" s="971"/>
      <c r="XI14" s="971"/>
      <c r="XJ14" s="971"/>
      <c r="XK14" s="971"/>
      <c r="XL14" s="971"/>
      <c r="XM14" s="971"/>
      <c r="XN14" s="971"/>
      <c r="XO14" s="971"/>
      <c r="XP14" s="971"/>
      <c r="XQ14" s="971"/>
      <c r="XR14" s="971"/>
      <c r="XS14" s="971"/>
      <c r="XT14" s="971"/>
      <c r="XU14" s="971"/>
      <c r="XV14" s="971"/>
      <c r="XW14" s="971"/>
      <c r="XX14" s="971"/>
      <c r="XY14" s="971"/>
      <c r="XZ14" s="971"/>
      <c r="YA14" s="971"/>
      <c r="YB14" s="971"/>
      <c r="YC14" s="971"/>
      <c r="YD14" s="971"/>
      <c r="YE14" s="971"/>
      <c r="YF14" s="971"/>
      <c r="YG14" s="971"/>
      <c r="YH14" s="971"/>
      <c r="YI14" s="971"/>
      <c r="YJ14" s="971"/>
      <c r="YK14" s="971"/>
      <c r="YL14" s="971"/>
      <c r="YM14" s="971"/>
      <c r="YN14" s="971"/>
      <c r="YO14" s="971"/>
      <c r="YP14" s="971"/>
      <c r="YQ14" s="971"/>
      <c r="YR14" s="971"/>
      <c r="YS14" s="971"/>
      <c r="YT14" s="971"/>
      <c r="YU14" s="971"/>
      <c r="YV14" s="971"/>
      <c r="YW14" s="971"/>
      <c r="YX14" s="971"/>
      <c r="YY14" s="971"/>
      <c r="YZ14" s="971"/>
      <c r="ZA14" s="971"/>
      <c r="ZB14" s="971"/>
      <c r="ZC14" s="971"/>
      <c r="ZD14" s="971"/>
      <c r="ZE14" s="971"/>
      <c r="ZF14" s="971"/>
      <c r="ZG14" s="971"/>
      <c r="ZH14" s="971"/>
      <c r="ZI14" s="971"/>
      <c r="ZJ14" s="971"/>
      <c r="ZK14" s="971"/>
      <c r="ZL14" s="971"/>
      <c r="ZM14" s="971"/>
      <c r="ZN14" s="971"/>
      <c r="ZO14" s="971"/>
      <c r="ZP14" s="971"/>
      <c r="ZQ14" s="971"/>
      <c r="ZR14" s="971"/>
      <c r="ZS14" s="971"/>
      <c r="ZT14" s="971"/>
      <c r="ZU14" s="971"/>
      <c r="ZV14" s="971"/>
      <c r="ZW14" s="971"/>
      <c r="ZX14" s="971"/>
      <c r="ZY14" s="971"/>
      <c r="ZZ14" s="971"/>
      <c r="AAA14" s="971"/>
      <c r="AAB14" s="971"/>
      <c r="AAC14" s="971"/>
      <c r="AAD14" s="971"/>
      <c r="AAE14" s="971"/>
      <c r="AAF14" s="971"/>
      <c r="AAG14" s="971"/>
      <c r="AAH14" s="971"/>
      <c r="AAI14" s="971"/>
      <c r="AAJ14" s="971"/>
      <c r="AAK14" s="971"/>
      <c r="AAL14" s="971"/>
      <c r="AAM14" s="971"/>
      <c r="AAN14" s="971"/>
      <c r="AAO14" s="971"/>
      <c r="AAP14" s="971"/>
      <c r="AAQ14" s="971"/>
      <c r="AAR14" s="971"/>
      <c r="AAS14" s="971"/>
      <c r="AAT14" s="971"/>
      <c r="AAU14" s="971"/>
      <c r="AAV14" s="971"/>
      <c r="AAW14" s="971"/>
      <c r="AAX14" s="971"/>
      <c r="AAY14" s="971"/>
      <c r="AAZ14" s="971"/>
      <c r="ABA14" s="971"/>
      <c r="ABB14" s="971"/>
      <c r="ABC14" s="971"/>
      <c r="ABD14" s="971"/>
      <c r="ABE14" s="971"/>
      <c r="ABF14" s="971"/>
      <c r="ABG14" s="971"/>
      <c r="ABH14" s="971"/>
      <c r="ABI14" s="971"/>
      <c r="ABJ14" s="971"/>
      <c r="ABK14" s="971"/>
      <c r="ABL14" s="971"/>
      <c r="ABM14" s="971"/>
      <c r="ABN14" s="971"/>
      <c r="ABO14" s="971"/>
      <c r="ABP14" s="971"/>
      <c r="ABQ14" s="971"/>
      <c r="ABR14" s="971"/>
      <c r="ABS14" s="971"/>
      <c r="ABT14" s="971"/>
      <c r="ABU14" s="971"/>
      <c r="ABV14" s="971"/>
      <c r="ABW14" s="971"/>
      <c r="ABX14" s="971"/>
      <c r="ABY14" s="971"/>
      <c r="ABZ14" s="971"/>
      <c r="ACA14" s="971"/>
      <c r="ACB14" s="971"/>
      <c r="ACC14" s="971"/>
      <c r="ACD14" s="971"/>
      <c r="ACE14" s="971"/>
      <c r="ACF14" s="971"/>
      <c r="ACG14" s="971"/>
      <c r="ACH14" s="971"/>
      <c r="ACI14" s="971"/>
      <c r="ACJ14" s="971"/>
      <c r="ACK14" s="971"/>
      <c r="ACL14" s="971"/>
      <c r="ACM14" s="971"/>
      <c r="ACN14" s="971"/>
      <c r="ACO14" s="971"/>
      <c r="ACP14" s="971"/>
      <c r="ACQ14" s="971"/>
      <c r="ACR14" s="971"/>
      <c r="ACS14" s="971"/>
      <c r="ACT14" s="971"/>
      <c r="ACU14" s="971"/>
      <c r="ACV14" s="971"/>
      <c r="ACW14" s="971"/>
      <c r="ACX14" s="971"/>
      <c r="ACY14" s="971"/>
      <c r="ACZ14" s="971"/>
      <c r="ADA14" s="971"/>
      <c r="ADB14" s="971"/>
      <c r="ADC14" s="971"/>
      <c r="ADD14" s="971"/>
      <c r="ADE14" s="971"/>
      <c r="ADF14" s="971"/>
      <c r="ADG14" s="971"/>
      <c r="ADH14" s="971"/>
      <c r="ADI14" s="971"/>
      <c r="ADJ14" s="971"/>
      <c r="ADK14" s="971"/>
      <c r="ADL14" s="971"/>
      <c r="ADM14" s="971"/>
      <c r="ADN14" s="971"/>
      <c r="ADO14" s="971"/>
      <c r="ADP14" s="971"/>
      <c r="ADQ14" s="971"/>
      <c r="ADR14" s="971"/>
      <c r="ADS14" s="971"/>
      <c r="ADT14" s="971"/>
      <c r="ADU14" s="971"/>
      <c r="ADV14" s="971"/>
      <c r="ADW14" s="971"/>
      <c r="ADX14" s="971"/>
      <c r="ADY14" s="971"/>
      <c r="ADZ14" s="971"/>
      <c r="AEA14" s="971"/>
      <c r="AEB14" s="971"/>
      <c r="AEC14" s="971"/>
      <c r="AED14" s="971"/>
      <c r="AEE14" s="971"/>
      <c r="AEF14" s="971"/>
      <c r="AEG14" s="971"/>
      <c r="AEH14" s="971"/>
      <c r="AEI14" s="971"/>
      <c r="AEJ14" s="971"/>
      <c r="AEK14" s="971"/>
      <c r="AEL14" s="971"/>
      <c r="AEM14" s="971"/>
      <c r="AEN14" s="971"/>
      <c r="AEO14" s="971"/>
      <c r="AEP14" s="971"/>
      <c r="AEQ14" s="971"/>
      <c r="AER14" s="971"/>
      <c r="AES14" s="971"/>
      <c r="AET14" s="971"/>
      <c r="AEU14" s="971"/>
      <c r="AEV14" s="971"/>
      <c r="AEW14" s="971"/>
      <c r="AEX14" s="971"/>
      <c r="AEY14" s="971"/>
      <c r="AEZ14" s="971"/>
      <c r="AFA14" s="971"/>
      <c r="AFB14" s="971"/>
      <c r="AFC14" s="971"/>
      <c r="AFD14" s="971"/>
      <c r="AFE14" s="971"/>
      <c r="AFF14" s="971"/>
      <c r="AFG14" s="971"/>
      <c r="AFH14" s="971"/>
      <c r="AFI14" s="971"/>
      <c r="AFJ14" s="971"/>
      <c r="AFK14" s="971"/>
      <c r="AFL14" s="971"/>
      <c r="AFM14" s="971"/>
      <c r="AFN14" s="971"/>
      <c r="AFO14" s="971"/>
      <c r="AFP14" s="971"/>
      <c r="AFQ14" s="971"/>
      <c r="AFR14" s="971"/>
      <c r="AFS14" s="971"/>
      <c r="AFT14" s="971"/>
      <c r="AFU14" s="971"/>
      <c r="AFV14" s="971"/>
      <c r="AFW14" s="971"/>
      <c r="AFX14" s="971"/>
      <c r="AFY14" s="971"/>
      <c r="AFZ14" s="971"/>
      <c r="AGA14" s="971"/>
      <c r="AGB14" s="971"/>
      <c r="AGC14" s="971"/>
      <c r="AGD14" s="971"/>
      <c r="AGE14" s="971"/>
      <c r="AGF14" s="971"/>
      <c r="AGG14" s="971"/>
      <c r="AGH14" s="971"/>
      <c r="AGI14" s="971"/>
      <c r="AGJ14" s="971"/>
      <c r="AGK14" s="971"/>
      <c r="AGL14" s="971"/>
      <c r="AGM14" s="971"/>
      <c r="AGN14" s="971"/>
      <c r="AGO14" s="971"/>
      <c r="AGP14" s="971"/>
      <c r="AGQ14" s="971"/>
      <c r="AGR14" s="971"/>
      <c r="AGS14" s="971"/>
      <c r="AGT14" s="971"/>
      <c r="AGU14" s="971"/>
      <c r="AGV14" s="971"/>
      <c r="AGW14" s="971"/>
      <c r="AGX14" s="971"/>
      <c r="AGY14" s="971"/>
      <c r="AGZ14" s="971"/>
      <c r="AHA14" s="971"/>
      <c r="AHB14" s="971"/>
      <c r="AHC14" s="971"/>
      <c r="AHD14" s="971"/>
      <c r="AHE14" s="971"/>
      <c r="AHF14" s="971"/>
      <c r="AHG14" s="971"/>
      <c r="AHH14" s="971"/>
      <c r="AHI14" s="971"/>
      <c r="AHJ14" s="971"/>
      <c r="AHK14" s="971"/>
      <c r="AHL14" s="971"/>
      <c r="AHM14" s="971"/>
      <c r="AHN14" s="971"/>
      <c r="AHO14" s="971"/>
      <c r="AHP14" s="971"/>
      <c r="AHQ14" s="971"/>
      <c r="AHR14" s="971"/>
      <c r="AHS14" s="971"/>
      <c r="AHT14" s="971"/>
      <c r="AHU14" s="971"/>
      <c r="AHV14" s="971"/>
      <c r="AHW14" s="971"/>
      <c r="AHX14" s="971"/>
      <c r="AHY14" s="971"/>
      <c r="AHZ14" s="971"/>
      <c r="AIA14" s="971"/>
      <c r="AIB14" s="971"/>
      <c r="AIC14" s="971"/>
      <c r="AID14" s="971"/>
      <c r="AIE14" s="971"/>
      <c r="AIF14" s="971"/>
      <c r="AIG14" s="971"/>
      <c r="AIH14" s="971"/>
      <c r="AII14" s="971"/>
      <c r="AIJ14" s="971"/>
      <c r="AIK14" s="971"/>
      <c r="AIL14" s="971"/>
      <c r="AIM14" s="971"/>
      <c r="AIN14" s="971"/>
      <c r="AIO14" s="971"/>
      <c r="AIP14" s="971"/>
      <c r="AIQ14" s="971"/>
      <c r="AIR14" s="971"/>
      <c r="AIS14" s="971"/>
      <c r="AIT14" s="971"/>
      <c r="AIU14" s="971"/>
      <c r="AIV14" s="971"/>
      <c r="AIW14" s="971"/>
      <c r="AIX14" s="971"/>
      <c r="AIY14" s="971"/>
      <c r="AIZ14" s="971"/>
      <c r="AJA14" s="971"/>
      <c r="AJB14" s="971"/>
      <c r="AJC14" s="971"/>
      <c r="AJD14" s="971"/>
      <c r="AJE14" s="971"/>
      <c r="AJF14" s="971"/>
      <c r="AJG14" s="971"/>
      <c r="AJH14" s="971"/>
      <c r="AJI14" s="971"/>
      <c r="AJJ14" s="971"/>
      <c r="AJK14" s="971"/>
      <c r="AJL14" s="971"/>
      <c r="AJM14" s="971"/>
      <c r="AJN14" s="971"/>
      <c r="AJO14" s="971"/>
      <c r="AJP14" s="971"/>
      <c r="AJQ14" s="971"/>
      <c r="AJR14" s="971"/>
      <c r="AJS14" s="971"/>
      <c r="AJT14" s="971"/>
      <c r="AJU14" s="971"/>
      <c r="AJV14" s="971"/>
      <c r="AJW14" s="971"/>
      <c r="AJX14" s="971"/>
      <c r="AJY14" s="971"/>
      <c r="AJZ14" s="971"/>
      <c r="AKA14" s="971"/>
      <c r="AKB14" s="971"/>
      <c r="AKC14" s="971"/>
      <c r="AKD14" s="971"/>
      <c r="AKE14" s="971"/>
      <c r="AKF14" s="971"/>
      <c r="AKG14" s="971"/>
      <c r="AKH14" s="971"/>
      <c r="AKI14" s="971"/>
      <c r="AKJ14" s="971"/>
      <c r="AKK14" s="971"/>
      <c r="AKL14" s="971"/>
      <c r="AKM14" s="971"/>
      <c r="AKN14" s="971"/>
      <c r="AKO14" s="971"/>
      <c r="AKP14" s="971"/>
      <c r="AKQ14" s="971"/>
      <c r="AKR14" s="971"/>
      <c r="AKS14" s="971"/>
      <c r="AKT14" s="971"/>
      <c r="AKU14" s="971"/>
      <c r="AKV14" s="971"/>
      <c r="AKW14" s="971"/>
      <c r="AKX14" s="971"/>
      <c r="AKY14" s="971"/>
      <c r="AKZ14" s="971"/>
      <c r="ALA14" s="971"/>
      <c r="ALB14" s="971"/>
      <c r="ALC14" s="971"/>
      <c r="ALD14" s="971"/>
      <c r="ALE14" s="971"/>
      <c r="ALF14" s="971"/>
      <c r="ALG14" s="971"/>
      <c r="ALH14" s="971"/>
      <c r="ALI14" s="971"/>
      <c r="ALJ14" s="971"/>
      <c r="ALK14" s="971"/>
      <c r="ALL14" s="971"/>
    </row>
    <row r="15" s="929" customFormat="1" ht="13.5" customHeight="1" hidden="1">
      <c r="A15" s="971"/>
      <c r="B15" s="971"/>
      <c r="C15" s="971"/>
      <c r="D15" s="971"/>
      <c r="E15" s="971"/>
      <c r="F15" s="971"/>
      <c r="G15" s="971"/>
      <c r="H15" s="971"/>
      <c r="I15" s="971"/>
      <c r="J15" s="971"/>
      <c r="K15" s="971"/>
      <c r="L15" s="971"/>
      <c r="M15" s="971"/>
      <c r="N15" s="971"/>
      <c r="O15" s="971"/>
      <c r="P15" s="971"/>
      <c r="Q15" s="971"/>
      <c r="R15" s="971"/>
      <c r="S15" s="971"/>
      <c r="T15" s="971"/>
      <c r="U15" s="971"/>
      <c r="V15" s="971"/>
      <c r="W15" s="971"/>
      <c r="X15" s="971"/>
      <c r="Y15" s="971"/>
      <c r="Z15" s="971"/>
      <c r="AA15" s="971"/>
      <c r="AB15" s="971"/>
      <c r="AC15" s="971"/>
      <c r="AD15" s="971"/>
      <c r="AE15" s="971"/>
      <c r="AF15" s="971"/>
      <c r="AG15" s="971"/>
      <c r="AH15" s="971"/>
      <c r="AI15" s="971"/>
      <c r="AJ15" s="971"/>
      <c r="AK15" s="971"/>
      <c r="AL15" s="971"/>
      <c r="AM15" s="971"/>
      <c r="AN15" s="971"/>
      <c r="AO15" s="971"/>
      <c r="AP15" s="971"/>
      <c r="AQ15" s="971"/>
      <c r="AR15" s="971"/>
      <c r="AS15" s="971"/>
      <c r="AT15" s="971"/>
      <c r="AU15" s="971"/>
      <c r="AV15" s="971"/>
      <c r="AW15" s="971"/>
      <c r="AX15" s="971"/>
      <c r="AY15" s="971"/>
      <c r="AZ15" s="971"/>
      <c r="BA15" s="971"/>
      <c r="BB15" s="971"/>
      <c r="BC15" s="971"/>
      <c r="BD15" s="971"/>
      <c r="BE15" s="971"/>
      <c r="BF15" s="971"/>
      <c r="BG15" s="971"/>
      <c r="BH15" s="971"/>
      <c r="BI15" s="971"/>
      <c r="BJ15" s="971"/>
      <c r="BK15" s="971"/>
      <c r="BL15" s="971"/>
      <c r="BM15" s="971"/>
      <c r="BN15" s="971"/>
      <c r="BO15" s="971"/>
      <c r="BP15" s="971"/>
      <c r="BQ15" s="971"/>
      <c r="BR15" s="971"/>
      <c r="BS15" s="971"/>
      <c r="BT15" s="971"/>
      <c r="BU15" s="971"/>
      <c r="BV15" s="971"/>
      <c r="BW15" s="971"/>
      <c r="BX15" s="971"/>
      <c r="BY15" s="971"/>
      <c r="BZ15" s="971"/>
      <c r="CA15" s="971"/>
      <c r="CB15" s="971"/>
      <c r="CC15" s="971"/>
      <c r="CD15" s="971"/>
      <c r="CE15" s="971"/>
      <c r="CF15" s="971"/>
      <c r="CG15" s="971"/>
      <c r="CH15" s="971"/>
      <c r="CI15" s="971"/>
      <c r="CJ15" s="971"/>
      <c r="CK15" s="971"/>
      <c r="CL15" s="971"/>
      <c r="CM15" s="971"/>
      <c r="CN15" s="971"/>
      <c r="CO15" s="971"/>
      <c r="CP15" s="971"/>
      <c r="CQ15" s="971"/>
      <c r="CR15" s="971"/>
      <c r="CS15" s="971"/>
      <c r="CT15" s="971"/>
      <c r="CU15" s="971"/>
      <c r="CV15" s="971"/>
      <c r="CW15" s="971"/>
      <c r="CX15" s="971"/>
      <c r="CY15" s="971"/>
      <c r="CZ15" s="971"/>
      <c r="DA15" s="971"/>
      <c r="DB15" s="971"/>
      <c r="DC15" s="971"/>
      <c r="DD15" s="971"/>
      <c r="DE15" s="971"/>
      <c r="DF15" s="971"/>
      <c r="DG15" s="971"/>
      <c r="DH15" s="971"/>
      <c r="DI15" s="971"/>
      <c r="DJ15" s="971"/>
      <c r="DK15" s="971"/>
      <c r="DL15" s="971"/>
      <c r="DM15" s="971"/>
      <c r="DN15" s="971"/>
      <c r="DO15" s="971"/>
      <c r="DP15" s="971"/>
      <c r="DQ15" s="971"/>
      <c r="DR15" s="971"/>
      <c r="DS15" s="971"/>
      <c r="DT15" s="971"/>
      <c r="DU15" s="971"/>
      <c r="DV15" s="971"/>
      <c r="DW15" s="971"/>
      <c r="DX15" s="971"/>
      <c r="DY15" s="971"/>
      <c r="DZ15" s="971"/>
      <c r="EA15" s="971"/>
      <c r="EB15" s="971"/>
      <c r="EC15" s="971"/>
      <c r="ED15" s="971"/>
      <c r="EE15" s="971"/>
      <c r="EF15" s="971"/>
      <c r="EG15" s="971"/>
      <c r="EH15" s="971"/>
      <c r="EI15" s="971"/>
      <c r="EJ15" s="971"/>
      <c r="EK15" s="971"/>
      <c r="EL15" s="971"/>
      <c r="EM15" s="971"/>
      <c r="EN15" s="971"/>
      <c r="EO15" s="971"/>
      <c r="EP15" s="971"/>
      <c r="EQ15" s="971"/>
      <c r="ER15" s="971"/>
      <c r="ES15" s="971"/>
      <c r="ET15" s="971"/>
      <c r="EU15" s="971"/>
      <c r="EV15" s="971"/>
      <c r="EW15" s="971"/>
      <c r="EX15" s="971"/>
      <c r="EY15" s="971"/>
      <c r="EZ15" s="971"/>
      <c r="FA15" s="971"/>
      <c r="FB15" s="971"/>
      <c r="FC15" s="971"/>
      <c r="FD15" s="971"/>
      <c r="FE15" s="971"/>
      <c r="FF15" s="971"/>
      <c r="FG15" s="971"/>
      <c r="FH15" s="971"/>
      <c r="FI15" s="971"/>
      <c r="FJ15" s="971"/>
      <c r="FK15" s="971"/>
      <c r="FL15" s="971"/>
      <c r="FM15" s="971"/>
      <c r="FN15" s="971"/>
      <c r="FO15" s="971"/>
      <c r="FP15" s="971"/>
      <c r="FQ15" s="971"/>
      <c r="FR15" s="971"/>
      <c r="FS15" s="971"/>
      <c r="FT15" s="971"/>
      <c r="FU15" s="971"/>
      <c r="FV15" s="971"/>
      <c r="FW15" s="971"/>
      <c r="FX15" s="971"/>
      <c r="FY15" s="971"/>
      <c r="FZ15" s="971"/>
      <c r="GA15" s="971"/>
      <c r="GB15" s="971"/>
      <c r="GC15" s="971"/>
      <c r="GD15" s="971"/>
      <c r="GE15" s="971"/>
      <c r="GF15" s="971"/>
      <c r="GG15" s="971"/>
      <c r="GH15" s="971"/>
      <c r="GI15" s="971"/>
      <c r="GJ15" s="971"/>
      <c r="GK15" s="971"/>
      <c r="GL15" s="971"/>
      <c r="GM15" s="971"/>
      <c r="GN15" s="971"/>
      <c r="GO15" s="971"/>
      <c r="GP15" s="971"/>
      <c r="GQ15" s="971"/>
      <c r="GR15" s="971"/>
      <c r="GS15" s="971"/>
      <c r="GT15" s="971"/>
      <c r="GU15" s="971"/>
      <c r="GV15" s="971"/>
      <c r="GW15" s="971"/>
      <c r="GX15" s="971"/>
      <c r="GY15" s="971"/>
      <c r="GZ15" s="971"/>
      <c r="HA15" s="971"/>
      <c r="HB15" s="971"/>
      <c r="HC15" s="971"/>
      <c r="HD15" s="971"/>
      <c r="HE15" s="971"/>
      <c r="HF15" s="971"/>
      <c r="HG15" s="971"/>
      <c r="HH15" s="971"/>
      <c r="HI15" s="971"/>
      <c r="HJ15" s="971"/>
      <c r="HK15" s="971"/>
      <c r="HL15" s="971"/>
      <c r="HM15" s="971"/>
      <c r="HN15" s="971"/>
      <c r="HO15" s="971"/>
      <c r="HP15" s="971"/>
      <c r="HQ15" s="971"/>
      <c r="HR15" s="971"/>
      <c r="HS15" s="971"/>
      <c r="HT15" s="971"/>
      <c r="HU15" s="971"/>
      <c r="HV15" s="971"/>
      <c r="HW15" s="971"/>
      <c r="HX15" s="971"/>
      <c r="HY15" s="971"/>
      <c r="HZ15" s="971"/>
      <c r="IA15" s="971"/>
      <c r="IB15" s="971"/>
      <c r="IC15" s="971"/>
      <c r="ID15" s="971"/>
      <c r="IE15" s="971"/>
      <c r="IF15" s="971"/>
      <c r="IG15" s="971"/>
      <c r="IH15" s="971"/>
      <c r="II15" s="971"/>
      <c r="IJ15" s="971"/>
      <c r="IK15" s="971"/>
      <c r="IL15" s="971"/>
      <c r="IM15" s="971"/>
      <c r="IN15" s="971"/>
      <c r="IO15" s="971"/>
      <c r="IP15" s="971"/>
      <c r="IQ15" s="971"/>
      <c r="IR15" s="971"/>
      <c r="IS15" s="971"/>
      <c r="IT15" s="971"/>
      <c r="IU15" s="971"/>
      <c r="IV15" s="971"/>
      <c r="IW15" s="971"/>
      <c r="IX15" s="971"/>
      <c r="IY15" s="971"/>
      <c r="IZ15" s="971"/>
      <c r="JA15" s="971"/>
      <c r="JB15" s="971"/>
      <c r="JC15" s="971"/>
      <c r="JD15" s="971"/>
      <c r="JE15" s="971"/>
      <c r="JF15" s="971"/>
      <c r="JG15" s="971"/>
      <c r="JH15" s="971"/>
      <c r="JI15" s="971"/>
      <c r="JJ15" s="971"/>
      <c r="JK15" s="971"/>
      <c r="JL15" s="971"/>
      <c r="JM15" s="971"/>
      <c r="JN15" s="971"/>
      <c r="JO15" s="971"/>
      <c r="JP15" s="971"/>
      <c r="JQ15" s="971"/>
      <c r="JR15" s="971"/>
      <c r="JS15" s="971"/>
      <c r="JT15" s="971"/>
      <c r="JU15" s="971"/>
      <c r="JV15" s="971"/>
      <c r="JW15" s="971"/>
      <c r="JX15" s="971"/>
      <c r="JY15" s="971"/>
      <c r="JZ15" s="971"/>
      <c r="KA15" s="971"/>
      <c r="KB15" s="971"/>
      <c r="KC15" s="971"/>
      <c r="KD15" s="971"/>
      <c r="KE15" s="971"/>
      <c r="KF15" s="971"/>
      <c r="KG15" s="971"/>
      <c r="KH15" s="971"/>
      <c r="KI15" s="971"/>
      <c r="KJ15" s="971"/>
      <c r="KK15" s="971"/>
      <c r="KL15" s="971"/>
      <c r="KM15" s="971"/>
      <c r="KN15" s="971"/>
      <c r="KO15" s="971"/>
      <c r="KP15" s="971"/>
      <c r="KQ15" s="971"/>
      <c r="KR15" s="971"/>
      <c r="KS15" s="971"/>
      <c r="KT15" s="971"/>
      <c r="KU15" s="971"/>
      <c r="KV15" s="971"/>
      <c r="KW15" s="971"/>
      <c r="KX15" s="971"/>
      <c r="KY15" s="971"/>
      <c r="KZ15" s="971"/>
      <c r="LA15" s="971"/>
      <c r="LB15" s="971"/>
      <c r="LC15" s="971"/>
      <c r="LD15" s="971"/>
      <c r="LE15" s="971"/>
      <c r="LF15" s="971"/>
      <c r="LG15" s="971"/>
      <c r="LH15" s="971"/>
      <c r="LI15" s="971"/>
      <c r="LJ15" s="971"/>
      <c r="LK15" s="971"/>
      <c r="LL15" s="971"/>
      <c r="LM15" s="971"/>
      <c r="LN15" s="971"/>
      <c r="LO15" s="971"/>
      <c r="LP15" s="971"/>
      <c r="LQ15" s="971"/>
      <c r="LR15" s="971"/>
      <c r="LS15" s="971"/>
      <c r="LT15" s="971"/>
      <c r="LU15" s="971"/>
      <c r="LV15" s="971"/>
      <c r="LW15" s="971"/>
      <c r="LX15" s="971"/>
      <c r="LY15" s="971"/>
      <c r="LZ15" s="971"/>
      <c r="MA15" s="971"/>
      <c r="MB15" s="971"/>
      <c r="MC15" s="971"/>
      <c r="MD15" s="971"/>
      <c r="ME15" s="971"/>
      <c r="MF15" s="971"/>
      <c r="MG15" s="971"/>
      <c r="MH15" s="971"/>
      <c r="MI15" s="971"/>
      <c r="MJ15" s="971"/>
      <c r="MK15" s="971"/>
      <c r="ML15" s="971"/>
      <c r="MM15" s="971"/>
      <c r="MN15" s="971"/>
      <c r="MO15" s="971"/>
      <c r="MP15" s="971"/>
      <c r="MQ15" s="971"/>
      <c r="MR15" s="971"/>
      <c r="MS15" s="971"/>
      <c r="MT15" s="971"/>
      <c r="MU15" s="971"/>
      <c r="MV15" s="971"/>
      <c r="MW15" s="971"/>
      <c r="MX15" s="971"/>
      <c r="MY15" s="971"/>
      <c r="MZ15" s="971"/>
      <c r="NA15" s="971"/>
      <c r="NB15" s="971"/>
      <c r="NC15" s="971"/>
      <c r="ND15" s="971"/>
      <c r="NE15" s="971"/>
      <c r="NF15" s="971"/>
      <c r="NG15" s="971"/>
      <c r="NH15" s="971"/>
      <c r="NI15" s="971"/>
      <c r="NJ15" s="971"/>
      <c r="NK15" s="971"/>
      <c r="NL15" s="971"/>
      <c r="NM15" s="971"/>
      <c r="NN15" s="971"/>
      <c r="NO15" s="971"/>
      <c r="NP15" s="971"/>
      <c r="NQ15" s="971"/>
      <c r="NR15" s="971"/>
      <c r="NS15" s="971"/>
      <c r="NT15" s="971"/>
      <c r="NU15" s="971"/>
      <c r="NV15" s="971"/>
      <c r="NW15" s="971"/>
      <c r="NX15" s="971"/>
      <c r="NY15" s="971"/>
      <c r="NZ15" s="971"/>
      <c r="OA15" s="971"/>
      <c r="OB15" s="971"/>
      <c r="OC15" s="971"/>
      <c r="OD15" s="971"/>
      <c r="OE15" s="971"/>
      <c r="OF15" s="971"/>
      <c r="OG15" s="971"/>
      <c r="OH15" s="971"/>
      <c r="OI15" s="971"/>
      <c r="OJ15" s="971"/>
      <c r="OK15" s="971"/>
      <c r="OL15" s="971"/>
      <c r="OM15" s="971"/>
      <c r="ON15" s="971"/>
      <c r="OO15" s="971"/>
      <c r="OP15" s="971"/>
      <c r="OQ15" s="971"/>
      <c r="OR15" s="971"/>
      <c r="OS15" s="971"/>
      <c r="OT15" s="971"/>
      <c r="OU15" s="971"/>
      <c r="OV15" s="971"/>
      <c r="OW15" s="971"/>
      <c r="OX15" s="971"/>
      <c r="OY15" s="971"/>
      <c r="OZ15" s="971"/>
      <c r="PA15" s="971"/>
      <c r="PB15" s="971"/>
      <c r="PC15" s="971"/>
      <c r="PD15" s="971"/>
      <c r="PE15" s="971"/>
      <c r="PF15" s="971"/>
      <c r="PG15" s="971"/>
      <c r="PH15" s="971"/>
      <c r="PI15" s="971"/>
      <c r="PJ15" s="971"/>
      <c r="PK15" s="971"/>
      <c r="PL15" s="971"/>
      <c r="PM15" s="971"/>
      <c r="PN15" s="971"/>
      <c r="PO15" s="971"/>
      <c r="PP15" s="971"/>
      <c r="PQ15" s="971"/>
      <c r="PR15" s="971"/>
      <c r="PS15" s="971"/>
      <c r="PT15" s="971"/>
      <c r="PU15" s="971"/>
      <c r="PV15" s="971"/>
      <c r="PW15" s="971"/>
      <c r="PX15" s="971"/>
      <c r="PY15" s="971"/>
      <c r="PZ15" s="971"/>
      <c r="QA15" s="971"/>
      <c r="QB15" s="971"/>
      <c r="QC15" s="971"/>
      <c r="QD15" s="971"/>
      <c r="QE15" s="971"/>
      <c r="QF15" s="971"/>
      <c r="QG15" s="971"/>
      <c r="QH15" s="971"/>
      <c r="QI15" s="971"/>
      <c r="QJ15" s="971"/>
      <c r="QK15" s="971"/>
      <c r="QL15" s="971"/>
      <c r="QM15" s="971"/>
      <c r="QN15" s="971"/>
      <c r="QO15" s="971"/>
      <c r="QP15" s="971"/>
      <c r="QQ15" s="971"/>
      <c r="QR15" s="971"/>
      <c r="QS15" s="971"/>
      <c r="QT15" s="971"/>
      <c r="QU15" s="971"/>
      <c r="QV15" s="971"/>
      <c r="QW15" s="971"/>
      <c r="QX15" s="971"/>
      <c r="QY15" s="971"/>
      <c r="QZ15" s="971"/>
      <c r="RA15" s="971"/>
      <c r="RB15" s="971"/>
      <c r="RC15" s="971"/>
      <c r="RD15" s="971"/>
      <c r="RE15" s="971"/>
      <c r="RF15" s="971"/>
      <c r="RG15" s="971"/>
      <c r="RH15" s="971"/>
      <c r="RI15" s="971"/>
      <c r="RJ15" s="971"/>
      <c r="RK15" s="971"/>
      <c r="RL15" s="971"/>
      <c r="RM15" s="971"/>
      <c r="RN15" s="971"/>
      <c r="RO15" s="971"/>
      <c r="RP15" s="971"/>
      <c r="RQ15" s="971"/>
      <c r="RR15" s="971"/>
      <c r="RS15" s="971"/>
      <c r="RT15" s="971"/>
      <c r="RU15" s="971"/>
      <c r="RV15" s="971"/>
      <c r="RW15" s="971"/>
      <c r="RX15" s="971"/>
      <c r="RY15" s="971"/>
      <c r="RZ15" s="971"/>
      <c r="SA15" s="971"/>
      <c r="SB15" s="971"/>
      <c r="SC15" s="971"/>
      <c r="SD15" s="971"/>
      <c r="SE15" s="971"/>
      <c r="SF15" s="971"/>
      <c r="SG15" s="971"/>
      <c r="SH15" s="971"/>
      <c r="SI15" s="971"/>
      <c r="SJ15" s="971"/>
      <c r="SK15" s="971"/>
      <c r="SL15" s="971"/>
      <c r="SM15" s="971"/>
      <c r="SN15" s="971"/>
      <c r="SO15" s="971"/>
      <c r="SP15" s="971"/>
      <c r="SQ15" s="971"/>
      <c r="SR15" s="971"/>
      <c r="SS15" s="971"/>
      <c r="ST15" s="971"/>
      <c r="SU15" s="971"/>
      <c r="SV15" s="971"/>
      <c r="SW15" s="971"/>
      <c r="SX15" s="971"/>
      <c r="SY15" s="971"/>
      <c r="SZ15" s="971"/>
      <c r="TA15" s="971"/>
      <c r="TB15" s="971"/>
      <c r="TC15" s="971"/>
      <c r="TD15" s="971"/>
      <c r="TE15" s="971"/>
      <c r="TF15" s="971"/>
      <c r="TG15" s="971"/>
      <c r="TH15" s="971"/>
      <c r="TI15" s="971"/>
      <c r="TJ15" s="971"/>
      <c r="TK15" s="971"/>
      <c r="TL15" s="971"/>
      <c r="TM15" s="971"/>
      <c r="TN15" s="971"/>
      <c r="TO15" s="971"/>
      <c r="TP15" s="971"/>
      <c r="TQ15" s="971"/>
      <c r="TR15" s="971"/>
      <c r="TS15" s="971"/>
      <c r="TT15" s="971"/>
      <c r="TU15" s="971"/>
      <c r="TV15" s="971"/>
      <c r="TW15" s="971"/>
      <c r="TX15" s="971"/>
      <c r="TY15" s="971"/>
      <c r="TZ15" s="971"/>
      <c r="UA15" s="971"/>
      <c r="UB15" s="971"/>
      <c r="UC15" s="971"/>
      <c r="UD15" s="971"/>
      <c r="UE15" s="971"/>
      <c r="UF15" s="971"/>
      <c r="UG15" s="971"/>
      <c r="UH15" s="971"/>
      <c r="UI15" s="971"/>
      <c r="UJ15" s="971"/>
      <c r="UK15" s="971"/>
      <c r="UL15" s="971"/>
      <c r="UM15" s="971"/>
      <c r="UN15" s="971"/>
      <c r="UO15" s="971"/>
      <c r="UP15" s="971"/>
      <c r="UQ15" s="971"/>
      <c r="UR15" s="971"/>
      <c r="US15" s="971"/>
      <c r="UT15" s="971"/>
      <c r="UU15" s="971"/>
      <c r="UV15" s="971"/>
      <c r="UW15" s="971"/>
      <c r="UX15" s="971"/>
      <c r="UY15" s="971"/>
      <c r="UZ15" s="971"/>
      <c r="VA15" s="971"/>
      <c r="VB15" s="971"/>
      <c r="VC15" s="971"/>
      <c r="VD15" s="971"/>
      <c r="VE15" s="971"/>
      <c r="VF15" s="971"/>
      <c r="VG15" s="971"/>
      <c r="VH15" s="971"/>
      <c r="VI15" s="971"/>
      <c r="VJ15" s="971"/>
      <c r="VK15" s="971"/>
      <c r="VL15" s="971"/>
      <c r="VM15" s="971"/>
      <c r="VN15" s="971"/>
      <c r="VO15" s="971"/>
      <c r="VP15" s="971"/>
      <c r="VQ15" s="971"/>
      <c r="VR15" s="971"/>
      <c r="VS15" s="971"/>
      <c r="VT15" s="971"/>
      <c r="VU15" s="971"/>
      <c r="VV15" s="971"/>
      <c r="VW15" s="971"/>
      <c r="VX15" s="971"/>
      <c r="VY15" s="971"/>
      <c r="VZ15" s="971"/>
      <c r="WA15" s="971"/>
      <c r="WB15" s="971"/>
      <c r="WC15" s="971"/>
      <c r="WD15" s="971"/>
      <c r="WE15" s="971"/>
      <c r="WF15" s="971"/>
      <c r="WG15" s="971"/>
      <c r="WH15" s="971"/>
      <c r="WI15" s="971"/>
      <c r="WJ15" s="971"/>
      <c r="WK15" s="971"/>
      <c r="WL15" s="971"/>
      <c r="WM15" s="971"/>
      <c r="WN15" s="971"/>
      <c r="WO15" s="971"/>
      <c r="WP15" s="971"/>
      <c r="WQ15" s="971"/>
      <c r="WR15" s="971"/>
      <c r="WS15" s="971"/>
      <c r="WT15" s="971"/>
      <c r="WU15" s="971"/>
      <c r="WV15" s="971"/>
      <c r="WW15" s="971"/>
      <c r="WX15" s="971"/>
      <c r="WY15" s="971"/>
      <c r="WZ15" s="971"/>
      <c r="XA15" s="971"/>
      <c r="XB15" s="971"/>
      <c r="XC15" s="971"/>
      <c r="XD15" s="971"/>
      <c r="XE15" s="971"/>
      <c r="XF15" s="971"/>
      <c r="XG15" s="971"/>
      <c r="XH15" s="971"/>
      <c r="XI15" s="971"/>
      <c r="XJ15" s="971"/>
      <c r="XK15" s="971"/>
      <c r="XL15" s="971"/>
      <c r="XM15" s="971"/>
      <c r="XN15" s="971"/>
      <c r="XO15" s="971"/>
      <c r="XP15" s="971"/>
      <c r="XQ15" s="971"/>
      <c r="XR15" s="971"/>
      <c r="XS15" s="971"/>
      <c r="XT15" s="971"/>
      <c r="XU15" s="971"/>
      <c r="XV15" s="971"/>
      <c r="XW15" s="971"/>
      <c r="XX15" s="971"/>
      <c r="XY15" s="971"/>
      <c r="XZ15" s="971"/>
      <c r="YA15" s="971"/>
      <c r="YB15" s="971"/>
      <c r="YC15" s="971"/>
      <c r="YD15" s="971"/>
      <c r="YE15" s="971"/>
      <c r="YF15" s="971"/>
      <c r="YG15" s="971"/>
      <c r="YH15" s="971"/>
      <c r="YI15" s="971"/>
      <c r="YJ15" s="971"/>
      <c r="YK15" s="971"/>
      <c r="YL15" s="971"/>
      <c r="YM15" s="971"/>
      <c r="YN15" s="971"/>
      <c r="YO15" s="971"/>
      <c r="YP15" s="971"/>
      <c r="YQ15" s="971"/>
      <c r="YR15" s="971"/>
      <c r="YS15" s="971"/>
      <c r="YT15" s="971"/>
      <c r="YU15" s="971"/>
      <c r="YV15" s="971"/>
      <c r="YW15" s="971"/>
      <c r="YX15" s="971"/>
      <c r="YY15" s="971"/>
      <c r="YZ15" s="971"/>
      <c r="ZA15" s="971"/>
      <c r="ZB15" s="971"/>
      <c r="ZC15" s="971"/>
      <c r="ZD15" s="971"/>
      <c r="ZE15" s="971"/>
      <c r="ZF15" s="971"/>
      <c r="ZG15" s="971"/>
      <c r="ZH15" s="971"/>
      <c r="ZI15" s="971"/>
      <c r="ZJ15" s="971"/>
      <c r="ZK15" s="971"/>
      <c r="ZL15" s="971"/>
      <c r="ZM15" s="971"/>
      <c r="ZN15" s="971"/>
      <c r="ZO15" s="971"/>
      <c r="ZP15" s="971"/>
      <c r="ZQ15" s="971"/>
      <c r="ZR15" s="971"/>
      <c r="ZS15" s="971"/>
      <c r="ZT15" s="971"/>
      <c r="ZU15" s="971"/>
      <c r="ZV15" s="971"/>
      <c r="ZW15" s="971"/>
      <c r="ZX15" s="971"/>
      <c r="ZY15" s="971"/>
      <c r="ZZ15" s="971"/>
      <c r="AAA15" s="971"/>
      <c r="AAB15" s="971"/>
      <c r="AAC15" s="971"/>
      <c r="AAD15" s="971"/>
      <c r="AAE15" s="971"/>
      <c r="AAF15" s="971"/>
      <c r="AAG15" s="971"/>
      <c r="AAH15" s="971"/>
      <c r="AAI15" s="971"/>
      <c r="AAJ15" s="971"/>
      <c r="AAK15" s="971"/>
      <c r="AAL15" s="971"/>
      <c r="AAM15" s="971"/>
      <c r="AAN15" s="971"/>
      <c r="AAO15" s="971"/>
      <c r="AAP15" s="971"/>
      <c r="AAQ15" s="971"/>
      <c r="AAR15" s="971"/>
      <c r="AAS15" s="971"/>
      <c r="AAT15" s="971"/>
      <c r="AAU15" s="971"/>
      <c r="AAV15" s="971"/>
      <c r="AAW15" s="971"/>
      <c r="AAX15" s="971"/>
      <c r="AAY15" s="971"/>
      <c r="AAZ15" s="971"/>
      <c r="ABA15" s="971"/>
      <c r="ABB15" s="971"/>
      <c r="ABC15" s="971"/>
      <c r="ABD15" s="971"/>
      <c r="ABE15" s="971"/>
      <c r="ABF15" s="971"/>
      <c r="ABG15" s="971"/>
      <c r="ABH15" s="971"/>
      <c r="ABI15" s="971"/>
      <c r="ABJ15" s="971"/>
      <c r="ABK15" s="971"/>
      <c r="ABL15" s="971"/>
      <c r="ABM15" s="971"/>
      <c r="ABN15" s="971"/>
      <c r="ABO15" s="971"/>
      <c r="ABP15" s="971"/>
      <c r="ABQ15" s="971"/>
      <c r="ABR15" s="971"/>
      <c r="ABS15" s="971"/>
      <c r="ABT15" s="971"/>
      <c r="ABU15" s="971"/>
      <c r="ABV15" s="971"/>
      <c r="ABW15" s="971"/>
      <c r="ABX15" s="971"/>
      <c r="ABY15" s="971"/>
      <c r="ABZ15" s="971"/>
      <c r="ACA15" s="971"/>
      <c r="ACB15" s="971"/>
      <c r="ACC15" s="971"/>
      <c r="ACD15" s="971"/>
      <c r="ACE15" s="971"/>
      <c r="ACF15" s="971"/>
      <c r="ACG15" s="971"/>
      <c r="ACH15" s="971"/>
      <c r="ACI15" s="971"/>
      <c r="ACJ15" s="971"/>
      <c r="ACK15" s="971"/>
      <c r="ACL15" s="971"/>
      <c r="ACM15" s="971"/>
      <c r="ACN15" s="971"/>
      <c r="ACO15" s="971"/>
      <c r="ACP15" s="971"/>
      <c r="ACQ15" s="971"/>
      <c r="ACR15" s="971"/>
      <c r="ACS15" s="971"/>
      <c r="ACT15" s="971"/>
      <c r="ACU15" s="971"/>
      <c r="ACV15" s="971"/>
      <c r="ACW15" s="971"/>
      <c r="ACX15" s="971"/>
      <c r="ACY15" s="971"/>
      <c r="ACZ15" s="971"/>
      <c r="ADA15" s="971"/>
      <c r="ADB15" s="971"/>
      <c r="ADC15" s="971"/>
      <c r="ADD15" s="971"/>
      <c r="ADE15" s="971"/>
      <c r="ADF15" s="971"/>
      <c r="ADG15" s="971"/>
      <c r="ADH15" s="971"/>
      <c r="ADI15" s="971"/>
      <c r="ADJ15" s="971"/>
      <c r="ADK15" s="971"/>
      <c r="ADL15" s="971"/>
      <c r="ADM15" s="971"/>
      <c r="ADN15" s="971"/>
      <c r="ADO15" s="971"/>
      <c r="ADP15" s="971"/>
      <c r="ADQ15" s="971"/>
      <c r="ADR15" s="971"/>
      <c r="ADS15" s="971"/>
      <c r="ADT15" s="971"/>
      <c r="ADU15" s="971"/>
      <c r="ADV15" s="971"/>
      <c r="ADW15" s="971"/>
      <c r="ADX15" s="971"/>
      <c r="ADY15" s="971"/>
      <c r="ADZ15" s="971"/>
      <c r="AEA15" s="971"/>
      <c r="AEB15" s="971"/>
      <c r="AEC15" s="971"/>
      <c r="AED15" s="971"/>
      <c r="AEE15" s="971"/>
      <c r="AEF15" s="971"/>
      <c r="AEG15" s="971"/>
      <c r="AEH15" s="971"/>
      <c r="AEI15" s="971"/>
      <c r="AEJ15" s="971"/>
      <c r="AEK15" s="971"/>
      <c r="AEL15" s="971"/>
      <c r="AEM15" s="971"/>
      <c r="AEN15" s="971"/>
      <c r="AEO15" s="971"/>
      <c r="AEP15" s="971"/>
      <c r="AEQ15" s="971"/>
      <c r="AER15" s="971"/>
      <c r="AES15" s="971"/>
      <c r="AET15" s="971"/>
      <c r="AEU15" s="971"/>
      <c r="AEV15" s="971"/>
      <c r="AEW15" s="971"/>
      <c r="AEX15" s="971"/>
      <c r="AEY15" s="971"/>
      <c r="AEZ15" s="971"/>
      <c r="AFA15" s="971"/>
      <c r="AFB15" s="971"/>
      <c r="AFC15" s="971"/>
      <c r="AFD15" s="971"/>
      <c r="AFE15" s="971"/>
      <c r="AFF15" s="971"/>
      <c r="AFG15" s="971"/>
      <c r="AFH15" s="971"/>
      <c r="AFI15" s="971"/>
      <c r="AFJ15" s="971"/>
      <c r="AFK15" s="971"/>
      <c r="AFL15" s="971"/>
      <c r="AFM15" s="971"/>
      <c r="AFN15" s="971"/>
      <c r="AFO15" s="971"/>
      <c r="AFP15" s="971"/>
      <c r="AFQ15" s="971"/>
      <c r="AFR15" s="971"/>
      <c r="AFS15" s="971"/>
      <c r="AFT15" s="971"/>
      <c r="AFU15" s="971"/>
      <c r="AFV15" s="971"/>
      <c r="AFW15" s="971"/>
      <c r="AFX15" s="971"/>
      <c r="AFY15" s="971"/>
      <c r="AFZ15" s="971"/>
      <c r="AGA15" s="971"/>
      <c r="AGB15" s="971"/>
      <c r="AGC15" s="971"/>
      <c r="AGD15" s="971"/>
      <c r="AGE15" s="971"/>
      <c r="AGF15" s="971"/>
      <c r="AGG15" s="971"/>
      <c r="AGH15" s="971"/>
      <c r="AGI15" s="971"/>
      <c r="AGJ15" s="971"/>
      <c r="AGK15" s="971"/>
      <c r="AGL15" s="971"/>
      <c r="AGM15" s="971"/>
      <c r="AGN15" s="971"/>
      <c r="AGO15" s="971"/>
      <c r="AGP15" s="971"/>
      <c r="AGQ15" s="971"/>
      <c r="AGR15" s="971"/>
      <c r="AGS15" s="971"/>
      <c r="AGT15" s="971"/>
      <c r="AGU15" s="971"/>
      <c r="AGV15" s="971"/>
      <c r="AGW15" s="971"/>
      <c r="AGX15" s="971"/>
      <c r="AGY15" s="971"/>
      <c r="AGZ15" s="971"/>
      <c r="AHA15" s="971"/>
      <c r="AHB15" s="971"/>
      <c r="AHC15" s="971"/>
      <c r="AHD15" s="971"/>
      <c r="AHE15" s="971"/>
      <c r="AHF15" s="971"/>
      <c r="AHG15" s="971"/>
      <c r="AHH15" s="971"/>
      <c r="AHI15" s="971"/>
      <c r="AHJ15" s="971"/>
      <c r="AHK15" s="971"/>
      <c r="AHL15" s="971"/>
      <c r="AHM15" s="971"/>
      <c r="AHN15" s="971"/>
      <c r="AHO15" s="971"/>
      <c r="AHP15" s="971"/>
      <c r="AHQ15" s="971"/>
      <c r="AHR15" s="971"/>
      <c r="AHS15" s="971"/>
      <c r="AHT15" s="971"/>
      <c r="AHU15" s="971"/>
      <c r="AHV15" s="971"/>
      <c r="AHW15" s="971"/>
      <c r="AHX15" s="971"/>
      <c r="AHY15" s="971"/>
      <c r="AHZ15" s="971"/>
      <c r="AIA15" s="971"/>
      <c r="AIB15" s="971"/>
      <c r="AIC15" s="971"/>
      <c r="AID15" s="971"/>
      <c r="AIE15" s="971"/>
      <c r="AIF15" s="971"/>
      <c r="AIG15" s="971"/>
      <c r="AIH15" s="971"/>
      <c r="AII15" s="971"/>
      <c r="AIJ15" s="971"/>
      <c r="AIK15" s="971"/>
      <c r="AIL15" s="971"/>
      <c r="AIM15" s="971"/>
      <c r="AIN15" s="971"/>
      <c r="AIO15" s="971"/>
      <c r="AIP15" s="971"/>
      <c r="AIQ15" s="971"/>
      <c r="AIR15" s="971"/>
      <c r="AIS15" s="971"/>
      <c r="AIT15" s="971"/>
      <c r="AIU15" s="971"/>
      <c r="AIV15" s="971"/>
      <c r="AIW15" s="971"/>
      <c r="AIX15" s="971"/>
      <c r="AIY15" s="971"/>
      <c r="AIZ15" s="971"/>
      <c r="AJA15" s="971"/>
      <c r="AJB15" s="971"/>
      <c r="AJC15" s="971"/>
      <c r="AJD15" s="971"/>
      <c r="AJE15" s="971"/>
      <c r="AJF15" s="971"/>
      <c r="AJG15" s="971"/>
      <c r="AJH15" s="971"/>
      <c r="AJI15" s="971"/>
      <c r="AJJ15" s="971"/>
      <c r="AJK15" s="971"/>
      <c r="AJL15" s="971"/>
      <c r="AJM15" s="971"/>
      <c r="AJN15" s="971"/>
      <c r="AJO15" s="971"/>
      <c r="AJP15" s="971"/>
      <c r="AJQ15" s="971"/>
      <c r="AJR15" s="971"/>
      <c r="AJS15" s="971"/>
      <c r="AJT15" s="971"/>
      <c r="AJU15" s="971"/>
      <c r="AJV15" s="971"/>
      <c r="AJW15" s="971"/>
      <c r="AJX15" s="971"/>
      <c r="AJY15" s="971"/>
      <c r="AJZ15" s="971"/>
      <c r="AKA15" s="971"/>
      <c r="AKB15" s="971"/>
      <c r="AKC15" s="971"/>
      <c r="AKD15" s="971"/>
      <c r="AKE15" s="971"/>
      <c r="AKF15" s="971"/>
      <c r="AKG15" s="971"/>
      <c r="AKH15" s="971"/>
      <c r="AKI15" s="971"/>
      <c r="AKJ15" s="971"/>
      <c r="AKK15" s="971"/>
      <c r="AKL15" s="971"/>
      <c r="AKM15" s="971"/>
      <c r="AKN15" s="971"/>
      <c r="AKO15" s="971"/>
      <c r="AKP15" s="971"/>
      <c r="AKQ15" s="971"/>
      <c r="AKR15" s="971"/>
      <c r="AKS15" s="971"/>
      <c r="AKT15" s="971"/>
      <c r="AKU15" s="971"/>
      <c r="AKV15" s="971"/>
      <c r="AKW15" s="971"/>
      <c r="AKX15" s="971"/>
      <c r="AKY15" s="971"/>
      <c r="AKZ15" s="971"/>
      <c r="ALA15" s="971"/>
      <c r="ALB15" s="971"/>
      <c r="ALC15" s="971"/>
      <c r="ALD15" s="971"/>
      <c r="ALE15" s="971"/>
      <c r="ALF15" s="971"/>
      <c r="ALG15" s="971"/>
      <c r="ALH15" s="971"/>
      <c r="ALI15" s="971"/>
      <c r="ALJ15" s="971"/>
      <c r="ALK15" s="971"/>
      <c r="ALL15" s="971"/>
    </row>
    <row r="16" s="929" customFormat="1" ht="13.5" customHeight="1" hidden="1">
      <c r="A16" s="971"/>
      <c r="B16" s="971"/>
      <c r="C16" s="971"/>
      <c r="D16" s="971"/>
      <c r="E16" s="971"/>
      <c r="F16" s="971"/>
      <c r="G16" s="971"/>
      <c r="H16" s="971"/>
      <c r="I16" s="971"/>
      <c r="J16" s="971"/>
      <c r="K16" s="971"/>
      <c r="L16" s="971"/>
      <c r="M16" s="971"/>
      <c r="N16" s="971"/>
      <c r="O16" s="971"/>
      <c r="P16" s="971"/>
      <c r="Q16" s="971"/>
      <c r="R16" s="971"/>
      <c r="S16" s="971"/>
      <c r="T16" s="971"/>
      <c r="U16" s="971"/>
      <c r="V16" s="971"/>
      <c r="W16" s="971"/>
      <c r="X16" s="971"/>
      <c r="Y16" s="971"/>
      <c r="Z16" s="971"/>
      <c r="AA16" s="971"/>
      <c r="AB16" s="971"/>
      <c r="AC16" s="971"/>
      <c r="AD16" s="971"/>
      <c r="AE16" s="971"/>
      <c r="AF16" s="971"/>
      <c r="AG16" s="971"/>
      <c r="AH16" s="971"/>
      <c r="AI16" s="971"/>
      <c r="AJ16" s="971"/>
      <c r="AK16" s="971"/>
      <c r="AL16" s="971"/>
      <c r="AM16" s="971"/>
      <c r="AN16" s="971"/>
      <c r="AO16" s="971"/>
      <c r="AP16" s="971"/>
      <c r="AQ16" s="971"/>
      <c r="AR16" s="971"/>
      <c r="AS16" s="971"/>
      <c r="AT16" s="971"/>
      <c r="AU16" s="971"/>
      <c r="AV16" s="971"/>
      <c r="AW16" s="971"/>
      <c r="AX16" s="971"/>
      <c r="AY16" s="971"/>
      <c r="AZ16" s="971"/>
      <c r="BA16" s="971"/>
      <c r="BB16" s="971"/>
      <c r="BC16" s="971"/>
      <c r="BD16" s="971"/>
      <c r="BE16" s="971"/>
      <c r="BF16" s="971"/>
      <c r="BG16" s="971"/>
      <c r="BH16" s="971"/>
      <c r="BI16" s="971"/>
      <c r="BJ16" s="971"/>
      <c r="BK16" s="971"/>
      <c r="BL16" s="971"/>
      <c r="BM16" s="971"/>
      <c r="BN16" s="971"/>
      <c r="BO16" s="971"/>
      <c r="BP16" s="971"/>
      <c r="BQ16" s="971"/>
      <c r="BR16" s="971"/>
      <c r="BS16" s="971"/>
      <c r="BT16" s="971"/>
      <c r="BU16" s="971"/>
      <c r="BV16" s="971"/>
      <c r="BW16" s="971"/>
      <c r="BX16" s="971"/>
      <c r="BY16" s="971"/>
      <c r="BZ16" s="971"/>
      <c r="CA16" s="971"/>
      <c r="CB16" s="971"/>
      <c r="CC16" s="971"/>
      <c r="CD16" s="971"/>
      <c r="CE16" s="971"/>
      <c r="CF16" s="971"/>
      <c r="CG16" s="971"/>
      <c r="CH16" s="971"/>
      <c r="CI16" s="971"/>
      <c r="CJ16" s="971"/>
      <c r="CK16" s="971"/>
      <c r="CL16" s="971"/>
      <c r="CM16" s="971"/>
      <c r="CN16" s="971"/>
      <c r="CO16" s="971"/>
      <c r="CP16" s="971"/>
      <c r="CQ16" s="971"/>
      <c r="CR16" s="971"/>
      <c r="CS16" s="971"/>
      <c r="CT16" s="971"/>
      <c r="CU16" s="971"/>
      <c r="CV16" s="971"/>
      <c r="CW16" s="971"/>
      <c r="CX16" s="971"/>
      <c r="CY16" s="971"/>
      <c r="CZ16" s="971"/>
      <c r="DA16" s="971"/>
      <c r="DB16" s="971"/>
      <c r="DC16" s="971"/>
      <c r="DD16" s="971"/>
      <c r="DE16" s="971"/>
      <c r="DF16" s="971"/>
      <c r="DG16" s="971"/>
      <c r="DH16" s="971"/>
      <c r="DI16" s="971"/>
      <c r="DJ16" s="971"/>
      <c r="DK16" s="971"/>
      <c r="DL16" s="971"/>
      <c r="DM16" s="971"/>
      <c r="DN16" s="971"/>
      <c r="DO16" s="971"/>
      <c r="DP16" s="971"/>
      <c r="DQ16" s="971"/>
      <c r="DR16" s="971"/>
      <c r="DS16" s="971"/>
      <c r="DT16" s="971"/>
      <c r="DU16" s="971"/>
      <c r="DV16" s="971"/>
      <c r="DW16" s="971"/>
      <c r="DX16" s="971"/>
      <c r="DY16" s="971"/>
      <c r="DZ16" s="971"/>
      <c r="EA16" s="971"/>
      <c r="EB16" s="971"/>
      <c r="EC16" s="971"/>
      <c r="ED16" s="971"/>
      <c r="EE16" s="971"/>
      <c r="EF16" s="971"/>
      <c r="EG16" s="971"/>
      <c r="EH16" s="971"/>
      <c r="EI16" s="971"/>
      <c r="EJ16" s="971"/>
      <c r="EK16" s="971"/>
      <c r="EL16" s="971"/>
      <c r="EM16" s="971"/>
      <c r="EN16" s="971"/>
      <c r="EO16" s="971"/>
      <c r="EP16" s="971"/>
      <c r="EQ16" s="971"/>
      <c r="ER16" s="971"/>
      <c r="ES16" s="971"/>
      <c r="ET16" s="971"/>
      <c r="EU16" s="971"/>
      <c r="EV16" s="971"/>
      <c r="EW16" s="971"/>
      <c r="EX16" s="971"/>
      <c r="EY16" s="971"/>
      <c r="EZ16" s="971"/>
      <c r="FA16" s="971"/>
      <c r="FB16" s="971"/>
      <c r="FC16" s="971"/>
      <c r="FD16" s="971"/>
      <c r="FE16" s="971"/>
      <c r="FF16" s="971"/>
      <c r="FG16" s="971"/>
      <c r="FH16" s="971"/>
      <c r="FI16" s="971"/>
      <c r="FJ16" s="971"/>
      <c r="FK16" s="971"/>
      <c r="FL16" s="971"/>
      <c r="FM16" s="971"/>
      <c r="FN16" s="971"/>
      <c r="FO16" s="971"/>
      <c r="FP16" s="971"/>
      <c r="FQ16" s="971"/>
      <c r="FR16" s="971"/>
      <c r="FS16" s="971"/>
      <c r="FT16" s="971"/>
      <c r="FU16" s="971"/>
      <c r="FV16" s="971"/>
      <c r="FW16" s="971"/>
      <c r="FX16" s="971"/>
      <c r="FY16" s="971"/>
      <c r="FZ16" s="971"/>
      <c r="GA16" s="971"/>
      <c r="GB16" s="971"/>
      <c r="GC16" s="971"/>
      <c r="GD16" s="971"/>
      <c r="GE16" s="971"/>
      <c r="GF16" s="971"/>
      <c r="GG16" s="971"/>
      <c r="GH16" s="971"/>
      <c r="GI16" s="971"/>
      <c r="GJ16" s="971"/>
      <c r="GK16" s="971"/>
      <c r="GL16" s="971"/>
      <c r="GM16" s="971"/>
      <c r="GN16" s="971"/>
      <c r="GO16" s="971"/>
      <c r="GP16" s="971"/>
      <c r="GQ16" s="971"/>
      <c r="GR16" s="971"/>
      <c r="GS16" s="971"/>
      <c r="GT16" s="971"/>
      <c r="GU16" s="971"/>
      <c r="GV16" s="971"/>
      <c r="GW16" s="971"/>
      <c r="GX16" s="971"/>
      <c r="GY16" s="971"/>
      <c r="GZ16" s="971"/>
      <c r="HA16" s="971"/>
      <c r="HB16" s="971"/>
      <c r="HC16" s="971"/>
      <c r="HD16" s="971"/>
      <c r="HE16" s="971"/>
      <c r="HF16" s="971"/>
      <c r="HG16" s="971"/>
      <c r="HH16" s="971"/>
      <c r="HI16" s="971"/>
      <c r="HJ16" s="971"/>
      <c r="HK16" s="971"/>
      <c r="HL16" s="971"/>
      <c r="HM16" s="971"/>
      <c r="HN16" s="971"/>
      <c r="HO16" s="971"/>
      <c r="HP16" s="971"/>
      <c r="HQ16" s="971"/>
      <c r="HR16" s="971"/>
      <c r="HS16" s="971"/>
      <c r="HT16" s="971"/>
      <c r="HU16" s="971"/>
      <c r="HV16" s="971"/>
      <c r="HW16" s="971"/>
      <c r="HX16" s="971"/>
      <c r="HY16" s="971"/>
      <c r="HZ16" s="971"/>
      <c r="IA16" s="971"/>
      <c r="IB16" s="971"/>
      <c r="IC16" s="971"/>
      <c r="ID16" s="971"/>
      <c r="IE16" s="971"/>
      <c r="IF16" s="971"/>
      <c r="IG16" s="971"/>
      <c r="IH16" s="971"/>
      <c r="II16" s="971"/>
      <c r="IJ16" s="971"/>
      <c r="IK16" s="971"/>
      <c r="IL16" s="971"/>
      <c r="IM16" s="971"/>
      <c r="IN16" s="971"/>
      <c r="IO16" s="971"/>
      <c r="IP16" s="971"/>
      <c r="IQ16" s="971"/>
      <c r="IR16" s="971"/>
      <c r="IS16" s="971"/>
      <c r="IT16" s="971"/>
      <c r="IU16" s="971"/>
      <c r="IV16" s="971"/>
      <c r="IW16" s="971"/>
      <c r="IX16" s="971"/>
      <c r="IY16" s="971"/>
      <c r="IZ16" s="971"/>
      <c r="JA16" s="971"/>
      <c r="JB16" s="971"/>
      <c r="JC16" s="971"/>
      <c r="JD16" s="971"/>
      <c r="JE16" s="971"/>
      <c r="JF16" s="971"/>
      <c r="JG16" s="971"/>
      <c r="JH16" s="971"/>
      <c r="JI16" s="971"/>
      <c r="JJ16" s="971"/>
      <c r="JK16" s="971"/>
      <c r="JL16" s="971"/>
      <c r="JM16" s="971"/>
      <c r="JN16" s="971"/>
      <c r="JO16" s="971"/>
      <c r="JP16" s="971"/>
      <c r="JQ16" s="971"/>
      <c r="JR16" s="971"/>
      <c r="JS16" s="971"/>
      <c r="JT16" s="971"/>
      <c r="JU16" s="971"/>
      <c r="JV16" s="971"/>
      <c r="JW16" s="971"/>
      <c r="JX16" s="971"/>
      <c r="JY16" s="971"/>
      <c r="JZ16" s="971"/>
      <c r="KA16" s="971"/>
      <c r="KB16" s="971"/>
      <c r="KC16" s="971"/>
      <c r="KD16" s="971"/>
      <c r="KE16" s="971"/>
      <c r="KF16" s="971"/>
      <c r="KG16" s="971"/>
      <c r="KH16" s="971"/>
      <c r="KI16" s="971"/>
      <c r="KJ16" s="971"/>
      <c r="KK16" s="971"/>
      <c r="KL16" s="971"/>
      <c r="KM16" s="971"/>
      <c r="KN16" s="971"/>
      <c r="KO16" s="971"/>
      <c r="KP16" s="971"/>
      <c r="KQ16" s="971"/>
      <c r="KR16" s="971"/>
      <c r="KS16" s="971"/>
      <c r="KT16" s="971"/>
      <c r="KU16" s="971"/>
      <c r="KV16" s="971"/>
      <c r="KW16" s="971"/>
      <c r="KX16" s="971"/>
      <c r="KY16" s="971"/>
      <c r="KZ16" s="971"/>
      <c r="LA16" s="971"/>
      <c r="LB16" s="971"/>
      <c r="LC16" s="971"/>
      <c r="LD16" s="971"/>
      <c r="LE16" s="971"/>
      <c r="LF16" s="971"/>
      <c r="LG16" s="971"/>
      <c r="LH16" s="971"/>
      <c r="LI16" s="971"/>
      <c r="LJ16" s="971"/>
      <c r="LK16" s="971"/>
      <c r="LL16" s="971"/>
      <c r="LM16" s="971"/>
      <c r="LN16" s="971"/>
      <c r="LO16" s="971"/>
      <c r="LP16" s="971"/>
      <c r="LQ16" s="971"/>
      <c r="LR16" s="971"/>
      <c r="LS16" s="971"/>
      <c r="LT16" s="971"/>
      <c r="LU16" s="971"/>
      <c r="LV16" s="971"/>
      <c r="LW16" s="971"/>
      <c r="LX16" s="971"/>
      <c r="LY16" s="971"/>
      <c r="LZ16" s="971"/>
      <c r="MA16" s="971"/>
      <c r="MB16" s="971"/>
      <c r="MC16" s="971"/>
      <c r="MD16" s="971"/>
      <c r="ME16" s="971"/>
      <c r="MF16" s="971"/>
      <c r="MG16" s="971"/>
      <c r="MH16" s="971"/>
      <c r="MI16" s="971"/>
      <c r="MJ16" s="971"/>
      <c r="MK16" s="971"/>
      <c r="ML16" s="971"/>
      <c r="MM16" s="971"/>
      <c r="MN16" s="971"/>
      <c r="MO16" s="971"/>
      <c r="MP16" s="971"/>
      <c r="MQ16" s="971"/>
      <c r="MR16" s="971"/>
      <c r="MS16" s="971"/>
      <c r="MT16" s="971"/>
      <c r="MU16" s="971"/>
      <c r="MV16" s="971"/>
      <c r="MW16" s="971"/>
      <c r="MX16" s="971"/>
      <c r="MY16" s="971"/>
      <c r="MZ16" s="971"/>
      <c r="NA16" s="971"/>
      <c r="NB16" s="971"/>
      <c r="NC16" s="971"/>
      <c r="ND16" s="971"/>
      <c r="NE16" s="971"/>
      <c r="NF16" s="971"/>
      <c r="NG16" s="971"/>
      <c r="NH16" s="971"/>
      <c r="NI16" s="971"/>
      <c r="NJ16" s="971"/>
      <c r="NK16" s="971"/>
      <c r="NL16" s="971"/>
      <c r="NM16" s="971"/>
      <c r="NN16" s="971"/>
      <c r="NO16" s="971"/>
      <c r="NP16" s="971"/>
      <c r="NQ16" s="971"/>
      <c r="NR16" s="971"/>
      <c r="NS16" s="971"/>
      <c r="NT16" s="971"/>
      <c r="NU16" s="971"/>
      <c r="NV16" s="971"/>
      <c r="NW16" s="971"/>
      <c r="NX16" s="971"/>
      <c r="NY16" s="971"/>
      <c r="NZ16" s="971"/>
      <c r="OA16" s="971"/>
      <c r="OB16" s="971"/>
      <c r="OC16" s="971"/>
      <c r="OD16" s="971"/>
      <c r="OE16" s="971"/>
      <c r="OF16" s="971"/>
      <c r="OG16" s="971"/>
      <c r="OH16" s="971"/>
      <c r="OI16" s="971"/>
      <c r="OJ16" s="971"/>
      <c r="OK16" s="971"/>
      <c r="OL16" s="971"/>
      <c r="OM16" s="971"/>
      <c r="ON16" s="971"/>
      <c r="OO16" s="971"/>
      <c r="OP16" s="971"/>
      <c r="OQ16" s="971"/>
      <c r="OR16" s="971"/>
      <c r="OS16" s="971"/>
      <c r="OT16" s="971"/>
      <c r="OU16" s="971"/>
      <c r="OV16" s="971"/>
      <c r="OW16" s="971"/>
      <c r="OX16" s="971"/>
      <c r="OY16" s="971"/>
      <c r="OZ16" s="971"/>
      <c r="PA16" s="971"/>
      <c r="PB16" s="971"/>
      <c r="PC16" s="971"/>
      <c r="PD16" s="971"/>
      <c r="PE16" s="971"/>
      <c r="PF16" s="971"/>
      <c r="PG16" s="971"/>
      <c r="PH16" s="971"/>
      <c r="PI16" s="971"/>
      <c r="PJ16" s="971"/>
      <c r="PK16" s="971"/>
      <c r="PL16" s="971"/>
      <c r="PM16" s="971"/>
      <c r="PN16" s="971"/>
      <c r="PO16" s="971"/>
      <c r="PP16" s="971"/>
      <c r="PQ16" s="971"/>
      <c r="PR16" s="971"/>
      <c r="PS16" s="971"/>
      <c r="PT16" s="971"/>
      <c r="PU16" s="971"/>
      <c r="PV16" s="971"/>
      <c r="PW16" s="971"/>
      <c r="PX16" s="971"/>
      <c r="PY16" s="971"/>
      <c r="PZ16" s="971"/>
      <c r="QA16" s="971"/>
      <c r="QB16" s="971"/>
      <c r="QC16" s="971"/>
      <c r="QD16" s="971"/>
      <c r="QE16" s="971"/>
      <c r="QF16" s="971"/>
      <c r="QG16" s="971"/>
      <c r="QH16" s="971"/>
      <c r="QI16" s="971"/>
      <c r="QJ16" s="971"/>
      <c r="QK16" s="971"/>
      <c r="QL16" s="971"/>
      <c r="QM16" s="971"/>
      <c r="QN16" s="971"/>
      <c r="QO16" s="971"/>
      <c r="QP16" s="971"/>
      <c r="QQ16" s="971"/>
      <c r="QR16" s="971"/>
      <c r="QS16" s="971"/>
      <c r="QT16" s="971"/>
      <c r="QU16" s="971"/>
      <c r="QV16" s="971"/>
      <c r="QW16" s="971"/>
      <c r="QX16" s="971"/>
      <c r="QY16" s="971"/>
      <c r="QZ16" s="971"/>
      <c r="RA16" s="971"/>
      <c r="RB16" s="971"/>
      <c r="RC16" s="971"/>
      <c r="RD16" s="971"/>
      <c r="RE16" s="971"/>
      <c r="RF16" s="971"/>
      <c r="RG16" s="971"/>
      <c r="RH16" s="971"/>
      <c r="RI16" s="971"/>
      <c r="RJ16" s="971"/>
      <c r="RK16" s="971"/>
      <c r="RL16" s="971"/>
      <c r="RM16" s="971"/>
      <c r="RN16" s="971"/>
      <c r="RO16" s="971"/>
      <c r="RP16" s="971"/>
      <c r="RQ16" s="971"/>
      <c r="RR16" s="971"/>
      <c r="RS16" s="971"/>
      <c r="RT16" s="971"/>
      <c r="RU16" s="971"/>
      <c r="RV16" s="971"/>
      <c r="RW16" s="971"/>
      <c r="RX16" s="971"/>
      <c r="RY16" s="971"/>
      <c r="RZ16" s="971"/>
      <c r="SA16" s="971"/>
      <c r="SB16" s="971"/>
      <c r="SC16" s="971"/>
      <c r="SD16" s="971"/>
      <c r="SE16" s="971"/>
      <c r="SF16" s="971"/>
      <c r="SG16" s="971"/>
      <c r="SH16" s="971"/>
      <c r="SI16" s="971"/>
      <c r="SJ16" s="971"/>
      <c r="SK16" s="971"/>
      <c r="SL16" s="971"/>
      <c r="SM16" s="971"/>
      <c r="SN16" s="971"/>
      <c r="SO16" s="971"/>
      <c r="SP16" s="971"/>
      <c r="SQ16" s="971"/>
      <c r="SR16" s="971"/>
      <c r="SS16" s="971"/>
      <c r="ST16" s="971"/>
      <c r="SU16" s="971"/>
      <c r="SV16" s="971"/>
      <c r="SW16" s="971"/>
      <c r="SX16" s="971"/>
      <c r="SY16" s="971"/>
      <c r="SZ16" s="971"/>
      <c r="TA16" s="971"/>
      <c r="TB16" s="971"/>
      <c r="TC16" s="971"/>
      <c r="TD16" s="971"/>
      <c r="TE16" s="971"/>
      <c r="TF16" s="971"/>
      <c r="TG16" s="971"/>
      <c r="TH16" s="971"/>
      <c r="TI16" s="971"/>
      <c r="TJ16" s="971"/>
      <c r="TK16" s="971"/>
      <c r="TL16" s="971"/>
      <c r="TM16" s="971"/>
      <c r="TN16" s="971"/>
      <c r="TO16" s="971"/>
      <c r="TP16" s="971"/>
      <c r="TQ16" s="971"/>
      <c r="TR16" s="971"/>
      <c r="TS16" s="971"/>
      <c r="TT16" s="971"/>
      <c r="TU16" s="971"/>
      <c r="TV16" s="971"/>
      <c r="TW16" s="971"/>
      <c r="TX16" s="971"/>
      <c r="TY16" s="971"/>
      <c r="TZ16" s="971"/>
      <c r="UA16" s="971"/>
      <c r="UB16" s="971"/>
      <c r="UC16" s="971"/>
      <c r="UD16" s="971"/>
      <c r="UE16" s="971"/>
      <c r="UF16" s="971"/>
      <c r="UG16" s="971"/>
      <c r="UH16" s="971"/>
      <c r="UI16" s="971"/>
      <c r="UJ16" s="971"/>
      <c r="UK16" s="971"/>
      <c r="UL16" s="971"/>
      <c r="UM16" s="971"/>
      <c r="UN16" s="971"/>
      <c r="UO16" s="971"/>
      <c r="UP16" s="971"/>
      <c r="UQ16" s="971"/>
      <c r="UR16" s="971"/>
      <c r="US16" s="971"/>
      <c r="UT16" s="971"/>
      <c r="UU16" s="971"/>
      <c r="UV16" s="971"/>
      <c r="UW16" s="971"/>
      <c r="UX16" s="971"/>
      <c r="UY16" s="971"/>
      <c r="UZ16" s="971"/>
      <c r="VA16" s="971"/>
      <c r="VB16" s="971"/>
      <c r="VC16" s="971"/>
      <c r="VD16" s="971"/>
      <c r="VE16" s="971"/>
      <c r="VF16" s="971"/>
      <c r="VG16" s="971"/>
      <c r="VH16" s="971"/>
      <c r="VI16" s="971"/>
      <c r="VJ16" s="971"/>
      <c r="VK16" s="971"/>
      <c r="VL16" s="971"/>
      <c r="VM16" s="971"/>
      <c r="VN16" s="971"/>
      <c r="VO16" s="971"/>
      <c r="VP16" s="971"/>
      <c r="VQ16" s="971"/>
      <c r="VR16" s="971"/>
      <c r="VS16" s="971"/>
      <c r="VT16" s="971"/>
      <c r="VU16" s="971"/>
      <c r="VV16" s="971"/>
      <c r="VW16" s="971"/>
      <c r="VX16" s="971"/>
      <c r="VY16" s="971"/>
      <c r="VZ16" s="971"/>
      <c r="WA16" s="971"/>
      <c r="WB16" s="971"/>
      <c r="WC16" s="971"/>
      <c r="WD16" s="971"/>
      <c r="WE16" s="971"/>
      <c r="WF16" s="971"/>
      <c r="WG16" s="971"/>
      <c r="WH16" s="971"/>
      <c r="WI16" s="971"/>
      <c r="WJ16" s="971"/>
      <c r="WK16" s="971"/>
      <c r="WL16" s="971"/>
      <c r="WM16" s="971"/>
      <c r="WN16" s="971"/>
      <c r="WO16" s="971"/>
      <c r="WP16" s="971"/>
      <c r="WQ16" s="971"/>
      <c r="WR16" s="971"/>
      <c r="WS16" s="971"/>
      <c r="WT16" s="971"/>
      <c r="WU16" s="971"/>
      <c r="WV16" s="971"/>
      <c r="WW16" s="971"/>
      <c r="WX16" s="971"/>
      <c r="WY16" s="971"/>
      <c r="WZ16" s="971"/>
      <c r="XA16" s="971"/>
      <c r="XB16" s="971"/>
      <c r="XC16" s="971"/>
      <c r="XD16" s="971"/>
      <c r="XE16" s="971"/>
      <c r="XF16" s="971"/>
      <c r="XG16" s="971"/>
      <c r="XH16" s="971"/>
      <c r="XI16" s="971"/>
      <c r="XJ16" s="971"/>
      <c r="XK16" s="971"/>
      <c r="XL16" s="971"/>
      <c r="XM16" s="971"/>
      <c r="XN16" s="971"/>
      <c r="XO16" s="971"/>
      <c r="XP16" s="971"/>
      <c r="XQ16" s="971"/>
      <c r="XR16" s="971"/>
      <c r="XS16" s="971"/>
      <c r="XT16" s="971"/>
      <c r="XU16" s="971"/>
      <c r="XV16" s="971"/>
      <c r="XW16" s="971"/>
      <c r="XX16" s="971"/>
      <c r="XY16" s="971"/>
      <c r="XZ16" s="971"/>
      <c r="YA16" s="971"/>
      <c r="YB16" s="971"/>
      <c r="YC16" s="971"/>
      <c r="YD16" s="971"/>
      <c r="YE16" s="971"/>
      <c r="YF16" s="971"/>
      <c r="YG16" s="971"/>
      <c r="YH16" s="971"/>
      <c r="YI16" s="971"/>
      <c r="YJ16" s="971"/>
      <c r="YK16" s="971"/>
      <c r="YL16" s="971"/>
      <c r="YM16" s="971"/>
      <c r="YN16" s="971"/>
      <c r="YO16" s="971"/>
      <c r="YP16" s="971"/>
      <c r="YQ16" s="971"/>
      <c r="YR16" s="971"/>
      <c r="YS16" s="971"/>
      <c r="YT16" s="971"/>
      <c r="YU16" s="971"/>
      <c r="YV16" s="971"/>
      <c r="YW16" s="971"/>
      <c r="YX16" s="971"/>
      <c r="YY16" s="971"/>
      <c r="YZ16" s="971"/>
      <c r="ZA16" s="971"/>
      <c r="ZB16" s="971"/>
      <c r="ZC16" s="971"/>
      <c r="ZD16" s="971"/>
      <c r="ZE16" s="971"/>
      <c r="ZF16" s="971"/>
      <c r="ZG16" s="971"/>
      <c r="ZH16" s="971"/>
      <c r="ZI16" s="971"/>
      <c r="ZJ16" s="971"/>
      <c r="ZK16" s="971"/>
      <c r="ZL16" s="971"/>
      <c r="ZM16" s="971"/>
      <c r="ZN16" s="971"/>
      <c r="ZO16" s="971"/>
      <c r="ZP16" s="971"/>
      <c r="ZQ16" s="971"/>
      <c r="ZR16" s="971"/>
      <c r="ZS16" s="971"/>
      <c r="ZT16" s="971"/>
      <c r="ZU16" s="971"/>
      <c r="ZV16" s="971"/>
      <c r="ZW16" s="971"/>
      <c r="ZX16" s="971"/>
      <c r="ZY16" s="971"/>
      <c r="ZZ16" s="971"/>
      <c r="AAA16" s="971"/>
      <c r="AAB16" s="971"/>
      <c r="AAC16" s="971"/>
      <c r="AAD16" s="971"/>
      <c r="AAE16" s="971"/>
      <c r="AAF16" s="971"/>
      <c r="AAG16" s="971"/>
      <c r="AAH16" s="971"/>
      <c r="AAI16" s="971"/>
      <c r="AAJ16" s="971"/>
      <c r="AAK16" s="971"/>
      <c r="AAL16" s="971"/>
      <c r="AAM16" s="971"/>
      <c r="AAN16" s="971"/>
      <c r="AAO16" s="971"/>
      <c r="AAP16" s="971"/>
      <c r="AAQ16" s="971"/>
      <c r="AAR16" s="971"/>
      <c r="AAS16" s="971"/>
      <c r="AAT16" s="971"/>
      <c r="AAU16" s="971"/>
      <c r="AAV16" s="971"/>
      <c r="AAW16" s="971"/>
      <c r="AAX16" s="971"/>
      <c r="AAY16" s="971"/>
      <c r="AAZ16" s="971"/>
      <c r="ABA16" s="971"/>
      <c r="ABB16" s="971"/>
      <c r="ABC16" s="971"/>
      <c r="ABD16" s="971"/>
      <c r="ABE16" s="971"/>
      <c r="ABF16" s="971"/>
      <c r="ABG16" s="971"/>
      <c r="ABH16" s="971"/>
      <c r="ABI16" s="971"/>
      <c r="ABJ16" s="971"/>
      <c r="ABK16" s="971"/>
      <c r="ABL16" s="971"/>
      <c r="ABM16" s="971"/>
      <c r="ABN16" s="971"/>
      <c r="ABO16" s="971"/>
      <c r="ABP16" s="971"/>
      <c r="ABQ16" s="971"/>
      <c r="ABR16" s="971"/>
      <c r="ABS16" s="971"/>
      <c r="ABT16" s="971"/>
      <c r="ABU16" s="971"/>
      <c r="ABV16" s="971"/>
      <c r="ABW16" s="971"/>
      <c r="ABX16" s="971"/>
      <c r="ABY16" s="971"/>
      <c r="ABZ16" s="971"/>
      <c r="ACA16" s="971"/>
      <c r="ACB16" s="971"/>
      <c r="ACC16" s="971"/>
      <c r="ACD16" s="971"/>
      <c r="ACE16" s="971"/>
      <c r="ACF16" s="971"/>
      <c r="ACG16" s="971"/>
      <c r="ACH16" s="971"/>
      <c r="ACI16" s="971"/>
      <c r="ACJ16" s="971"/>
      <c r="ACK16" s="971"/>
      <c r="ACL16" s="971"/>
      <c r="ACM16" s="971"/>
      <c r="ACN16" s="971"/>
      <c r="ACO16" s="971"/>
      <c r="ACP16" s="971"/>
      <c r="ACQ16" s="971"/>
      <c r="ACR16" s="971"/>
      <c r="ACS16" s="971"/>
      <c r="ACT16" s="971"/>
      <c r="ACU16" s="971"/>
      <c r="ACV16" s="971"/>
      <c r="ACW16" s="971"/>
      <c r="ACX16" s="971"/>
      <c r="ACY16" s="971"/>
      <c r="ACZ16" s="971"/>
      <c r="ADA16" s="971"/>
      <c r="ADB16" s="971"/>
      <c r="ADC16" s="971"/>
      <c r="ADD16" s="971"/>
      <c r="ADE16" s="971"/>
      <c r="ADF16" s="971"/>
      <c r="ADG16" s="971"/>
      <c r="ADH16" s="971"/>
      <c r="ADI16" s="971"/>
      <c r="ADJ16" s="971"/>
      <c r="ADK16" s="971"/>
      <c r="ADL16" s="971"/>
      <c r="ADM16" s="971"/>
      <c r="ADN16" s="971"/>
      <c r="ADO16" s="971"/>
      <c r="ADP16" s="971"/>
      <c r="ADQ16" s="971"/>
      <c r="ADR16" s="971"/>
      <c r="ADS16" s="971"/>
      <c r="ADT16" s="971"/>
      <c r="ADU16" s="971"/>
      <c r="ADV16" s="971"/>
      <c r="ADW16" s="971"/>
      <c r="ADX16" s="971"/>
      <c r="ADY16" s="971"/>
      <c r="ADZ16" s="971"/>
      <c r="AEA16" s="971"/>
      <c r="AEB16" s="971"/>
      <c r="AEC16" s="971"/>
      <c r="AED16" s="971"/>
      <c r="AEE16" s="971"/>
      <c r="AEF16" s="971"/>
      <c r="AEG16" s="971"/>
      <c r="AEH16" s="971"/>
      <c r="AEI16" s="971"/>
      <c r="AEJ16" s="971"/>
      <c r="AEK16" s="971"/>
      <c r="AEL16" s="971"/>
      <c r="AEM16" s="971"/>
      <c r="AEN16" s="971"/>
      <c r="AEO16" s="971"/>
      <c r="AEP16" s="971"/>
      <c r="AEQ16" s="971"/>
      <c r="AER16" s="971"/>
      <c r="AES16" s="971"/>
      <c r="AET16" s="971"/>
      <c r="AEU16" s="971"/>
      <c r="AEV16" s="971"/>
      <c r="AEW16" s="971"/>
      <c r="AEX16" s="971"/>
      <c r="AEY16" s="971"/>
      <c r="AEZ16" s="971"/>
      <c r="AFA16" s="971"/>
      <c r="AFB16" s="971"/>
      <c r="AFC16" s="971"/>
      <c r="AFD16" s="971"/>
      <c r="AFE16" s="971"/>
      <c r="AFF16" s="971"/>
      <c r="AFG16" s="971"/>
      <c r="AFH16" s="971"/>
      <c r="AFI16" s="971"/>
      <c r="AFJ16" s="971"/>
      <c r="AFK16" s="971"/>
      <c r="AFL16" s="971"/>
      <c r="AFM16" s="971"/>
      <c r="AFN16" s="971"/>
      <c r="AFO16" s="971"/>
      <c r="AFP16" s="971"/>
      <c r="AFQ16" s="971"/>
      <c r="AFR16" s="971"/>
      <c r="AFS16" s="971"/>
      <c r="AFT16" s="971"/>
      <c r="AFU16" s="971"/>
      <c r="AFV16" s="971"/>
      <c r="AFW16" s="971"/>
      <c r="AFX16" s="971"/>
      <c r="AFY16" s="971"/>
      <c r="AFZ16" s="971"/>
      <c r="AGA16" s="971"/>
      <c r="AGB16" s="971"/>
      <c r="AGC16" s="971"/>
      <c r="AGD16" s="971"/>
      <c r="AGE16" s="971"/>
      <c r="AGF16" s="971"/>
      <c r="AGG16" s="971"/>
      <c r="AGH16" s="971"/>
      <c r="AGI16" s="971"/>
      <c r="AGJ16" s="971"/>
      <c r="AGK16" s="971"/>
      <c r="AGL16" s="971"/>
      <c r="AGM16" s="971"/>
      <c r="AGN16" s="971"/>
      <c r="AGO16" s="971"/>
      <c r="AGP16" s="971"/>
      <c r="AGQ16" s="971"/>
      <c r="AGR16" s="971"/>
      <c r="AGS16" s="971"/>
      <c r="AGT16" s="971"/>
      <c r="AGU16" s="971"/>
      <c r="AGV16" s="971"/>
      <c r="AGW16" s="971"/>
      <c r="AGX16" s="971"/>
      <c r="AGY16" s="971"/>
      <c r="AGZ16" s="971"/>
      <c r="AHA16" s="971"/>
      <c r="AHB16" s="971"/>
      <c r="AHC16" s="971"/>
      <c r="AHD16" s="971"/>
      <c r="AHE16" s="971"/>
      <c r="AHF16" s="971"/>
      <c r="AHG16" s="971"/>
      <c r="AHH16" s="971"/>
      <c r="AHI16" s="971"/>
      <c r="AHJ16" s="971"/>
      <c r="AHK16" s="971"/>
      <c r="AHL16" s="971"/>
      <c r="AHM16" s="971"/>
      <c r="AHN16" s="971"/>
      <c r="AHO16" s="971"/>
      <c r="AHP16" s="971"/>
      <c r="AHQ16" s="971"/>
      <c r="AHR16" s="971"/>
      <c r="AHS16" s="971"/>
      <c r="AHT16" s="971"/>
      <c r="AHU16" s="971"/>
      <c r="AHV16" s="971"/>
      <c r="AHW16" s="971"/>
      <c r="AHX16" s="971"/>
      <c r="AHY16" s="971"/>
      <c r="AHZ16" s="971"/>
      <c r="AIA16" s="971"/>
      <c r="AIB16" s="971"/>
      <c r="AIC16" s="971"/>
      <c r="AID16" s="971"/>
      <c r="AIE16" s="971"/>
      <c r="AIF16" s="971"/>
      <c r="AIG16" s="971"/>
      <c r="AIH16" s="971"/>
      <c r="AII16" s="971"/>
      <c r="AIJ16" s="971"/>
      <c r="AIK16" s="971"/>
      <c r="AIL16" s="971"/>
      <c r="AIM16" s="971"/>
      <c r="AIN16" s="971"/>
      <c r="AIO16" s="971"/>
      <c r="AIP16" s="971"/>
      <c r="AIQ16" s="971"/>
      <c r="AIR16" s="971"/>
      <c r="AIS16" s="971"/>
      <c r="AIT16" s="971"/>
      <c r="AIU16" s="971"/>
      <c r="AIV16" s="971"/>
      <c r="AIW16" s="971"/>
      <c r="AIX16" s="971"/>
      <c r="AIY16" s="971"/>
      <c r="AIZ16" s="971"/>
      <c r="AJA16" s="971"/>
      <c r="AJB16" s="971"/>
      <c r="AJC16" s="971"/>
      <c r="AJD16" s="971"/>
      <c r="AJE16" s="971"/>
      <c r="AJF16" s="971"/>
      <c r="AJG16" s="971"/>
      <c r="AJH16" s="971"/>
      <c r="AJI16" s="971"/>
      <c r="AJJ16" s="971"/>
      <c r="AJK16" s="971"/>
      <c r="AJL16" s="971"/>
      <c r="AJM16" s="971"/>
      <c r="AJN16" s="971"/>
      <c r="AJO16" s="971"/>
      <c r="AJP16" s="971"/>
      <c r="AJQ16" s="971"/>
      <c r="AJR16" s="971"/>
      <c r="AJS16" s="971"/>
      <c r="AJT16" s="971"/>
      <c r="AJU16" s="971"/>
      <c r="AJV16" s="971"/>
      <c r="AJW16" s="971"/>
      <c r="AJX16" s="971"/>
      <c r="AJY16" s="971"/>
      <c r="AJZ16" s="971"/>
      <c r="AKA16" s="971"/>
      <c r="AKB16" s="971"/>
      <c r="AKC16" s="971"/>
      <c r="AKD16" s="971"/>
      <c r="AKE16" s="971"/>
      <c r="AKF16" s="971"/>
      <c r="AKG16" s="971"/>
      <c r="AKH16" s="971"/>
      <c r="AKI16" s="971"/>
      <c r="AKJ16" s="971"/>
      <c r="AKK16" s="971"/>
      <c r="AKL16" s="971"/>
      <c r="AKM16" s="971"/>
      <c r="AKN16" s="971"/>
      <c r="AKO16" s="971"/>
      <c r="AKP16" s="971"/>
      <c r="AKQ16" s="971"/>
      <c r="AKR16" s="971"/>
      <c r="AKS16" s="971"/>
      <c r="AKT16" s="971"/>
      <c r="AKU16" s="971"/>
      <c r="AKV16" s="971"/>
      <c r="AKW16" s="971"/>
      <c r="AKX16" s="971"/>
      <c r="AKY16" s="971"/>
      <c r="AKZ16" s="971"/>
      <c r="ALA16" s="971"/>
      <c r="ALB16" s="971"/>
      <c r="ALC16" s="971"/>
      <c r="ALD16" s="971"/>
      <c r="ALE16" s="971"/>
      <c r="ALF16" s="971"/>
      <c r="ALG16" s="971"/>
      <c r="ALH16" s="971"/>
      <c r="ALI16" s="971"/>
      <c r="ALJ16" s="971"/>
      <c r="ALK16" s="971"/>
      <c r="ALL16" s="971"/>
    </row>
    <row r="17" s="929" customFormat="1" ht="13.5" customHeight="1" hidden="1">
      <c r="A17" s="971"/>
      <c r="B17" s="971"/>
      <c r="C17" s="971"/>
      <c r="D17" s="971"/>
      <c r="E17" s="971"/>
      <c r="F17" s="971"/>
      <c r="G17" s="971"/>
      <c r="H17" s="971"/>
      <c r="I17" s="971"/>
      <c r="J17" s="971"/>
      <c r="K17" s="971"/>
      <c r="L17" s="971"/>
      <c r="M17" s="971"/>
      <c r="N17" s="971"/>
      <c r="O17" s="971"/>
      <c r="P17" s="971"/>
      <c r="Q17" s="971"/>
      <c r="R17" s="971"/>
      <c r="S17" s="971"/>
      <c r="T17" s="971"/>
      <c r="U17" s="971"/>
      <c r="V17" s="971"/>
      <c r="W17" s="971"/>
      <c r="X17" s="971"/>
      <c r="Y17" s="971"/>
      <c r="Z17" s="971"/>
      <c r="AA17" s="971"/>
      <c r="AB17" s="971"/>
      <c r="AC17" s="971"/>
      <c r="AD17" s="971"/>
      <c r="AE17" s="971"/>
      <c r="AF17" s="971"/>
      <c r="AG17" s="971"/>
      <c r="AH17" s="971"/>
      <c r="AI17" s="971"/>
      <c r="AJ17" s="971"/>
      <c r="AK17" s="971"/>
      <c r="AL17" s="971"/>
      <c r="AM17" s="971"/>
      <c r="AN17" s="971"/>
      <c r="AO17" s="971"/>
      <c r="AP17" s="971"/>
      <c r="AQ17" s="971"/>
      <c r="AR17" s="971"/>
      <c r="AS17" s="971"/>
      <c r="AT17" s="971"/>
      <c r="AU17" s="971"/>
      <c r="AV17" s="971"/>
      <c r="AW17" s="971"/>
      <c r="AX17" s="971"/>
      <c r="AY17" s="971"/>
      <c r="AZ17" s="971"/>
      <c r="BA17" s="971"/>
      <c r="BB17" s="971"/>
      <c r="BC17" s="971"/>
      <c r="BD17" s="971"/>
      <c r="BE17" s="971"/>
      <c r="BF17" s="971"/>
      <c r="BG17" s="971"/>
      <c r="BH17" s="971"/>
      <c r="BI17" s="971"/>
      <c r="BJ17" s="971"/>
      <c r="BK17" s="971"/>
      <c r="BL17" s="971"/>
      <c r="BM17" s="971"/>
      <c r="BN17" s="971"/>
      <c r="BO17" s="971"/>
      <c r="BP17" s="971"/>
      <c r="BQ17" s="971"/>
      <c r="BR17" s="971"/>
      <c r="BS17" s="971"/>
      <c r="BT17" s="971"/>
      <c r="BU17" s="971"/>
      <c r="BV17" s="971"/>
      <c r="BW17" s="971"/>
      <c r="BX17" s="971"/>
      <c r="BY17" s="971"/>
      <c r="BZ17" s="971"/>
      <c r="CA17" s="971"/>
      <c r="CB17" s="971"/>
      <c r="CC17" s="971"/>
      <c r="CD17" s="971"/>
      <c r="CE17" s="971"/>
      <c r="CF17" s="971"/>
      <c r="CG17" s="971"/>
      <c r="CH17" s="971"/>
      <c r="CI17" s="971"/>
      <c r="CJ17" s="971"/>
      <c r="CK17" s="971"/>
      <c r="CL17" s="971"/>
      <c r="CM17" s="971"/>
      <c r="CN17" s="971"/>
      <c r="CO17" s="971"/>
      <c r="CP17" s="971"/>
      <c r="CQ17" s="971"/>
      <c r="CR17" s="971"/>
      <c r="CS17" s="971"/>
      <c r="CT17" s="971"/>
      <c r="CU17" s="971"/>
      <c r="CV17" s="971"/>
      <c r="CW17" s="971"/>
      <c r="CX17" s="971"/>
      <c r="CY17" s="971"/>
      <c r="CZ17" s="971"/>
      <c r="DA17" s="971"/>
      <c r="DB17" s="971"/>
      <c r="DC17" s="971"/>
      <c r="DD17" s="971"/>
      <c r="DE17" s="971"/>
      <c r="DF17" s="971"/>
      <c r="DG17" s="971"/>
      <c r="DH17" s="971"/>
      <c r="DI17" s="971"/>
      <c r="DJ17" s="971"/>
      <c r="DK17" s="971"/>
      <c r="DL17" s="971"/>
      <c r="DM17" s="971"/>
      <c r="DN17" s="971"/>
      <c r="DO17" s="971"/>
      <c r="DP17" s="971"/>
      <c r="DQ17" s="971"/>
      <c r="DR17" s="971"/>
      <c r="DS17" s="971"/>
      <c r="DT17" s="971"/>
      <c r="DU17" s="971"/>
      <c r="DV17" s="971"/>
      <c r="DW17" s="971"/>
      <c r="DX17" s="971"/>
      <c r="DY17" s="971"/>
      <c r="DZ17" s="971"/>
      <c r="EA17" s="971"/>
      <c r="EB17" s="971"/>
      <c r="EC17" s="971"/>
      <c r="ED17" s="971"/>
      <c r="EE17" s="971"/>
      <c r="EF17" s="971"/>
      <c r="EG17" s="971"/>
      <c r="EH17" s="971"/>
      <c r="EI17" s="971"/>
      <c r="EJ17" s="971"/>
      <c r="EK17" s="971"/>
      <c r="EL17" s="971"/>
      <c r="EM17" s="971"/>
      <c r="EN17" s="971"/>
      <c r="EO17" s="971"/>
      <c r="EP17" s="971"/>
      <c r="EQ17" s="971"/>
      <c r="ER17" s="971"/>
      <c r="ES17" s="971"/>
      <c r="ET17" s="971"/>
      <c r="EU17" s="971"/>
      <c r="EV17" s="971"/>
      <c r="EW17" s="971"/>
      <c r="EX17" s="971"/>
      <c r="EY17" s="971"/>
      <c r="EZ17" s="971"/>
      <c r="FA17" s="971"/>
      <c r="FB17" s="971"/>
      <c r="FC17" s="971"/>
      <c r="FD17" s="971"/>
      <c r="FE17" s="971"/>
      <c r="FF17" s="971"/>
      <c r="FG17" s="971"/>
      <c r="FH17" s="971"/>
      <c r="FI17" s="971"/>
      <c r="FJ17" s="971"/>
      <c r="FK17" s="971"/>
      <c r="FL17" s="971"/>
      <c r="FM17" s="971"/>
      <c r="FN17" s="971"/>
      <c r="FO17" s="971"/>
      <c r="FP17" s="971"/>
      <c r="FQ17" s="971"/>
      <c r="FR17" s="971"/>
      <c r="FS17" s="971"/>
      <c r="FT17" s="971"/>
      <c r="FU17" s="971"/>
      <c r="FV17" s="971"/>
      <c r="FW17" s="971"/>
      <c r="FX17" s="971"/>
      <c r="FY17" s="971"/>
      <c r="FZ17" s="971"/>
      <c r="GA17" s="971"/>
      <c r="GB17" s="971"/>
      <c r="GC17" s="971"/>
      <c r="GD17" s="971"/>
      <c r="GE17" s="971"/>
      <c r="GF17" s="971"/>
      <c r="GG17" s="971"/>
      <c r="GH17" s="971"/>
      <c r="GI17" s="971"/>
      <c r="GJ17" s="971"/>
      <c r="GK17" s="971"/>
      <c r="GL17" s="971"/>
      <c r="GM17" s="971"/>
      <c r="GN17" s="971"/>
      <c r="GO17" s="971"/>
      <c r="GP17" s="971"/>
      <c r="GQ17" s="971"/>
      <c r="GR17" s="971"/>
      <c r="GS17" s="971"/>
      <c r="GT17" s="971"/>
      <c r="GU17" s="971"/>
      <c r="GV17" s="971"/>
      <c r="GW17" s="971"/>
      <c r="GX17" s="971"/>
      <c r="GY17" s="971"/>
      <c r="GZ17" s="971"/>
      <c r="HA17" s="971"/>
      <c r="HB17" s="971"/>
      <c r="HC17" s="971"/>
      <c r="HD17" s="971"/>
      <c r="HE17" s="971"/>
      <c r="HF17" s="971"/>
      <c r="HG17" s="971"/>
      <c r="HH17" s="971"/>
      <c r="HI17" s="971"/>
      <c r="HJ17" s="971"/>
      <c r="HK17" s="971"/>
      <c r="HL17" s="971"/>
      <c r="HM17" s="971"/>
      <c r="HN17" s="971"/>
      <c r="HO17" s="971"/>
      <c r="HP17" s="971"/>
      <c r="HQ17" s="971"/>
      <c r="HR17" s="971"/>
      <c r="HS17" s="971"/>
      <c r="HT17" s="971"/>
      <c r="HU17" s="971"/>
      <c r="HV17" s="971"/>
      <c r="HW17" s="971"/>
      <c r="HX17" s="971"/>
      <c r="HY17" s="971"/>
      <c r="HZ17" s="971"/>
      <c r="IA17" s="971"/>
      <c r="IB17" s="971"/>
      <c r="IC17" s="971"/>
      <c r="ID17" s="971"/>
      <c r="IE17" s="971"/>
      <c r="IF17" s="971"/>
      <c r="IG17" s="971"/>
      <c r="IH17" s="971"/>
      <c r="II17" s="971"/>
      <c r="IJ17" s="971"/>
      <c r="IK17" s="971"/>
      <c r="IL17" s="971"/>
      <c r="IM17" s="971"/>
      <c r="IN17" s="971"/>
      <c r="IO17" s="971"/>
      <c r="IP17" s="971"/>
      <c r="IQ17" s="971"/>
      <c r="IR17" s="971"/>
      <c r="IS17" s="971"/>
      <c r="IT17" s="971"/>
      <c r="IU17" s="971"/>
      <c r="IV17" s="971"/>
      <c r="IW17" s="971"/>
      <c r="IX17" s="971"/>
      <c r="IY17" s="971"/>
      <c r="IZ17" s="971"/>
      <c r="JA17" s="971"/>
      <c r="JB17" s="971"/>
      <c r="JC17" s="971"/>
      <c r="JD17" s="971"/>
      <c r="JE17" s="971"/>
      <c r="JF17" s="971"/>
      <c r="JG17" s="971"/>
      <c r="JH17" s="971"/>
      <c r="JI17" s="971"/>
      <c r="JJ17" s="971"/>
      <c r="JK17" s="971"/>
      <c r="JL17" s="971"/>
      <c r="JM17" s="971"/>
      <c r="JN17" s="971"/>
      <c r="JO17" s="971"/>
      <c r="JP17" s="971"/>
      <c r="JQ17" s="971"/>
      <c r="JR17" s="971"/>
      <c r="JS17" s="971"/>
      <c r="JT17" s="971"/>
      <c r="JU17" s="971"/>
      <c r="JV17" s="971"/>
      <c r="JW17" s="971"/>
      <c r="JX17" s="971"/>
      <c r="JY17" s="971"/>
      <c r="JZ17" s="971"/>
      <c r="KA17" s="971"/>
      <c r="KB17" s="971"/>
      <c r="KC17" s="971"/>
      <c r="KD17" s="971"/>
      <c r="KE17" s="971"/>
      <c r="KF17" s="971"/>
      <c r="KG17" s="971"/>
      <c r="KH17" s="971"/>
      <c r="KI17" s="971"/>
      <c r="KJ17" s="971"/>
      <c r="KK17" s="971"/>
      <c r="KL17" s="971"/>
      <c r="KM17" s="971"/>
      <c r="KN17" s="971"/>
      <c r="KO17" s="971"/>
      <c r="KP17" s="971"/>
      <c r="KQ17" s="971"/>
      <c r="KR17" s="971"/>
      <c r="KS17" s="971"/>
      <c r="KT17" s="971"/>
      <c r="KU17" s="971"/>
      <c r="KV17" s="971"/>
      <c r="KW17" s="971"/>
      <c r="KX17" s="971"/>
      <c r="KY17" s="971"/>
      <c r="KZ17" s="971"/>
      <c r="LA17" s="971"/>
      <c r="LB17" s="971"/>
      <c r="LC17" s="971"/>
      <c r="LD17" s="971"/>
      <c r="LE17" s="971"/>
      <c r="LF17" s="971"/>
      <c r="LG17" s="971"/>
      <c r="LH17" s="971"/>
      <c r="LI17" s="971"/>
      <c r="LJ17" s="971"/>
      <c r="LK17" s="971"/>
      <c r="LL17" s="971"/>
      <c r="LM17" s="971"/>
      <c r="LN17" s="971"/>
      <c r="LO17" s="971"/>
      <c r="LP17" s="971"/>
      <c r="LQ17" s="971"/>
      <c r="LR17" s="971"/>
      <c r="LS17" s="971"/>
      <c r="LT17" s="971"/>
      <c r="LU17" s="971"/>
      <c r="LV17" s="971"/>
      <c r="LW17" s="971"/>
      <c r="LX17" s="971"/>
      <c r="LY17" s="971"/>
      <c r="LZ17" s="971"/>
      <c r="MA17" s="971"/>
      <c r="MB17" s="971"/>
      <c r="MC17" s="971"/>
      <c r="MD17" s="971"/>
      <c r="ME17" s="971"/>
      <c r="MF17" s="971"/>
      <c r="MG17" s="971"/>
      <c r="MH17" s="971"/>
      <c r="MI17" s="971"/>
      <c r="MJ17" s="971"/>
      <c r="MK17" s="971"/>
      <c r="ML17" s="971"/>
      <c r="MM17" s="971"/>
      <c r="MN17" s="971"/>
      <c r="MO17" s="971"/>
      <c r="MP17" s="971"/>
      <c r="MQ17" s="971"/>
      <c r="MR17" s="971"/>
      <c r="MS17" s="971"/>
      <c r="MT17" s="971"/>
      <c r="MU17" s="971"/>
      <c r="MV17" s="971"/>
      <c r="MW17" s="971"/>
      <c r="MX17" s="971"/>
      <c r="MY17" s="971"/>
      <c r="MZ17" s="971"/>
      <c r="NA17" s="971"/>
      <c r="NB17" s="971"/>
      <c r="NC17" s="971"/>
      <c r="ND17" s="971"/>
      <c r="NE17" s="971"/>
      <c r="NF17" s="971"/>
      <c r="NG17" s="971"/>
      <c r="NH17" s="971"/>
      <c r="NI17" s="971"/>
      <c r="NJ17" s="971"/>
      <c r="NK17" s="971"/>
      <c r="NL17" s="971"/>
      <c r="NM17" s="971"/>
      <c r="NN17" s="971"/>
      <c r="NO17" s="971"/>
      <c r="NP17" s="971"/>
      <c r="NQ17" s="971"/>
      <c r="NR17" s="971"/>
      <c r="NS17" s="971"/>
      <c r="NT17" s="971"/>
      <c r="NU17" s="971"/>
      <c r="NV17" s="971"/>
      <c r="NW17" s="971"/>
      <c r="NX17" s="971"/>
      <c r="NY17" s="971"/>
      <c r="NZ17" s="971"/>
      <c r="OA17" s="971"/>
      <c r="OB17" s="971"/>
      <c r="OC17" s="971"/>
      <c r="OD17" s="971"/>
      <c r="OE17" s="971"/>
      <c r="OF17" s="971"/>
      <c r="OG17" s="971"/>
      <c r="OH17" s="971"/>
      <c r="OI17" s="971"/>
      <c r="OJ17" s="971"/>
      <c r="OK17" s="971"/>
      <c r="OL17" s="971"/>
      <c r="OM17" s="971"/>
      <c r="ON17" s="971"/>
      <c r="OO17" s="971"/>
      <c r="OP17" s="971"/>
      <c r="OQ17" s="971"/>
      <c r="OR17" s="971"/>
      <c r="OS17" s="971"/>
      <c r="OT17" s="971"/>
      <c r="OU17" s="971"/>
      <c r="OV17" s="971"/>
      <c r="OW17" s="971"/>
      <c r="OX17" s="971"/>
      <c r="OY17" s="971"/>
      <c r="OZ17" s="971"/>
      <c r="PA17" s="971"/>
      <c r="PB17" s="971"/>
      <c r="PC17" s="971"/>
      <c r="PD17" s="971"/>
      <c r="PE17" s="971"/>
      <c r="PF17" s="971"/>
      <c r="PG17" s="971"/>
      <c r="PH17" s="971"/>
      <c r="PI17" s="971"/>
      <c r="PJ17" s="971"/>
      <c r="PK17" s="971"/>
      <c r="PL17" s="971"/>
      <c r="PM17" s="971"/>
      <c r="PN17" s="971"/>
      <c r="PO17" s="971"/>
      <c r="PP17" s="971"/>
      <c r="PQ17" s="971"/>
      <c r="PR17" s="971"/>
      <c r="PS17" s="971"/>
      <c r="PT17" s="971"/>
      <c r="PU17" s="971"/>
      <c r="PV17" s="971"/>
      <c r="PW17" s="971"/>
      <c r="PX17" s="971"/>
      <c r="PY17" s="971"/>
      <c r="PZ17" s="971"/>
      <c r="QA17" s="971"/>
      <c r="QB17" s="971"/>
      <c r="QC17" s="971"/>
      <c r="QD17" s="971"/>
      <c r="QE17" s="971"/>
      <c r="QF17" s="971"/>
      <c r="QG17" s="971"/>
      <c r="QH17" s="971"/>
      <c r="QI17" s="971"/>
      <c r="QJ17" s="971"/>
      <c r="QK17" s="971"/>
      <c r="QL17" s="971"/>
      <c r="QM17" s="971"/>
      <c r="QN17" s="971"/>
      <c r="QO17" s="971"/>
      <c r="QP17" s="971"/>
      <c r="QQ17" s="971"/>
      <c r="QR17" s="971"/>
      <c r="QS17" s="971"/>
      <c r="QT17" s="971"/>
      <c r="QU17" s="971"/>
      <c r="QV17" s="971"/>
      <c r="QW17" s="971"/>
      <c r="QX17" s="971"/>
      <c r="QY17" s="971"/>
      <c r="QZ17" s="971"/>
      <c r="RA17" s="971"/>
      <c r="RB17" s="971"/>
      <c r="RC17" s="971"/>
      <c r="RD17" s="971"/>
      <c r="RE17" s="971"/>
      <c r="RF17" s="971"/>
      <c r="RG17" s="971"/>
      <c r="RH17" s="971"/>
      <c r="RI17" s="971"/>
      <c r="RJ17" s="971"/>
      <c r="RK17" s="971"/>
      <c r="RL17" s="971"/>
      <c r="RM17" s="971"/>
      <c r="RN17" s="971"/>
      <c r="RO17" s="971"/>
      <c r="RP17" s="971"/>
      <c r="RQ17" s="971"/>
      <c r="RR17" s="971"/>
      <c r="RS17" s="971"/>
      <c r="RT17" s="971"/>
      <c r="RU17" s="971"/>
      <c r="RV17" s="971"/>
      <c r="RW17" s="971"/>
      <c r="RX17" s="971"/>
      <c r="RY17" s="971"/>
      <c r="RZ17" s="971"/>
      <c r="SA17" s="971"/>
      <c r="SB17" s="971"/>
      <c r="SC17" s="971"/>
      <c r="SD17" s="971"/>
      <c r="SE17" s="971"/>
      <c r="SF17" s="971"/>
      <c r="SG17" s="971"/>
      <c r="SH17" s="971"/>
      <c r="SI17" s="971"/>
      <c r="SJ17" s="971"/>
      <c r="SK17" s="971"/>
      <c r="SL17" s="971"/>
      <c r="SM17" s="971"/>
      <c r="SN17" s="971"/>
      <c r="SO17" s="971"/>
      <c r="SP17" s="971"/>
      <c r="SQ17" s="971"/>
      <c r="SR17" s="971"/>
      <c r="SS17" s="971"/>
      <c r="ST17" s="971"/>
      <c r="SU17" s="971"/>
      <c r="SV17" s="971"/>
      <c r="SW17" s="971"/>
      <c r="SX17" s="971"/>
      <c r="SY17" s="971"/>
      <c r="SZ17" s="971"/>
      <c r="TA17" s="971"/>
      <c r="TB17" s="971"/>
      <c r="TC17" s="971"/>
      <c r="TD17" s="971"/>
      <c r="TE17" s="971"/>
      <c r="TF17" s="971"/>
      <c r="TG17" s="971"/>
      <c r="TH17" s="971"/>
      <c r="TI17" s="971"/>
      <c r="TJ17" s="971"/>
      <c r="TK17" s="971"/>
      <c r="TL17" s="971"/>
      <c r="TM17" s="971"/>
      <c r="TN17" s="971"/>
      <c r="TO17" s="971"/>
      <c r="TP17" s="971"/>
      <c r="TQ17" s="971"/>
      <c r="TR17" s="971"/>
      <c r="TS17" s="971"/>
      <c r="TT17" s="971"/>
      <c r="TU17" s="971"/>
      <c r="TV17" s="971"/>
      <c r="TW17" s="971"/>
      <c r="TX17" s="971"/>
      <c r="TY17" s="971"/>
      <c r="TZ17" s="971"/>
      <c r="UA17" s="971"/>
      <c r="UB17" s="971"/>
      <c r="UC17" s="971"/>
      <c r="UD17" s="971"/>
      <c r="UE17" s="971"/>
      <c r="UF17" s="971"/>
      <c r="UG17" s="971"/>
      <c r="UH17" s="971"/>
      <c r="UI17" s="971"/>
      <c r="UJ17" s="971"/>
      <c r="UK17" s="971"/>
      <c r="UL17" s="971"/>
      <c r="UM17" s="971"/>
      <c r="UN17" s="971"/>
      <c r="UO17" s="971"/>
      <c r="UP17" s="971"/>
      <c r="UQ17" s="971"/>
      <c r="UR17" s="971"/>
      <c r="US17" s="971"/>
      <c r="UT17" s="971"/>
      <c r="UU17" s="971"/>
      <c r="UV17" s="971"/>
      <c r="UW17" s="971"/>
      <c r="UX17" s="971"/>
      <c r="UY17" s="971"/>
      <c r="UZ17" s="971"/>
      <c r="VA17" s="971"/>
      <c r="VB17" s="971"/>
      <c r="VC17" s="971"/>
      <c r="VD17" s="971"/>
      <c r="VE17" s="971"/>
      <c r="VF17" s="971"/>
      <c r="VG17" s="971"/>
      <c r="VH17" s="971"/>
      <c r="VI17" s="971"/>
      <c r="VJ17" s="971"/>
      <c r="VK17" s="971"/>
      <c r="VL17" s="971"/>
      <c r="VM17" s="971"/>
      <c r="VN17" s="971"/>
      <c r="VO17" s="971"/>
      <c r="VP17" s="971"/>
      <c r="VQ17" s="971"/>
      <c r="VR17" s="971"/>
      <c r="VS17" s="971"/>
      <c r="VT17" s="971"/>
      <c r="VU17" s="971"/>
      <c r="VV17" s="971"/>
      <c r="VW17" s="971"/>
      <c r="VX17" s="971"/>
      <c r="VY17" s="971"/>
      <c r="VZ17" s="971"/>
      <c r="WA17" s="971"/>
      <c r="WB17" s="971"/>
      <c r="WC17" s="971"/>
      <c r="WD17" s="971"/>
      <c r="WE17" s="971"/>
      <c r="WF17" s="971"/>
      <c r="WG17" s="971"/>
      <c r="WH17" s="971"/>
      <c r="WI17" s="971"/>
      <c r="WJ17" s="971"/>
      <c r="WK17" s="971"/>
      <c r="WL17" s="971"/>
      <c r="WM17" s="971"/>
      <c r="WN17" s="971"/>
      <c r="WO17" s="971"/>
      <c r="WP17" s="971"/>
      <c r="WQ17" s="971"/>
      <c r="WR17" s="971"/>
      <c r="WS17" s="971"/>
      <c r="WT17" s="971"/>
      <c r="WU17" s="971"/>
      <c r="WV17" s="971"/>
      <c r="WW17" s="971"/>
      <c r="WX17" s="971"/>
      <c r="WY17" s="971"/>
      <c r="WZ17" s="971"/>
      <c r="XA17" s="971"/>
      <c r="XB17" s="971"/>
      <c r="XC17" s="971"/>
      <c r="XD17" s="971"/>
      <c r="XE17" s="971"/>
      <c r="XF17" s="971"/>
      <c r="XG17" s="971"/>
      <c r="XH17" s="971"/>
      <c r="XI17" s="971"/>
      <c r="XJ17" s="971"/>
      <c r="XK17" s="971"/>
      <c r="XL17" s="971"/>
      <c r="XM17" s="971"/>
      <c r="XN17" s="971"/>
      <c r="XO17" s="971"/>
      <c r="XP17" s="971"/>
      <c r="XQ17" s="971"/>
      <c r="XR17" s="971"/>
      <c r="XS17" s="971"/>
      <c r="XT17" s="971"/>
      <c r="XU17" s="971"/>
      <c r="XV17" s="971"/>
      <c r="XW17" s="971"/>
      <c r="XX17" s="971"/>
      <c r="XY17" s="971"/>
      <c r="XZ17" s="971"/>
      <c r="YA17" s="971"/>
      <c r="YB17" s="971"/>
      <c r="YC17" s="971"/>
      <c r="YD17" s="971"/>
      <c r="YE17" s="971"/>
      <c r="YF17" s="971"/>
      <c r="YG17" s="971"/>
      <c r="YH17" s="971"/>
      <c r="YI17" s="971"/>
      <c r="YJ17" s="971"/>
      <c r="YK17" s="971"/>
      <c r="YL17" s="971"/>
      <c r="YM17" s="971"/>
      <c r="YN17" s="971"/>
      <c r="YO17" s="971"/>
      <c r="YP17" s="971"/>
      <c r="YQ17" s="971"/>
      <c r="YR17" s="971"/>
      <c r="YS17" s="971"/>
      <c r="YT17" s="971"/>
      <c r="YU17" s="971"/>
      <c r="YV17" s="971"/>
      <c r="YW17" s="971"/>
      <c r="YX17" s="971"/>
      <c r="YY17" s="971"/>
      <c r="YZ17" s="971"/>
      <c r="ZA17" s="971"/>
      <c r="ZB17" s="971"/>
      <c r="ZC17" s="971"/>
      <c r="ZD17" s="971"/>
      <c r="ZE17" s="971"/>
      <c r="ZF17" s="971"/>
      <c r="ZG17" s="971"/>
      <c r="ZH17" s="971"/>
      <c r="ZI17" s="971"/>
      <c r="ZJ17" s="971"/>
      <c r="ZK17" s="971"/>
      <c r="ZL17" s="971"/>
      <c r="ZM17" s="971"/>
      <c r="ZN17" s="971"/>
      <c r="ZO17" s="971"/>
      <c r="ZP17" s="971"/>
      <c r="ZQ17" s="971"/>
      <c r="ZR17" s="971"/>
      <c r="ZS17" s="971"/>
      <c r="ZT17" s="971"/>
      <c r="ZU17" s="971"/>
      <c r="ZV17" s="971"/>
      <c r="ZW17" s="971"/>
      <c r="ZX17" s="971"/>
      <c r="ZY17" s="971"/>
      <c r="ZZ17" s="971"/>
      <c r="AAA17" s="971"/>
      <c r="AAB17" s="971"/>
      <c r="AAC17" s="971"/>
      <c r="AAD17" s="971"/>
      <c r="AAE17" s="971"/>
      <c r="AAF17" s="971"/>
      <c r="AAG17" s="971"/>
      <c r="AAH17" s="971"/>
      <c r="AAI17" s="971"/>
      <c r="AAJ17" s="971"/>
      <c r="AAK17" s="971"/>
      <c r="AAL17" s="971"/>
      <c r="AAM17" s="971"/>
      <c r="AAN17" s="971"/>
      <c r="AAO17" s="971"/>
      <c r="AAP17" s="971"/>
      <c r="AAQ17" s="971"/>
      <c r="AAR17" s="971"/>
      <c r="AAS17" s="971"/>
      <c r="AAT17" s="971"/>
      <c r="AAU17" s="971"/>
      <c r="AAV17" s="971"/>
      <c r="AAW17" s="971"/>
      <c r="AAX17" s="971"/>
      <c r="AAY17" s="971"/>
      <c r="AAZ17" s="971"/>
      <c r="ABA17" s="971"/>
      <c r="ABB17" s="971"/>
      <c r="ABC17" s="971"/>
      <c r="ABD17" s="971"/>
      <c r="ABE17" s="971"/>
      <c r="ABF17" s="971"/>
      <c r="ABG17" s="971"/>
      <c r="ABH17" s="971"/>
      <c r="ABI17" s="971"/>
      <c r="ABJ17" s="971"/>
      <c r="ABK17" s="971"/>
      <c r="ABL17" s="971"/>
      <c r="ABM17" s="971"/>
      <c r="ABN17" s="971"/>
      <c r="ABO17" s="971"/>
      <c r="ABP17" s="971"/>
      <c r="ABQ17" s="971"/>
      <c r="ABR17" s="971"/>
      <c r="ABS17" s="971"/>
      <c r="ABT17" s="971"/>
      <c r="ABU17" s="971"/>
      <c r="ABV17" s="971"/>
      <c r="ABW17" s="971"/>
      <c r="ABX17" s="971"/>
      <c r="ABY17" s="971"/>
      <c r="ABZ17" s="971"/>
      <c r="ACA17" s="971"/>
      <c r="ACB17" s="971"/>
      <c r="ACC17" s="971"/>
      <c r="ACD17" s="971"/>
      <c r="ACE17" s="971"/>
      <c r="ACF17" s="971"/>
      <c r="ACG17" s="971"/>
      <c r="ACH17" s="971"/>
      <c r="ACI17" s="971"/>
      <c r="ACJ17" s="971"/>
      <c r="ACK17" s="971"/>
      <c r="ACL17" s="971"/>
      <c r="ACM17" s="971"/>
      <c r="ACN17" s="971"/>
      <c r="ACO17" s="971"/>
      <c r="ACP17" s="971"/>
      <c r="ACQ17" s="971"/>
      <c r="ACR17" s="971"/>
      <c r="ACS17" s="971"/>
      <c r="ACT17" s="971"/>
      <c r="ACU17" s="971"/>
      <c r="ACV17" s="971"/>
      <c r="ACW17" s="971"/>
      <c r="ACX17" s="971"/>
      <c r="ACY17" s="971"/>
      <c r="ACZ17" s="971"/>
      <c r="ADA17" s="971"/>
      <c r="ADB17" s="971"/>
      <c r="ADC17" s="971"/>
      <c r="ADD17" s="971"/>
      <c r="ADE17" s="971"/>
      <c r="ADF17" s="971"/>
      <c r="ADG17" s="971"/>
      <c r="ADH17" s="971"/>
      <c r="ADI17" s="971"/>
      <c r="ADJ17" s="971"/>
      <c r="ADK17" s="971"/>
      <c r="ADL17" s="971"/>
      <c r="ADM17" s="971"/>
      <c r="ADN17" s="971"/>
      <c r="ADO17" s="971"/>
      <c r="ADP17" s="971"/>
      <c r="ADQ17" s="971"/>
      <c r="ADR17" s="971"/>
      <c r="ADS17" s="971"/>
      <c r="ADT17" s="971"/>
      <c r="ADU17" s="971"/>
      <c r="ADV17" s="971"/>
      <c r="ADW17" s="971"/>
      <c r="ADX17" s="971"/>
      <c r="ADY17" s="971"/>
      <c r="ADZ17" s="971"/>
      <c r="AEA17" s="971"/>
      <c r="AEB17" s="971"/>
      <c r="AEC17" s="971"/>
      <c r="AED17" s="971"/>
      <c r="AEE17" s="971"/>
      <c r="AEF17" s="971"/>
      <c r="AEG17" s="971"/>
      <c r="AEH17" s="971"/>
      <c r="AEI17" s="971"/>
      <c r="AEJ17" s="971"/>
      <c r="AEK17" s="971"/>
      <c r="AEL17" s="971"/>
      <c r="AEM17" s="971"/>
      <c r="AEN17" s="971"/>
      <c r="AEO17" s="971"/>
      <c r="AEP17" s="971"/>
      <c r="AEQ17" s="971"/>
      <c r="AER17" s="971"/>
      <c r="AES17" s="971"/>
      <c r="AET17" s="971"/>
      <c r="AEU17" s="971"/>
      <c r="AEV17" s="971"/>
      <c r="AEW17" s="971"/>
      <c r="AEX17" s="971"/>
      <c r="AEY17" s="971"/>
      <c r="AEZ17" s="971"/>
      <c r="AFA17" s="971"/>
      <c r="AFB17" s="971"/>
      <c r="AFC17" s="971"/>
      <c r="AFD17" s="971"/>
      <c r="AFE17" s="971"/>
      <c r="AFF17" s="971"/>
      <c r="AFG17" s="971"/>
      <c r="AFH17" s="971"/>
      <c r="AFI17" s="971"/>
      <c r="AFJ17" s="971"/>
      <c r="AFK17" s="971"/>
      <c r="AFL17" s="971"/>
      <c r="AFM17" s="971"/>
      <c r="AFN17" s="971"/>
      <c r="AFO17" s="971"/>
      <c r="AFP17" s="971"/>
      <c r="AFQ17" s="971"/>
      <c r="AFR17" s="971"/>
      <c r="AFS17" s="971"/>
      <c r="AFT17" s="971"/>
      <c r="AFU17" s="971"/>
      <c r="AFV17" s="971"/>
      <c r="AFW17" s="971"/>
      <c r="AFX17" s="971"/>
      <c r="AFY17" s="971"/>
      <c r="AFZ17" s="971"/>
      <c r="AGA17" s="971"/>
      <c r="AGB17" s="971"/>
      <c r="AGC17" s="971"/>
      <c r="AGD17" s="971"/>
      <c r="AGE17" s="971"/>
      <c r="AGF17" s="971"/>
      <c r="AGG17" s="971"/>
      <c r="AGH17" s="971"/>
      <c r="AGI17" s="971"/>
      <c r="AGJ17" s="971"/>
      <c r="AGK17" s="971"/>
      <c r="AGL17" s="971"/>
      <c r="AGM17" s="971"/>
      <c r="AGN17" s="971"/>
      <c r="AGO17" s="971"/>
      <c r="AGP17" s="971"/>
      <c r="AGQ17" s="971"/>
      <c r="AGR17" s="971"/>
      <c r="AGS17" s="971"/>
      <c r="AGT17" s="971"/>
      <c r="AGU17" s="971"/>
      <c r="AGV17" s="971"/>
      <c r="AGW17" s="971"/>
      <c r="AGX17" s="971"/>
      <c r="AGY17" s="971"/>
      <c r="AGZ17" s="971"/>
      <c r="AHA17" s="971"/>
      <c r="AHB17" s="971"/>
      <c r="AHC17" s="971"/>
      <c r="AHD17" s="971"/>
      <c r="AHE17" s="971"/>
      <c r="AHF17" s="971"/>
      <c r="AHG17" s="971"/>
      <c r="AHH17" s="971"/>
      <c r="AHI17" s="971"/>
      <c r="AHJ17" s="971"/>
      <c r="AHK17" s="971"/>
      <c r="AHL17" s="971"/>
      <c r="AHM17" s="971"/>
      <c r="AHN17" s="971"/>
      <c r="AHO17" s="971"/>
      <c r="AHP17" s="971"/>
      <c r="AHQ17" s="971"/>
      <c r="AHR17" s="971"/>
      <c r="AHS17" s="971"/>
      <c r="AHT17" s="971"/>
      <c r="AHU17" s="971"/>
      <c r="AHV17" s="971"/>
      <c r="AHW17" s="971"/>
      <c r="AHX17" s="971"/>
      <c r="AHY17" s="971"/>
      <c r="AHZ17" s="971"/>
      <c r="AIA17" s="971"/>
      <c r="AIB17" s="971"/>
      <c r="AIC17" s="971"/>
      <c r="AID17" s="971"/>
      <c r="AIE17" s="971"/>
      <c r="AIF17" s="971"/>
      <c r="AIG17" s="971"/>
      <c r="AIH17" s="971"/>
      <c r="AII17" s="971"/>
      <c r="AIJ17" s="971"/>
      <c r="AIK17" s="971"/>
      <c r="AIL17" s="971"/>
      <c r="AIM17" s="971"/>
      <c r="AIN17" s="971"/>
      <c r="AIO17" s="971"/>
      <c r="AIP17" s="971"/>
      <c r="AIQ17" s="971"/>
      <c r="AIR17" s="971"/>
      <c r="AIS17" s="971"/>
      <c r="AIT17" s="971"/>
      <c r="AIU17" s="971"/>
      <c r="AIV17" s="971"/>
      <c r="AIW17" s="971"/>
      <c r="AIX17" s="971"/>
      <c r="AIY17" s="971"/>
      <c r="AIZ17" s="971"/>
      <c r="AJA17" s="971"/>
      <c r="AJB17" s="971"/>
      <c r="AJC17" s="971"/>
      <c r="AJD17" s="971"/>
      <c r="AJE17" s="971"/>
      <c r="AJF17" s="971"/>
      <c r="AJG17" s="971"/>
      <c r="AJH17" s="971"/>
      <c r="AJI17" s="971"/>
      <c r="AJJ17" s="971"/>
      <c r="AJK17" s="971"/>
      <c r="AJL17" s="971"/>
      <c r="AJM17" s="971"/>
      <c r="AJN17" s="971"/>
      <c r="AJO17" s="971"/>
      <c r="AJP17" s="971"/>
      <c r="AJQ17" s="971"/>
      <c r="AJR17" s="971"/>
      <c r="AJS17" s="971"/>
      <c r="AJT17" s="971"/>
      <c r="AJU17" s="971"/>
      <c r="AJV17" s="971"/>
      <c r="AJW17" s="971"/>
      <c r="AJX17" s="971"/>
      <c r="AJY17" s="971"/>
      <c r="AJZ17" s="971"/>
      <c r="AKA17" s="971"/>
      <c r="AKB17" s="971"/>
      <c r="AKC17" s="971"/>
      <c r="AKD17" s="971"/>
      <c r="AKE17" s="971"/>
      <c r="AKF17" s="971"/>
      <c r="AKG17" s="971"/>
      <c r="AKH17" s="971"/>
      <c r="AKI17" s="971"/>
      <c r="AKJ17" s="971"/>
      <c r="AKK17" s="971"/>
      <c r="AKL17" s="971"/>
      <c r="AKM17" s="971"/>
      <c r="AKN17" s="971"/>
      <c r="AKO17" s="971"/>
      <c r="AKP17" s="971"/>
      <c r="AKQ17" s="971"/>
      <c r="AKR17" s="971"/>
      <c r="AKS17" s="971"/>
      <c r="AKT17" s="971"/>
      <c r="AKU17" s="971"/>
      <c r="AKV17" s="971"/>
      <c r="AKW17" s="971"/>
      <c r="AKX17" s="971"/>
      <c r="AKY17" s="971"/>
      <c r="AKZ17" s="971"/>
      <c r="ALA17" s="971"/>
      <c r="ALB17" s="971"/>
      <c r="ALC17" s="971"/>
      <c r="ALD17" s="971"/>
      <c r="ALE17" s="971"/>
      <c r="ALF17" s="971"/>
      <c r="ALG17" s="971"/>
      <c r="ALH17" s="971"/>
      <c r="ALI17" s="971"/>
      <c r="ALJ17" s="971"/>
      <c r="ALK17" s="971"/>
      <c r="ALL17" s="971"/>
    </row>
    <row r="18" s="929" customFormat="1" ht="13.5" customHeight="1" hidden="1">
      <c r="A18" s="971"/>
      <c r="B18" s="971"/>
      <c r="C18" s="971"/>
      <c r="D18" s="971"/>
      <c r="E18" s="971"/>
      <c r="F18" s="971"/>
      <c r="G18" s="971"/>
      <c r="H18" s="971"/>
      <c r="I18" s="971"/>
      <c r="J18" s="971"/>
      <c r="K18" s="971"/>
      <c r="L18" s="971"/>
      <c r="M18" s="971"/>
      <c r="N18" s="971"/>
      <c r="O18" s="971"/>
      <c r="P18" s="971"/>
      <c r="Q18" s="971"/>
      <c r="R18" s="971"/>
      <c r="S18" s="971"/>
      <c r="T18" s="971"/>
      <c r="U18" s="971"/>
      <c r="V18" s="971"/>
      <c r="W18" s="971"/>
      <c r="X18" s="971"/>
      <c r="Y18" s="971"/>
      <c r="Z18" s="971"/>
      <c r="AA18" s="971"/>
      <c r="AB18" s="971"/>
      <c r="AC18" s="971"/>
      <c r="AD18" s="971"/>
      <c r="AE18" s="971"/>
      <c r="AF18" s="971"/>
      <c r="AG18" s="971"/>
      <c r="AH18" s="971"/>
      <c r="AI18" s="971"/>
      <c r="AJ18" s="971"/>
      <c r="AK18" s="971"/>
      <c r="AL18" s="971"/>
      <c r="AM18" s="971"/>
      <c r="AN18" s="971"/>
      <c r="AO18" s="971"/>
      <c r="AP18" s="971"/>
      <c r="AQ18" s="971"/>
      <c r="AR18" s="971"/>
      <c r="AS18" s="971"/>
      <c r="AT18" s="971"/>
      <c r="AU18" s="971"/>
      <c r="AV18" s="971"/>
      <c r="AW18" s="971"/>
      <c r="AX18" s="971"/>
      <c r="AY18" s="971"/>
      <c r="AZ18" s="971"/>
      <c r="BA18" s="971"/>
      <c r="BB18" s="971"/>
      <c r="BC18" s="971"/>
      <c r="BD18" s="971"/>
      <c r="BE18" s="971"/>
      <c r="BF18" s="971"/>
      <c r="BG18" s="971"/>
      <c r="BH18" s="971"/>
      <c r="BI18" s="971"/>
      <c r="BJ18" s="971"/>
      <c r="BK18" s="971"/>
      <c r="BL18" s="971"/>
      <c r="BM18" s="971"/>
      <c r="BN18" s="971"/>
      <c r="BO18" s="971"/>
      <c r="BP18" s="971"/>
      <c r="BQ18" s="971"/>
      <c r="BR18" s="971"/>
      <c r="BS18" s="971"/>
      <c r="BT18" s="971"/>
      <c r="BU18" s="971"/>
      <c r="BV18" s="971"/>
      <c r="BW18" s="971"/>
      <c r="BX18" s="971"/>
      <c r="BY18" s="971"/>
      <c r="BZ18" s="971"/>
      <c r="CA18" s="971"/>
      <c r="CB18" s="971"/>
      <c r="CC18" s="971"/>
      <c r="CD18" s="971"/>
      <c r="CE18" s="971"/>
      <c r="CF18" s="971"/>
      <c r="CG18" s="971"/>
      <c r="CH18" s="971"/>
      <c r="CI18" s="971"/>
      <c r="CJ18" s="971"/>
      <c r="CK18" s="971"/>
      <c r="CL18" s="971"/>
      <c r="CM18" s="971"/>
      <c r="CN18" s="971"/>
      <c r="CO18" s="971"/>
      <c r="CP18" s="971"/>
      <c r="CQ18" s="971"/>
      <c r="CR18" s="971"/>
      <c r="CS18" s="971"/>
      <c r="CT18" s="971"/>
      <c r="CU18" s="971"/>
      <c r="CV18" s="971"/>
      <c r="CW18" s="971"/>
      <c r="CX18" s="971"/>
      <c r="CY18" s="971"/>
      <c r="CZ18" s="971"/>
      <c r="DA18" s="971"/>
      <c r="DB18" s="971"/>
      <c r="DC18" s="971"/>
      <c r="DD18" s="971"/>
      <c r="DE18" s="971"/>
      <c r="DF18" s="971"/>
      <c r="DG18" s="971"/>
      <c r="DH18" s="971"/>
      <c r="DI18" s="971"/>
      <c r="DJ18" s="971"/>
      <c r="DK18" s="971"/>
      <c r="DL18" s="971"/>
      <c r="DM18" s="971"/>
      <c r="DN18" s="971"/>
      <c r="DO18" s="971"/>
      <c r="DP18" s="971"/>
      <c r="DQ18" s="971"/>
      <c r="DR18" s="971"/>
      <c r="DS18" s="971"/>
      <c r="DT18" s="971"/>
      <c r="DU18" s="971"/>
      <c r="DV18" s="971"/>
      <c r="DW18" s="971"/>
      <c r="DX18" s="971"/>
      <c r="DY18" s="971"/>
      <c r="DZ18" s="971"/>
      <c r="EA18" s="971"/>
      <c r="EB18" s="971"/>
      <c r="EC18" s="971"/>
      <c r="ED18" s="971"/>
      <c r="EE18" s="971"/>
      <c r="EF18" s="971"/>
      <c r="EG18" s="971"/>
      <c r="EH18" s="971"/>
      <c r="EI18" s="971"/>
      <c r="EJ18" s="971"/>
      <c r="EK18" s="971"/>
      <c r="EL18" s="971"/>
      <c r="EM18" s="971"/>
      <c r="EN18" s="971"/>
      <c r="EO18" s="971"/>
      <c r="EP18" s="971"/>
      <c r="EQ18" s="971"/>
      <c r="ER18" s="971"/>
      <c r="ES18" s="971"/>
      <c r="ET18" s="971"/>
      <c r="EU18" s="971"/>
      <c r="EV18" s="971"/>
      <c r="EW18" s="971"/>
      <c r="EX18" s="971"/>
      <c r="EY18" s="971"/>
      <c r="EZ18" s="971"/>
      <c r="FA18" s="971"/>
      <c r="FB18" s="971"/>
      <c r="FC18" s="971"/>
      <c r="FD18" s="971"/>
      <c r="FE18" s="971"/>
      <c r="FF18" s="971"/>
      <c r="FG18" s="971"/>
      <c r="FH18" s="971"/>
      <c r="FI18" s="971"/>
      <c r="FJ18" s="971"/>
      <c r="FK18" s="971"/>
      <c r="FL18" s="971"/>
      <c r="FM18" s="971"/>
      <c r="FN18" s="971"/>
      <c r="FO18" s="971"/>
      <c r="FP18" s="971"/>
      <c r="FQ18" s="971"/>
      <c r="FR18" s="971"/>
      <c r="FS18" s="971"/>
      <c r="FT18" s="971"/>
      <c r="FU18" s="971"/>
      <c r="FV18" s="971"/>
      <c r="FW18" s="971"/>
      <c r="FX18" s="971"/>
      <c r="FY18" s="971"/>
      <c r="FZ18" s="971"/>
      <c r="GA18" s="971"/>
      <c r="GB18" s="971"/>
      <c r="GC18" s="971"/>
      <c r="GD18" s="971"/>
      <c r="GE18" s="971"/>
      <c r="GF18" s="971"/>
      <c r="GG18" s="971"/>
      <c r="GH18" s="971"/>
      <c r="GI18" s="971"/>
      <c r="GJ18" s="971"/>
      <c r="GK18" s="971"/>
      <c r="GL18" s="971"/>
      <c r="GM18" s="971"/>
      <c r="GN18" s="971"/>
      <c r="GO18" s="971"/>
      <c r="GP18" s="971"/>
      <c r="GQ18" s="971"/>
      <c r="GR18" s="971"/>
      <c r="GS18" s="971"/>
      <c r="GT18" s="971"/>
      <c r="GU18" s="971"/>
      <c r="GV18" s="971"/>
      <c r="GW18" s="971"/>
      <c r="GX18" s="971"/>
      <c r="GY18" s="971"/>
      <c r="GZ18" s="971"/>
      <c r="HA18" s="971"/>
      <c r="HB18" s="971"/>
      <c r="HC18" s="971"/>
      <c r="HD18" s="971"/>
      <c r="HE18" s="971"/>
      <c r="HF18" s="971"/>
      <c r="HG18" s="971"/>
      <c r="HH18" s="971"/>
      <c r="HI18" s="971"/>
      <c r="HJ18" s="971"/>
      <c r="HK18" s="971"/>
      <c r="HL18" s="971"/>
      <c r="HM18" s="971"/>
      <c r="HN18" s="971"/>
      <c r="HO18" s="971"/>
      <c r="HP18" s="971"/>
      <c r="HQ18" s="971"/>
      <c r="HR18" s="971"/>
      <c r="HS18" s="971"/>
      <c r="HT18" s="971"/>
      <c r="HU18" s="971"/>
      <c r="HV18" s="971"/>
      <c r="HW18" s="971"/>
      <c r="HX18" s="971"/>
      <c r="HY18" s="971"/>
      <c r="HZ18" s="971"/>
      <c r="IA18" s="971"/>
      <c r="IB18" s="971"/>
      <c r="IC18" s="971"/>
      <c r="ID18" s="971"/>
      <c r="IE18" s="971"/>
      <c r="IF18" s="971"/>
      <c r="IG18" s="971"/>
      <c r="IH18" s="971"/>
      <c r="II18" s="971"/>
      <c r="IJ18" s="971"/>
      <c r="IK18" s="971"/>
      <c r="IL18" s="971"/>
      <c r="IM18" s="971"/>
      <c r="IN18" s="971"/>
      <c r="IO18" s="971"/>
      <c r="IP18" s="971"/>
      <c r="IQ18" s="971"/>
      <c r="IR18" s="971"/>
      <c r="IS18" s="971"/>
      <c r="IT18" s="971"/>
      <c r="IU18" s="971"/>
      <c r="IV18" s="971"/>
      <c r="IW18" s="971"/>
      <c r="IX18" s="971"/>
      <c r="IY18" s="971"/>
      <c r="IZ18" s="971"/>
      <c r="JA18" s="971"/>
      <c r="JB18" s="971"/>
      <c r="JC18" s="971"/>
      <c r="JD18" s="971"/>
      <c r="JE18" s="971"/>
      <c r="JF18" s="971"/>
      <c r="JG18" s="971"/>
      <c r="JH18" s="971"/>
      <c r="JI18" s="971"/>
      <c r="JJ18" s="971"/>
      <c r="JK18" s="971"/>
      <c r="JL18" s="971"/>
      <c r="JM18" s="971"/>
      <c r="JN18" s="971"/>
      <c r="JO18" s="971"/>
      <c r="JP18" s="971"/>
      <c r="JQ18" s="971"/>
      <c r="JR18" s="971"/>
      <c r="JS18" s="971"/>
      <c r="JT18" s="971"/>
      <c r="JU18" s="971"/>
      <c r="JV18" s="971"/>
      <c r="JW18" s="971"/>
      <c r="JX18" s="971"/>
      <c r="JY18" s="971"/>
      <c r="JZ18" s="971"/>
      <c r="KA18" s="971"/>
      <c r="KB18" s="971"/>
      <c r="KC18" s="971"/>
      <c r="KD18" s="971"/>
      <c r="KE18" s="971"/>
      <c r="KF18" s="971"/>
      <c r="KG18" s="971"/>
      <c r="KH18" s="971"/>
      <c r="KI18" s="971"/>
      <c r="KJ18" s="971"/>
      <c r="KK18" s="971"/>
      <c r="KL18" s="971"/>
      <c r="KM18" s="971"/>
      <c r="KN18" s="971"/>
      <c r="KO18" s="971"/>
      <c r="KP18" s="971"/>
      <c r="KQ18" s="971"/>
      <c r="KR18" s="971"/>
      <c r="KS18" s="971"/>
      <c r="KT18" s="971"/>
      <c r="KU18" s="971"/>
      <c r="KV18" s="971"/>
      <c r="KW18" s="971"/>
      <c r="KX18" s="971"/>
      <c r="KY18" s="971"/>
      <c r="KZ18" s="971"/>
      <c r="LA18" s="971"/>
      <c r="LB18" s="971"/>
      <c r="LC18" s="971"/>
      <c r="LD18" s="971"/>
      <c r="LE18" s="971"/>
      <c r="LF18" s="971"/>
      <c r="LG18" s="971"/>
      <c r="LH18" s="971"/>
      <c r="LI18" s="971"/>
      <c r="LJ18" s="971"/>
      <c r="LK18" s="971"/>
      <c r="LL18" s="971"/>
      <c r="LM18" s="971"/>
      <c r="LN18" s="971"/>
      <c r="LO18" s="971"/>
      <c r="LP18" s="971"/>
      <c r="LQ18" s="971"/>
      <c r="LR18" s="971"/>
      <c r="LS18" s="971"/>
      <c r="LT18" s="971"/>
      <c r="LU18" s="971"/>
      <c r="LV18" s="971"/>
      <c r="LW18" s="971"/>
      <c r="LX18" s="971"/>
      <c r="LY18" s="971"/>
      <c r="LZ18" s="971"/>
      <c r="MA18" s="971"/>
      <c r="MB18" s="971"/>
      <c r="MC18" s="971"/>
      <c r="MD18" s="971"/>
      <c r="ME18" s="971"/>
      <c r="MF18" s="971"/>
      <c r="MG18" s="971"/>
      <c r="MH18" s="971"/>
      <c r="MI18" s="971"/>
      <c r="MJ18" s="971"/>
      <c r="MK18" s="971"/>
      <c r="ML18" s="971"/>
      <c r="MM18" s="971"/>
      <c r="MN18" s="971"/>
      <c r="MO18" s="971"/>
      <c r="MP18" s="971"/>
      <c r="MQ18" s="971"/>
      <c r="MR18" s="971"/>
      <c r="MS18" s="971"/>
      <c r="MT18" s="971"/>
      <c r="MU18" s="971"/>
      <c r="MV18" s="971"/>
      <c r="MW18" s="971"/>
      <c r="MX18" s="971"/>
      <c r="MY18" s="971"/>
      <c r="MZ18" s="971"/>
      <c r="NA18" s="971"/>
      <c r="NB18" s="971"/>
      <c r="NC18" s="971"/>
      <c r="ND18" s="971"/>
      <c r="NE18" s="971"/>
      <c r="NF18" s="971"/>
      <c r="NG18" s="971"/>
      <c r="NH18" s="971"/>
      <c r="NI18" s="971"/>
      <c r="NJ18" s="971"/>
      <c r="NK18" s="971"/>
      <c r="NL18" s="971"/>
      <c r="NM18" s="971"/>
      <c r="NN18" s="971"/>
      <c r="NO18" s="971"/>
      <c r="NP18" s="971"/>
      <c r="NQ18" s="971"/>
      <c r="NR18" s="971"/>
      <c r="NS18" s="971"/>
      <c r="NT18" s="971"/>
      <c r="NU18" s="971"/>
      <c r="NV18" s="971"/>
      <c r="NW18" s="971"/>
      <c r="NX18" s="971"/>
      <c r="NY18" s="971"/>
      <c r="NZ18" s="971"/>
      <c r="OA18" s="971"/>
      <c r="OB18" s="971"/>
      <c r="OC18" s="971"/>
      <c r="OD18" s="971"/>
      <c r="OE18" s="971"/>
      <c r="OF18" s="971"/>
      <c r="OG18" s="971"/>
      <c r="OH18" s="971"/>
      <c r="OI18" s="971"/>
      <c r="OJ18" s="971"/>
      <c r="OK18" s="971"/>
      <c r="OL18" s="971"/>
      <c r="OM18" s="971"/>
      <c r="ON18" s="971"/>
      <c r="OO18" s="971"/>
      <c r="OP18" s="971"/>
      <c r="OQ18" s="971"/>
      <c r="OR18" s="971"/>
      <c r="OS18" s="971"/>
      <c r="OT18" s="971"/>
      <c r="OU18" s="971"/>
      <c r="OV18" s="971"/>
      <c r="OW18" s="971"/>
      <c r="OX18" s="971"/>
      <c r="OY18" s="971"/>
      <c r="OZ18" s="971"/>
      <c r="PA18" s="971"/>
      <c r="PB18" s="971"/>
      <c r="PC18" s="971"/>
      <c r="PD18" s="971"/>
      <c r="PE18" s="971"/>
      <c r="PF18" s="971"/>
      <c r="PG18" s="971"/>
      <c r="PH18" s="971"/>
      <c r="PI18" s="971"/>
      <c r="PJ18" s="971"/>
      <c r="PK18" s="971"/>
      <c r="PL18" s="971"/>
      <c r="PM18" s="971"/>
      <c r="PN18" s="971"/>
      <c r="PO18" s="971"/>
      <c r="PP18" s="971"/>
      <c r="PQ18" s="971"/>
      <c r="PR18" s="971"/>
      <c r="PS18" s="971"/>
      <c r="PT18" s="971"/>
      <c r="PU18" s="971"/>
      <c r="PV18" s="971"/>
      <c r="PW18" s="971"/>
      <c r="PX18" s="971"/>
      <c r="PY18" s="971"/>
      <c r="PZ18" s="971"/>
      <c r="QA18" s="971"/>
      <c r="QB18" s="971"/>
      <c r="QC18" s="971"/>
      <c r="QD18" s="971"/>
      <c r="QE18" s="971"/>
      <c r="QF18" s="971"/>
      <c r="QG18" s="971"/>
      <c r="QH18" s="971"/>
      <c r="QI18" s="971"/>
      <c r="QJ18" s="971"/>
      <c r="QK18" s="971"/>
      <c r="QL18" s="971"/>
      <c r="QM18" s="971"/>
      <c r="QN18" s="971"/>
      <c r="QO18" s="971"/>
      <c r="QP18" s="971"/>
      <c r="QQ18" s="971"/>
      <c r="QR18" s="971"/>
      <c r="QS18" s="971"/>
      <c r="QT18" s="971"/>
      <c r="QU18" s="971"/>
      <c r="QV18" s="971"/>
      <c r="QW18" s="971"/>
      <c r="QX18" s="971"/>
      <c r="QY18" s="971"/>
      <c r="QZ18" s="971"/>
      <c r="RA18" s="971"/>
      <c r="RB18" s="971"/>
      <c r="RC18" s="971"/>
      <c r="RD18" s="971"/>
      <c r="RE18" s="971"/>
      <c r="RF18" s="971"/>
      <c r="RG18" s="971"/>
      <c r="RH18" s="971"/>
      <c r="RI18" s="971"/>
      <c r="RJ18" s="971"/>
      <c r="RK18" s="971"/>
      <c r="RL18" s="971"/>
      <c r="RM18" s="971"/>
      <c r="RN18" s="971"/>
      <c r="RO18" s="971"/>
      <c r="RP18" s="971"/>
      <c r="RQ18" s="971"/>
      <c r="RR18" s="971"/>
      <c r="RS18" s="971"/>
      <c r="RT18" s="971"/>
      <c r="RU18" s="971"/>
      <c r="RV18" s="971"/>
      <c r="RW18" s="971"/>
      <c r="RX18" s="971"/>
      <c r="RY18" s="971"/>
      <c r="RZ18" s="971"/>
      <c r="SA18" s="971"/>
      <c r="SB18" s="971"/>
      <c r="SC18" s="971"/>
      <c r="SD18" s="971"/>
      <c r="SE18" s="971"/>
      <c r="SF18" s="971"/>
      <c r="SG18" s="971"/>
      <c r="SH18" s="971"/>
      <c r="SI18" s="971"/>
      <c r="SJ18" s="971"/>
      <c r="SK18" s="971"/>
      <c r="SL18" s="971"/>
      <c r="SM18" s="971"/>
      <c r="SN18" s="971"/>
      <c r="SO18" s="971"/>
      <c r="SP18" s="971"/>
      <c r="SQ18" s="971"/>
      <c r="SR18" s="971"/>
      <c r="SS18" s="971"/>
      <c r="ST18" s="971"/>
      <c r="SU18" s="971"/>
      <c r="SV18" s="971"/>
      <c r="SW18" s="971"/>
      <c r="SX18" s="971"/>
      <c r="SY18" s="971"/>
      <c r="SZ18" s="971"/>
      <c r="TA18" s="971"/>
      <c r="TB18" s="971"/>
      <c r="TC18" s="971"/>
      <c r="TD18" s="971"/>
      <c r="TE18" s="971"/>
      <c r="TF18" s="971"/>
      <c r="TG18" s="971"/>
      <c r="TH18" s="971"/>
      <c r="TI18" s="971"/>
      <c r="TJ18" s="971"/>
      <c r="TK18" s="971"/>
      <c r="TL18" s="971"/>
      <c r="TM18" s="971"/>
      <c r="TN18" s="971"/>
      <c r="TO18" s="971"/>
      <c r="TP18" s="971"/>
      <c r="TQ18" s="971"/>
      <c r="TR18" s="971"/>
      <c r="TS18" s="971"/>
      <c r="TT18" s="971"/>
      <c r="TU18" s="971"/>
      <c r="TV18" s="971"/>
      <c r="TW18" s="971"/>
      <c r="TX18" s="971"/>
      <c r="TY18" s="971"/>
      <c r="TZ18" s="971"/>
      <c r="UA18" s="971"/>
      <c r="UB18" s="971"/>
      <c r="UC18" s="971"/>
      <c r="UD18" s="971"/>
      <c r="UE18" s="971"/>
      <c r="UF18" s="971"/>
      <c r="UG18" s="971"/>
      <c r="UH18" s="971"/>
      <c r="UI18" s="971"/>
      <c r="UJ18" s="971"/>
      <c r="UK18" s="971"/>
      <c r="UL18" s="971"/>
      <c r="UM18" s="971"/>
      <c r="UN18" s="971"/>
      <c r="UO18" s="971"/>
      <c r="UP18" s="971"/>
      <c r="UQ18" s="971"/>
      <c r="UR18" s="971"/>
      <c r="US18" s="971"/>
      <c r="UT18" s="971"/>
      <c r="UU18" s="971"/>
      <c r="UV18" s="971"/>
      <c r="UW18" s="971"/>
      <c r="UX18" s="971"/>
      <c r="UY18" s="971"/>
      <c r="UZ18" s="971"/>
      <c r="VA18" s="971"/>
      <c r="VB18" s="971"/>
      <c r="VC18" s="971"/>
      <c r="VD18" s="971"/>
      <c r="VE18" s="971"/>
      <c r="VF18" s="971"/>
      <c r="VG18" s="971"/>
      <c r="VH18" s="971"/>
      <c r="VI18" s="971"/>
      <c r="VJ18" s="971"/>
      <c r="VK18" s="971"/>
      <c r="VL18" s="971"/>
      <c r="VM18" s="971"/>
      <c r="VN18" s="971"/>
      <c r="VO18" s="971"/>
      <c r="VP18" s="971"/>
      <c r="VQ18" s="971"/>
      <c r="VR18" s="971"/>
      <c r="VS18" s="971"/>
      <c r="VT18" s="971"/>
      <c r="VU18" s="971"/>
      <c r="VV18" s="971"/>
      <c r="VW18" s="971"/>
      <c r="VX18" s="971"/>
      <c r="VY18" s="971"/>
      <c r="VZ18" s="971"/>
      <c r="WA18" s="971"/>
      <c r="WB18" s="971"/>
      <c r="WC18" s="971"/>
      <c r="WD18" s="971"/>
      <c r="WE18" s="971"/>
      <c r="WF18" s="971"/>
      <c r="WG18" s="971"/>
      <c r="WH18" s="971"/>
      <c r="WI18" s="971"/>
      <c r="WJ18" s="971"/>
      <c r="WK18" s="971"/>
      <c r="WL18" s="971"/>
      <c r="WM18" s="971"/>
      <c r="WN18" s="971"/>
      <c r="WO18" s="971"/>
      <c r="WP18" s="971"/>
      <c r="WQ18" s="971"/>
      <c r="WR18" s="971"/>
      <c r="WS18" s="971"/>
      <c r="WT18" s="971"/>
      <c r="WU18" s="971"/>
      <c r="WV18" s="971"/>
      <c r="WW18" s="971"/>
      <c r="WX18" s="971"/>
      <c r="WY18" s="971"/>
      <c r="WZ18" s="971"/>
      <c r="XA18" s="971"/>
      <c r="XB18" s="971"/>
      <c r="XC18" s="971"/>
      <c r="XD18" s="971"/>
      <c r="XE18" s="971"/>
      <c r="XF18" s="971"/>
      <c r="XG18" s="971"/>
      <c r="XH18" s="971"/>
      <c r="XI18" s="971"/>
      <c r="XJ18" s="971"/>
      <c r="XK18" s="971"/>
      <c r="XL18" s="971"/>
      <c r="XM18" s="971"/>
      <c r="XN18" s="971"/>
      <c r="XO18" s="971"/>
      <c r="XP18" s="971"/>
      <c r="XQ18" s="971"/>
      <c r="XR18" s="971"/>
      <c r="XS18" s="971"/>
      <c r="XT18" s="971"/>
      <c r="XU18" s="971"/>
      <c r="XV18" s="971"/>
      <c r="XW18" s="971"/>
      <c r="XX18" s="971"/>
      <c r="XY18" s="971"/>
      <c r="XZ18" s="971"/>
      <c r="YA18" s="971"/>
      <c r="YB18" s="971"/>
      <c r="YC18" s="971"/>
      <c r="YD18" s="971"/>
      <c r="YE18" s="971"/>
      <c r="YF18" s="971"/>
      <c r="YG18" s="971"/>
      <c r="YH18" s="971"/>
      <c r="YI18" s="971"/>
      <c r="YJ18" s="971"/>
      <c r="YK18" s="971"/>
      <c r="YL18" s="971"/>
      <c r="YM18" s="971"/>
      <c r="YN18" s="971"/>
      <c r="YO18" s="971"/>
      <c r="YP18" s="971"/>
      <c r="YQ18" s="971"/>
      <c r="YR18" s="971"/>
      <c r="YS18" s="971"/>
      <c r="YT18" s="971"/>
      <c r="YU18" s="971"/>
      <c r="YV18" s="971"/>
      <c r="YW18" s="971"/>
      <c r="YX18" s="971"/>
      <c r="YY18" s="971"/>
      <c r="YZ18" s="971"/>
      <c r="ZA18" s="971"/>
      <c r="ZB18" s="971"/>
      <c r="ZC18" s="971"/>
      <c r="ZD18" s="971"/>
      <c r="ZE18" s="971"/>
      <c r="ZF18" s="971"/>
      <c r="ZG18" s="971"/>
      <c r="ZH18" s="971"/>
      <c r="ZI18" s="971"/>
      <c r="ZJ18" s="971"/>
      <c r="ZK18" s="971"/>
      <c r="ZL18" s="971"/>
      <c r="ZM18" s="971"/>
      <c r="ZN18" s="971"/>
      <c r="ZO18" s="971"/>
      <c r="ZP18" s="971"/>
      <c r="ZQ18" s="971"/>
      <c r="ZR18" s="971"/>
      <c r="ZS18" s="971"/>
      <c r="ZT18" s="971"/>
      <c r="ZU18" s="971"/>
      <c r="ZV18" s="971"/>
      <c r="ZW18" s="971"/>
      <c r="ZX18" s="971"/>
      <c r="ZY18" s="971"/>
      <c r="ZZ18" s="971"/>
      <c r="AAA18" s="971"/>
      <c r="AAB18" s="971"/>
      <c r="AAC18" s="971"/>
      <c r="AAD18" s="971"/>
      <c r="AAE18" s="971"/>
      <c r="AAF18" s="971"/>
      <c r="AAG18" s="971"/>
      <c r="AAH18" s="971"/>
      <c r="AAI18" s="971"/>
      <c r="AAJ18" s="971"/>
      <c r="AAK18" s="971"/>
      <c r="AAL18" s="971"/>
      <c r="AAM18" s="971"/>
      <c r="AAN18" s="971"/>
      <c r="AAO18" s="971"/>
      <c r="AAP18" s="971"/>
      <c r="AAQ18" s="971"/>
      <c r="AAR18" s="971"/>
      <c r="AAS18" s="971"/>
      <c r="AAT18" s="971"/>
      <c r="AAU18" s="971"/>
      <c r="AAV18" s="971"/>
      <c r="AAW18" s="971"/>
      <c r="AAX18" s="971"/>
      <c r="AAY18" s="971"/>
      <c r="AAZ18" s="971"/>
      <c r="ABA18" s="971"/>
      <c r="ABB18" s="971"/>
      <c r="ABC18" s="971"/>
      <c r="ABD18" s="971"/>
      <c r="ABE18" s="971"/>
      <c r="ABF18" s="971"/>
      <c r="ABG18" s="971"/>
      <c r="ABH18" s="971"/>
      <c r="ABI18" s="971"/>
      <c r="ABJ18" s="971"/>
      <c r="ABK18" s="971"/>
      <c r="ABL18" s="971"/>
      <c r="ABM18" s="971"/>
      <c r="ABN18" s="971"/>
      <c r="ABO18" s="971"/>
      <c r="ABP18" s="971"/>
      <c r="ABQ18" s="971"/>
      <c r="ABR18" s="971"/>
      <c r="ABS18" s="971"/>
      <c r="ABT18" s="971"/>
      <c r="ABU18" s="971"/>
      <c r="ABV18" s="971"/>
      <c r="ABW18" s="971"/>
      <c r="ABX18" s="971"/>
      <c r="ABY18" s="971"/>
      <c r="ABZ18" s="971"/>
      <c r="ACA18" s="971"/>
      <c r="ACB18" s="971"/>
      <c r="ACC18" s="971"/>
      <c r="ACD18" s="971"/>
      <c r="ACE18" s="971"/>
      <c r="ACF18" s="971"/>
      <c r="ACG18" s="971"/>
      <c r="ACH18" s="971"/>
      <c r="ACI18" s="971"/>
      <c r="ACJ18" s="971"/>
      <c r="ACK18" s="971"/>
      <c r="ACL18" s="971"/>
      <c r="ACM18" s="971"/>
      <c r="ACN18" s="971"/>
      <c r="ACO18" s="971"/>
      <c r="ACP18" s="971"/>
      <c r="ACQ18" s="971"/>
      <c r="ACR18" s="971"/>
      <c r="ACS18" s="971"/>
      <c r="ACT18" s="971"/>
      <c r="ACU18" s="971"/>
      <c r="ACV18" s="971"/>
      <c r="ACW18" s="971"/>
      <c r="ACX18" s="971"/>
      <c r="ACY18" s="971"/>
      <c r="ACZ18" s="971"/>
      <c r="ADA18" s="971"/>
      <c r="ADB18" s="971"/>
      <c r="ADC18" s="971"/>
      <c r="ADD18" s="971"/>
      <c r="ADE18" s="971"/>
      <c r="ADF18" s="971"/>
      <c r="ADG18" s="971"/>
      <c r="ADH18" s="971"/>
      <c r="ADI18" s="971"/>
      <c r="ADJ18" s="971"/>
      <c r="ADK18" s="971"/>
      <c r="ADL18" s="971"/>
      <c r="ADM18" s="971"/>
      <c r="ADN18" s="971"/>
      <c r="ADO18" s="971"/>
      <c r="ADP18" s="971"/>
      <c r="ADQ18" s="971"/>
      <c r="ADR18" s="971"/>
      <c r="ADS18" s="971"/>
      <c r="ADT18" s="971"/>
      <c r="ADU18" s="971"/>
      <c r="ADV18" s="971"/>
      <c r="ADW18" s="971"/>
      <c r="ADX18" s="971"/>
      <c r="ADY18" s="971"/>
      <c r="ADZ18" s="971"/>
      <c r="AEA18" s="971"/>
      <c r="AEB18" s="971"/>
      <c r="AEC18" s="971"/>
      <c r="AED18" s="971"/>
      <c r="AEE18" s="971"/>
      <c r="AEF18" s="971"/>
      <c r="AEG18" s="971"/>
      <c r="AEH18" s="971"/>
      <c r="AEI18" s="971"/>
      <c r="AEJ18" s="971"/>
      <c r="AEK18" s="971"/>
      <c r="AEL18" s="971"/>
      <c r="AEM18" s="971"/>
      <c r="AEN18" s="971"/>
      <c r="AEO18" s="971"/>
      <c r="AEP18" s="971"/>
      <c r="AEQ18" s="971"/>
      <c r="AER18" s="971"/>
      <c r="AES18" s="971"/>
      <c r="AET18" s="971"/>
      <c r="AEU18" s="971"/>
      <c r="AEV18" s="971"/>
      <c r="AEW18" s="971"/>
      <c r="AEX18" s="971"/>
      <c r="AEY18" s="971"/>
      <c r="AEZ18" s="971"/>
      <c r="AFA18" s="971"/>
      <c r="AFB18" s="971"/>
      <c r="AFC18" s="971"/>
      <c r="AFD18" s="971"/>
      <c r="AFE18" s="971"/>
      <c r="AFF18" s="971"/>
      <c r="AFG18" s="971"/>
      <c r="AFH18" s="971"/>
      <c r="AFI18" s="971"/>
      <c r="AFJ18" s="971"/>
      <c r="AFK18" s="971"/>
      <c r="AFL18" s="971"/>
      <c r="AFM18" s="971"/>
      <c r="AFN18" s="971"/>
      <c r="AFO18" s="971"/>
      <c r="AFP18" s="971"/>
      <c r="AFQ18" s="971"/>
      <c r="AFR18" s="971"/>
      <c r="AFS18" s="971"/>
      <c r="AFT18" s="971"/>
      <c r="AFU18" s="971"/>
      <c r="AFV18" s="971"/>
      <c r="AFW18" s="971"/>
      <c r="AFX18" s="971"/>
      <c r="AFY18" s="971"/>
      <c r="AFZ18" s="971"/>
      <c r="AGA18" s="971"/>
      <c r="AGB18" s="971"/>
      <c r="AGC18" s="971"/>
      <c r="AGD18" s="971"/>
      <c r="AGE18" s="971"/>
      <c r="AGF18" s="971"/>
      <c r="AGG18" s="971"/>
      <c r="AGH18" s="971"/>
      <c r="AGI18" s="971"/>
      <c r="AGJ18" s="971"/>
      <c r="AGK18" s="971"/>
      <c r="AGL18" s="971"/>
      <c r="AGM18" s="971"/>
      <c r="AGN18" s="971"/>
      <c r="AGO18" s="971"/>
      <c r="AGP18" s="971"/>
      <c r="AGQ18" s="971"/>
      <c r="AGR18" s="971"/>
      <c r="AGS18" s="971"/>
      <c r="AGT18" s="971"/>
      <c r="AGU18" s="971"/>
      <c r="AGV18" s="971"/>
      <c r="AGW18" s="971"/>
      <c r="AGX18" s="971"/>
      <c r="AGY18" s="971"/>
      <c r="AGZ18" s="971"/>
      <c r="AHA18" s="971"/>
      <c r="AHB18" s="971"/>
      <c r="AHC18" s="971"/>
      <c r="AHD18" s="971"/>
      <c r="AHE18" s="971"/>
      <c r="AHF18" s="971"/>
      <c r="AHG18" s="971"/>
      <c r="AHH18" s="971"/>
      <c r="AHI18" s="971"/>
      <c r="AHJ18" s="971"/>
      <c r="AHK18" s="971"/>
      <c r="AHL18" s="971"/>
      <c r="AHM18" s="971"/>
      <c r="AHN18" s="971"/>
      <c r="AHO18" s="971"/>
      <c r="AHP18" s="971"/>
      <c r="AHQ18" s="971"/>
      <c r="AHR18" s="971"/>
      <c r="AHS18" s="971"/>
      <c r="AHT18" s="971"/>
      <c r="AHU18" s="971"/>
      <c r="AHV18" s="971"/>
      <c r="AHW18" s="971"/>
      <c r="AHX18" s="971"/>
      <c r="AHY18" s="971"/>
      <c r="AHZ18" s="971"/>
      <c r="AIA18" s="971"/>
      <c r="AIB18" s="971"/>
      <c r="AIC18" s="971"/>
      <c r="AID18" s="971"/>
      <c r="AIE18" s="971"/>
      <c r="AIF18" s="971"/>
      <c r="AIG18" s="971"/>
      <c r="AIH18" s="971"/>
      <c r="AII18" s="971"/>
      <c r="AIJ18" s="971"/>
      <c r="AIK18" s="971"/>
      <c r="AIL18" s="971"/>
      <c r="AIM18" s="971"/>
      <c r="AIN18" s="971"/>
      <c r="AIO18" s="971"/>
      <c r="AIP18" s="971"/>
      <c r="AIQ18" s="971"/>
      <c r="AIR18" s="971"/>
      <c r="AIS18" s="971"/>
      <c r="AIT18" s="971"/>
      <c r="AIU18" s="971"/>
      <c r="AIV18" s="971"/>
      <c r="AIW18" s="971"/>
      <c r="AIX18" s="971"/>
      <c r="AIY18" s="971"/>
      <c r="AIZ18" s="971"/>
      <c r="AJA18" s="971"/>
      <c r="AJB18" s="971"/>
      <c r="AJC18" s="971"/>
      <c r="AJD18" s="971"/>
      <c r="AJE18" s="971"/>
      <c r="AJF18" s="971"/>
      <c r="AJG18" s="971"/>
      <c r="AJH18" s="971"/>
      <c r="AJI18" s="971"/>
      <c r="AJJ18" s="971"/>
      <c r="AJK18" s="971"/>
      <c r="AJL18" s="971"/>
      <c r="AJM18" s="971"/>
      <c r="AJN18" s="971"/>
      <c r="AJO18" s="971"/>
      <c r="AJP18" s="971"/>
      <c r="AJQ18" s="971"/>
      <c r="AJR18" s="971"/>
      <c r="AJS18" s="971"/>
      <c r="AJT18" s="971"/>
      <c r="AJU18" s="971"/>
      <c r="AJV18" s="971"/>
      <c r="AJW18" s="971"/>
      <c r="AJX18" s="971"/>
      <c r="AJY18" s="971"/>
      <c r="AJZ18" s="971"/>
      <c r="AKA18" s="971"/>
      <c r="AKB18" s="971"/>
      <c r="AKC18" s="971"/>
      <c r="AKD18" s="971"/>
      <c r="AKE18" s="971"/>
      <c r="AKF18" s="971"/>
      <c r="AKG18" s="971"/>
      <c r="AKH18" s="971"/>
      <c r="AKI18" s="971"/>
      <c r="AKJ18" s="971"/>
      <c r="AKK18" s="971"/>
      <c r="AKL18" s="971"/>
      <c r="AKM18" s="971"/>
      <c r="AKN18" s="971"/>
      <c r="AKO18" s="971"/>
      <c r="AKP18" s="971"/>
      <c r="AKQ18" s="971"/>
      <c r="AKR18" s="971"/>
      <c r="AKS18" s="971"/>
      <c r="AKT18" s="971"/>
      <c r="AKU18" s="971"/>
      <c r="AKV18" s="971"/>
      <c r="AKW18" s="971"/>
      <c r="AKX18" s="971"/>
      <c r="AKY18" s="971"/>
      <c r="AKZ18" s="971"/>
      <c r="ALA18" s="971"/>
      <c r="ALB18" s="971"/>
      <c r="ALC18" s="971"/>
      <c r="ALD18" s="971"/>
      <c r="ALE18" s="971"/>
      <c r="ALF18" s="971"/>
      <c r="ALG18" s="971"/>
      <c r="ALH18" s="971"/>
      <c r="ALI18" s="971"/>
      <c r="ALJ18" s="971"/>
      <c r="ALK18" s="971"/>
      <c r="ALL18" s="971"/>
    </row>
    <row r="19" s="929" customFormat="1" ht="13.5" customHeight="1" hidden="1">
      <c r="A19" s="971"/>
      <c r="B19" s="971"/>
      <c r="C19" s="971"/>
      <c r="D19" s="971"/>
      <c r="E19" s="971"/>
      <c r="F19" s="971"/>
      <c r="G19" s="971"/>
      <c r="H19" s="971"/>
      <c r="I19" s="971"/>
      <c r="J19" s="971"/>
      <c r="K19" s="971"/>
      <c r="L19" s="971"/>
      <c r="M19" s="971"/>
      <c r="N19" s="971"/>
      <c r="O19" s="971"/>
      <c r="P19" s="971"/>
      <c r="Q19" s="971"/>
      <c r="R19" s="971"/>
      <c r="S19" s="971"/>
      <c r="T19" s="971"/>
      <c r="U19" s="971"/>
      <c r="V19" s="971"/>
      <c r="W19" s="971"/>
      <c r="X19" s="971"/>
      <c r="Y19" s="971"/>
      <c r="Z19" s="971"/>
      <c r="AA19" s="971"/>
      <c r="AB19" s="971"/>
      <c r="AC19" s="971"/>
      <c r="AD19" s="971"/>
      <c r="AE19" s="971"/>
      <c r="AF19" s="971"/>
      <c r="AG19" s="971"/>
      <c r="AH19" s="971"/>
      <c r="AI19" s="971"/>
      <c r="AJ19" s="971"/>
      <c r="AK19" s="971"/>
      <c r="AL19" s="971"/>
      <c r="AM19" s="971"/>
      <c r="AN19" s="971"/>
      <c r="AO19" s="971"/>
      <c r="AP19" s="971"/>
      <c r="AQ19" s="971"/>
      <c r="AR19" s="971"/>
      <c r="AS19" s="971"/>
      <c r="AT19" s="971"/>
      <c r="AU19" s="971"/>
      <c r="AV19" s="971"/>
      <c r="AW19" s="971"/>
      <c r="AX19" s="971"/>
      <c r="AY19" s="971"/>
      <c r="AZ19" s="971"/>
      <c r="BA19" s="971"/>
      <c r="BB19" s="971"/>
      <c r="BC19" s="971"/>
      <c r="BD19" s="971"/>
      <c r="BE19" s="971"/>
      <c r="BF19" s="971"/>
      <c r="BG19" s="971"/>
      <c r="BH19" s="971"/>
      <c r="BI19" s="971"/>
      <c r="BJ19" s="971"/>
      <c r="BK19" s="971"/>
      <c r="BL19" s="971"/>
      <c r="BM19" s="971"/>
      <c r="BN19" s="971"/>
      <c r="BO19" s="971"/>
      <c r="BP19" s="971"/>
      <c r="BQ19" s="971"/>
      <c r="BR19" s="971"/>
      <c r="BS19" s="971"/>
      <c r="BT19" s="971"/>
      <c r="BU19" s="971"/>
      <c r="BV19" s="971"/>
      <c r="BW19" s="971"/>
      <c r="BX19" s="971"/>
      <c r="BY19" s="971"/>
      <c r="BZ19" s="971"/>
      <c r="CA19" s="971"/>
      <c r="CB19" s="971"/>
      <c r="CC19" s="971"/>
      <c r="CD19" s="971"/>
      <c r="CE19" s="971"/>
      <c r="CF19" s="971"/>
      <c r="CG19" s="971"/>
      <c r="CH19" s="971"/>
      <c r="CI19" s="971"/>
      <c r="CJ19" s="971"/>
      <c r="CK19" s="971"/>
      <c r="CL19" s="971"/>
      <c r="CM19" s="971"/>
      <c r="CN19" s="971"/>
      <c r="CO19" s="971"/>
      <c r="CP19" s="971"/>
      <c r="CQ19" s="971"/>
      <c r="CR19" s="971"/>
      <c r="CS19" s="971"/>
      <c r="CT19" s="971"/>
      <c r="CU19" s="971"/>
      <c r="CV19" s="971"/>
      <c r="CW19" s="971"/>
      <c r="CX19" s="971"/>
      <c r="CY19" s="971"/>
      <c r="CZ19" s="971"/>
      <c r="DA19" s="971"/>
      <c r="DB19" s="971"/>
      <c r="DC19" s="971"/>
      <c r="DD19" s="971"/>
      <c r="DE19" s="971"/>
      <c r="DF19" s="971"/>
      <c r="DG19" s="971"/>
      <c r="DH19" s="971"/>
      <c r="DI19" s="971"/>
      <c r="DJ19" s="971"/>
      <c r="DK19" s="971"/>
      <c r="DL19" s="971"/>
      <c r="DM19" s="971"/>
      <c r="DN19" s="971"/>
      <c r="DO19" s="971"/>
      <c r="DP19" s="971"/>
      <c r="DQ19" s="971"/>
      <c r="DR19" s="971"/>
      <c r="DS19" s="971"/>
      <c r="DT19" s="971"/>
      <c r="DU19" s="971"/>
      <c r="DV19" s="971"/>
      <c r="DW19" s="971"/>
      <c r="DX19" s="971"/>
      <c r="DY19" s="971"/>
      <c r="DZ19" s="971"/>
      <c r="EA19" s="971"/>
      <c r="EB19" s="971"/>
      <c r="EC19" s="971"/>
      <c r="ED19" s="971"/>
      <c r="EE19" s="971"/>
      <c r="EF19" s="971"/>
      <c r="EG19" s="971"/>
      <c r="EH19" s="971"/>
      <c r="EI19" s="971"/>
      <c r="EJ19" s="971"/>
      <c r="EK19" s="971"/>
      <c r="EL19" s="971"/>
      <c r="EM19" s="971"/>
      <c r="EN19" s="971"/>
      <c r="EO19" s="971"/>
      <c r="EP19" s="971"/>
      <c r="EQ19" s="971"/>
      <c r="ER19" s="971"/>
      <c r="ES19" s="971"/>
      <c r="ET19" s="971"/>
      <c r="EU19" s="971"/>
      <c r="EV19" s="971"/>
      <c r="EW19" s="971"/>
      <c r="EX19" s="971"/>
      <c r="EY19" s="971"/>
      <c r="EZ19" s="971"/>
      <c r="FA19" s="971"/>
      <c r="FB19" s="971"/>
      <c r="FC19" s="971"/>
      <c r="FD19" s="971"/>
      <c r="FE19" s="971"/>
      <c r="FF19" s="971"/>
      <c r="FG19" s="971"/>
      <c r="FH19" s="971"/>
      <c r="FI19" s="971"/>
      <c r="FJ19" s="971"/>
      <c r="FK19" s="971"/>
      <c r="FL19" s="971"/>
      <c r="FM19" s="971"/>
      <c r="FN19" s="971"/>
      <c r="FO19" s="971"/>
      <c r="FP19" s="971"/>
      <c r="FQ19" s="971"/>
      <c r="FR19" s="971"/>
      <c r="FS19" s="971"/>
      <c r="FT19" s="971"/>
      <c r="FU19" s="971"/>
      <c r="FV19" s="971"/>
      <c r="FW19" s="971"/>
      <c r="FX19" s="971"/>
      <c r="FY19" s="971"/>
      <c r="FZ19" s="971"/>
      <c r="GA19" s="971"/>
      <c r="GB19" s="971"/>
      <c r="GC19" s="971"/>
      <c r="GD19" s="971"/>
      <c r="GE19" s="971"/>
      <c r="GF19" s="971"/>
      <c r="GG19" s="971"/>
      <c r="GH19" s="971"/>
      <c r="GI19" s="971"/>
      <c r="GJ19" s="971"/>
      <c r="GK19" s="971"/>
      <c r="GL19" s="971"/>
      <c r="GM19" s="971"/>
      <c r="GN19" s="971"/>
      <c r="GO19" s="971"/>
      <c r="GP19" s="971"/>
      <c r="GQ19" s="971"/>
      <c r="GR19" s="971"/>
      <c r="GS19" s="971"/>
      <c r="GT19" s="971"/>
      <c r="GU19" s="971"/>
      <c r="GV19" s="971"/>
      <c r="GW19" s="971"/>
      <c r="GX19" s="971"/>
      <c r="GY19" s="971"/>
      <c r="GZ19" s="971"/>
      <c r="HA19" s="971"/>
      <c r="HB19" s="971"/>
      <c r="HC19" s="971"/>
      <c r="HD19" s="971"/>
      <c r="HE19" s="971"/>
      <c r="HF19" s="971"/>
      <c r="HG19" s="971"/>
      <c r="HH19" s="971"/>
      <c r="HI19" s="971"/>
      <c r="HJ19" s="971"/>
      <c r="HK19" s="971"/>
      <c r="HL19" s="971"/>
      <c r="HM19" s="971"/>
      <c r="HN19" s="971"/>
      <c r="HO19" s="971"/>
      <c r="HP19" s="971"/>
      <c r="HQ19" s="971"/>
      <c r="HR19" s="971"/>
      <c r="HS19" s="971"/>
      <c r="HT19" s="971"/>
      <c r="HU19" s="971"/>
      <c r="HV19" s="971"/>
      <c r="HW19" s="971"/>
      <c r="HX19" s="971"/>
      <c r="HY19" s="971"/>
      <c r="HZ19" s="971"/>
      <c r="IA19" s="971"/>
      <c r="IB19" s="971"/>
      <c r="IC19" s="971"/>
      <c r="ID19" s="971"/>
      <c r="IE19" s="971"/>
      <c r="IF19" s="971"/>
      <c r="IG19" s="971"/>
      <c r="IH19" s="971"/>
      <c r="II19" s="971"/>
      <c r="IJ19" s="971"/>
      <c r="IK19" s="971"/>
      <c r="IL19" s="971"/>
      <c r="IM19" s="971"/>
      <c r="IN19" s="971"/>
      <c r="IO19" s="971"/>
      <c r="IP19" s="971"/>
      <c r="IQ19" s="971"/>
      <c r="IR19" s="971"/>
      <c r="IS19" s="971"/>
      <c r="IT19" s="971"/>
      <c r="IU19" s="971"/>
      <c r="IV19" s="971"/>
      <c r="IW19" s="971"/>
      <c r="IX19" s="971"/>
      <c r="IY19" s="971"/>
      <c r="IZ19" s="971"/>
      <c r="JA19" s="971"/>
      <c r="JB19" s="971"/>
      <c r="JC19" s="971"/>
      <c r="JD19" s="971"/>
      <c r="JE19" s="971"/>
      <c r="JF19" s="971"/>
      <c r="JG19" s="971"/>
      <c r="JH19" s="971"/>
      <c r="JI19" s="971"/>
      <c r="JJ19" s="971"/>
      <c r="JK19" s="971"/>
      <c r="JL19" s="971"/>
      <c r="JM19" s="971"/>
      <c r="JN19" s="971"/>
      <c r="JO19" s="971"/>
      <c r="JP19" s="971"/>
      <c r="JQ19" s="971"/>
      <c r="JR19" s="971"/>
      <c r="JS19" s="971"/>
      <c r="JT19" s="971"/>
      <c r="JU19" s="971"/>
      <c r="JV19" s="971"/>
      <c r="JW19" s="971"/>
      <c r="JX19" s="971"/>
      <c r="JY19" s="971"/>
      <c r="JZ19" s="971"/>
      <c r="KA19" s="971"/>
      <c r="KB19" s="971"/>
      <c r="KC19" s="971"/>
      <c r="KD19" s="971"/>
      <c r="KE19" s="971"/>
      <c r="KF19" s="971"/>
      <c r="KG19" s="971"/>
      <c r="KH19" s="971"/>
      <c r="KI19" s="971"/>
      <c r="KJ19" s="971"/>
      <c r="KK19" s="971"/>
      <c r="KL19" s="971"/>
      <c r="KM19" s="971"/>
      <c r="KN19" s="971"/>
      <c r="KO19" s="971"/>
      <c r="KP19" s="971"/>
      <c r="KQ19" s="971"/>
      <c r="KR19" s="971"/>
      <c r="KS19" s="971"/>
      <c r="KT19" s="971"/>
      <c r="KU19" s="971"/>
      <c r="KV19" s="971"/>
      <c r="KW19" s="971"/>
      <c r="KX19" s="971"/>
      <c r="KY19" s="971"/>
      <c r="KZ19" s="971"/>
      <c r="LA19" s="971"/>
      <c r="LB19" s="971"/>
      <c r="LC19" s="971"/>
      <c r="LD19" s="971"/>
      <c r="LE19" s="971"/>
      <c r="LF19" s="971"/>
      <c r="LG19" s="971"/>
      <c r="LH19" s="971"/>
      <c r="LI19" s="971"/>
      <c r="LJ19" s="971"/>
      <c r="LK19" s="971"/>
      <c r="LL19" s="971"/>
      <c r="LM19" s="971"/>
      <c r="LN19" s="971"/>
      <c r="LO19" s="971"/>
      <c r="LP19" s="971"/>
      <c r="LQ19" s="971"/>
      <c r="LR19" s="971"/>
      <c r="LS19" s="971"/>
      <c r="LT19" s="971"/>
      <c r="LU19" s="971"/>
      <c r="LV19" s="971"/>
      <c r="LW19" s="971"/>
      <c r="LX19" s="971"/>
      <c r="LY19" s="971"/>
      <c r="LZ19" s="971"/>
      <c r="MA19" s="971"/>
      <c r="MB19" s="971"/>
      <c r="MC19" s="971"/>
      <c r="MD19" s="971"/>
      <c r="ME19" s="971"/>
      <c r="MF19" s="971"/>
      <c r="MG19" s="971"/>
      <c r="MH19" s="971"/>
      <c r="MI19" s="971"/>
      <c r="MJ19" s="971"/>
      <c r="MK19" s="971"/>
      <c r="ML19" s="971"/>
      <c r="MM19" s="971"/>
      <c r="MN19" s="971"/>
      <c r="MO19" s="971"/>
      <c r="MP19" s="971"/>
      <c r="MQ19" s="971"/>
      <c r="MR19" s="971"/>
      <c r="MS19" s="971"/>
      <c r="MT19" s="971"/>
      <c r="MU19" s="971"/>
      <c r="MV19" s="971"/>
      <c r="MW19" s="971"/>
      <c r="MX19" s="971"/>
      <c r="MY19" s="971"/>
      <c r="MZ19" s="971"/>
      <c r="NA19" s="971"/>
      <c r="NB19" s="971"/>
      <c r="NC19" s="971"/>
      <c r="ND19" s="971"/>
      <c r="NE19" s="971"/>
      <c r="NF19" s="971"/>
      <c r="NG19" s="971"/>
      <c r="NH19" s="971"/>
      <c r="NI19" s="971"/>
      <c r="NJ19" s="971"/>
      <c r="NK19" s="971"/>
      <c r="NL19" s="971"/>
      <c r="NM19" s="971"/>
      <c r="NN19" s="971"/>
      <c r="NO19" s="971"/>
      <c r="NP19" s="971"/>
      <c r="NQ19" s="971"/>
      <c r="NR19" s="971"/>
      <c r="NS19" s="971"/>
      <c r="NT19" s="971"/>
      <c r="NU19" s="971"/>
      <c r="NV19" s="971"/>
      <c r="NW19" s="971"/>
      <c r="NX19" s="971"/>
      <c r="NY19" s="971"/>
      <c r="NZ19" s="971"/>
      <c r="OA19" s="971"/>
      <c r="OB19" s="971"/>
      <c r="OC19" s="971"/>
      <c r="OD19" s="971"/>
      <c r="OE19" s="971"/>
      <c r="OF19" s="971"/>
      <c r="OG19" s="971"/>
      <c r="OH19" s="971"/>
      <c r="OI19" s="971"/>
      <c r="OJ19" s="971"/>
      <c r="OK19" s="971"/>
      <c r="OL19" s="971"/>
      <c r="OM19" s="971"/>
      <c r="ON19" s="971"/>
      <c r="OO19" s="971"/>
      <c r="OP19" s="971"/>
      <c r="OQ19" s="971"/>
      <c r="OR19" s="971"/>
      <c r="OS19" s="971"/>
      <c r="OT19" s="971"/>
      <c r="OU19" s="971"/>
      <c r="OV19" s="971"/>
      <c r="OW19" s="971"/>
      <c r="OX19" s="971"/>
      <c r="OY19" s="971"/>
      <c r="OZ19" s="971"/>
      <c r="PA19" s="971"/>
      <c r="PB19" s="971"/>
      <c r="PC19" s="971"/>
      <c r="PD19" s="971"/>
      <c r="PE19" s="971"/>
      <c r="PF19" s="971"/>
      <c r="PG19" s="971"/>
      <c r="PH19" s="971"/>
      <c r="PI19" s="971"/>
      <c r="PJ19" s="971"/>
      <c r="PK19" s="971"/>
      <c r="PL19" s="971"/>
      <c r="PM19" s="971"/>
      <c r="PN19" s="971"/>
      <c r="PO19" s="971"/>
      <c r="PP19" s="971"/>
      <c r="PQ19" s="971"/>
      <c r="PR19" s="971"/>
      <c r="PS19" s="971"/>
      <c r="PT19" s="971"/>
      <c r="PU19" s="971"/>
      <c r="PV19" s="971"/>
      <c r="PW19" s="971"/>
      <c r="PX19" s="971"/>
      <c r="PY19" s="971"/>
      <c r="PZ19" s="971"/>
      <c r="QA19" s="971"/>
      <c r="QB19" s="971"/>
      <c r="QC19" s="971"/>
      <c r="QD19" s="971"/>
      <c r="QE19" s="971"/>
      <c r="QF19" s="971"/>
      <c r="QG19" s="971"/>
      <c r="QH19" s="971"/>
      <c r="QI19" s="971"/>
      <c r="QJ19" s="971"/>
      <c r="QK19" s="971"/>
      <c r="QL19" s="971"/>
      <c r="QM19" s="971"/>
      <c r="QN19" s="971"/>
      <c r="QO19" s="971"/>
      <c r="QP19" s="971"/>
      <c r="QQ19" s="971"/>
      <c r="QR19" s="971"/>
      <c r="QS19" s="971"/>
      <c r="QT19" s="971"/>
      <c r="QU19" s="971"/>
      <c r="QV19" s="971"/>
      <c r="QW19" s="971"/>
      <c r="QX19" s="971"/>
      <c r="QY19" s="971"/>
      <c r="QZ19" s="971"/>
      <c r="RA19" s="971"/>
      <c r="RB19" s="971"/>
      <c r="RC19" s="971"/>
      <c r="RD19" s="971"/>
      <c r="RE19" s="971"/>
      <c r="RF19" s="971"/>
      <c r="RG19" s="971"/>
      <c r="RH19" s="971"/>
      <c r="RI19" s="971"/>
      <c r="RJ19" s="971"/>
      <c r="RK19" s="971"/>
      <c r="RL19" s="971"/>
      <c r="RM19" s="971"/>
      <c r="RN19" s="971"/>
      <c r="RO19" s="971"/>
      <c r="RP19" s="971"/>
      <c r="RQ19" s="971"/>
      <c r="RR19" s="971"/>
      <c r="RS19" s="971"/>
      <c r="RT19" s="971"/>
      <c r="RU19" s="971"/>
      <c r="RV19" s="971"/>
      <c r="RW19" s="971"/>
      <c r="RX19" s="971"/>
      <c r="RY19" s="971"/>
      <c r="RZ19" s="971"/>
      <c r="SA19" s="971"/>
      <c r="SB19" s="971"/>
      <c r="SC19" s="971"/>
      <c r="SD19" s="971"/>
      <c r="SE19" s="971"/>
      <c r="SF19" s="971"/>
      <c r="SG19" s="971"/>
      <c r="SH19" s="971"/>
      <c r="SI19" s="971"/>
      <c r="SJ19" s="971"/>
      <c r="SK19" s="971"/>
      <c r="SL19" s="971"/>
      <c r="SM19" s="971"/>
      <c r="SN19" s="971"/>
      <c r="SO19" s="971"/>
      <c r="SP19" s="971"/>
      <c r="SQ19" s="971"/>
      <c r="SR19" s="971"/>
      <c r="SS19" s="971"/>
      <c r="ST19" s="971"/>
      <c r="SU19" s="971"/>
      <c r="SV19" s="971"/>
      <c r="SW19" s="971"/>
      <c r="SX19" s="971"/>
      <c r="SY19" s="971"/>
      <c r="SZ19" s="971"/>
      <c r="TA19" s="971"/>
      <c r="TB19" s="971"/>
      <c r="TC19" s="971"/>
      <c r="TD19" s="971"/>
      <c r="TE19" s="971"/>
      <c r="TF19" s="971"/>
      <c r="TG19" s="971"/>
      <c r="TH19" s="971"/>
      <c r="TI19" s="971"/>
      <c r="TJ19" s="971"/>
      <c r="TK19" s="971"/>
      <c r="TL19" s="971"/>
      <c r="TM19" s="971"/>
      <c r="TN19" s="971"/>
      <c r="TO19" s="971"/>
      <c r="TP19" s="971"/>
      <c r="TQ19" s="971"/>
      <c r="TR19" s="971"/>
      <c r="TS19" s="971"/>
      <c r="TT19" s="971"/>
      <c r="TU19" s="971"/>
      <c r="TV19" s="971"/>
      <c r="TW19" s="971"/>
      <c r="TX19" s="971"/>
      <c r="TY19" s="971"/>
      <c r="TZ19" s="971"/>
      <c r="UA19" s="971"/>
      <c r="UB19" s="971"/>
      <c r="UC19" s="971"/>
      <c r="UD19" s="971"/>
      <c r="UE19" s="971"/>
      <c r="UF19" s="971"/>
      <c r="UG19" s="971"/>
      <c r="UH19" s="971"/>
      <c r="UI19" s="971"/>
      <c r="UJ19" s="971"/>
      <c r="UK19" s="971"/>
      <c r="UL19" s="971"/>
      <c r="UM19" s="971"/>
      <c r="UN19" s="971"/>
      <c r="UO19" s="971"/>
      <c r="UP19" s="971"/>
      <c r="UQ19" s="971"/>
      <c r="UR19" s="971"/>
      <c r="US19" s="971"/>
      <c r="UT19" s="971"/>
      <c r="UU19" s="971"/>
      <c r="UV19" s="971"/>
      <c r="UW19" s="971"/>
      <c r="UX19" s="971"/>
      <c r="UY19" s="971"/>
      <c r="UZ19" s="971"/>
      <c r="VA19" s="971"/>
      <c r="VB19" s="971"/>
      <c r="VC19" s="971"/>
      <c r="VD19" s="971"/>
      <c r="VE19" s="971"/>
      <c r="VF19" s="971"/>
      <c r="VG19" s="971"/>
      <c r="VH19" s="971"/>
      <c r="VI19" s="971"/>
      <c r="VJ19" s="971"/>
      <c r="VK19" s="971"/>
      <c r="VL19" s="971"/>
      <c r="VM19" s="971"/>
      <c r="VN19" s="971"/>
      <c r="VO19" s="971"/>
      <c r="VP19" s="971"/>
      <c r="VQ19" s="971"/>
      <c r="VR19" s="971"/>
      <c r="VS19" s="971"/>
      <c r="VT19" s="971"/>
      <c r="VU19" s="971"/>
      <c r="VV19" s="971"/>
      <c r="VW19" s="971"/>
      <c r="VX19" s="971"/>
      <c r="VY19" s="971"/>
      <c r="VZ19" s="971"/>
      <c r="WA19" s="971"/>
      <c r="WB19" s="971"/>
      <c r="WC19" s="971"/>
      <c r="WD19" s="971"/>
      <c r="WE19" s="971"/>
      <c r="WF19" s="971"/>
      <c r="WG19" s="971"/>
      <c r="WH19" s="971"/>
      <c r="WI19" s="971"/>
      <c r="WJ19" s="971"/>
      <c r="WK19" s="971"/>
      <c r="WL19" s="971"/>
      <c r="WM19" s="971"/>
      <c r="WN19" s="971"/>
      <c r="WO19" s="971"/>
      <c r="WP19" s="971"/>
      <c r="WQ19" s="971"/>
      <c r="WR19" s="971"/>
      <c r="WS19" s="971"/>
      <c r="WT19" s="971"/>
      <c r="WU19" s="971"/>
      <c r="WV19" s="971"/>
      <c r="WW19" s="971"/>
      <c r="WX19" s="971"/>
      <c r="WY19" s="971"/>
      <c r="WZ19" s="971"/>
      <c r="XA19" s="971"/>
      <c r="XB19" s="971"/>
      <c r="XC19" s="971"/>
      <c r="XD19" s="971"/>
      <c r="XE19" s="971"/>
      <c r="XF19" s="971"/>
      <c r="XG19" s="971"/>
      <c r="XH19" s="971"/>
      <c r="XI19" s="971"/>
      <c r="XJ19" s="971"/>
      <c r="XK19" s="971"/>
      <c r="XL19" s="971"/>
      <c r="XM19" s="971"/>
      <c r="XN19" s="971"/>
      <c r="XO19" s="971"/>
      <c r="XP19" s="971"/>
      <c r="XQ19" s="971"/>
      <c r="XR19" s="971"/>
      <c r="XS19" s="971"/>
      <c r="XT19" s="971"/>
      <c r="XU19" s="971"/>
      <c r="XV19" s="971"/>
      <c r="XW19" s="971"/>
      <c r="XX19" s="971"/>
      <c r="XY19" s="971"/>
      <c r="XZ19" s="971"/>
      <c r="YA19" s="971"/>
      <c r="YB19" s="971"/>
      <c r="YC19" s="971"/>
      <c r="YD19" s="971"/>
      <c r="YE19" s="971"/>
      <c r="YF19" s="971"/>
      <c r="YG19" s="971"/>
      <c r="YH19" s="971"/>
      <c r="YI19" s="971"/>
      <c r="YJ19" s="971"/>
      <c r="YK19" s="971"/>
      <c r="YL19" s="971"/>
      <c r="YM19" s="971"/>
      <c r="YN19" s="971"/>
      <c r="YO19" s="971"/>
      <c r="YP19" s="971"/>
      <c r="YQ19" s="971"/>
      <c r="YR19" s="971"/>
      <c r="YS19" s="971"/>
      <c r="YT19" s="971"/>
      <c r="YU19" s="971"/>
      <c r="YV19" s="971"/>
      <c r="YW19" s="971"/>
      <c r="YX19" s="971"/>
      <c r="YY19" s="971"/>
      <c r="YZ19" s="971"/>
      <c r="ZA19" s="971"/>
      <c r="ZB19" s="971"/>
      <c r="ZC19" s="971"/>
      <c r="ZD19" s="971"/>
      <c r="ZE19" s="971"/>
      <c r="ZF19" s="971"/>
      <c r="ZG19" s="971"/>
      <c r="ZH19" s="971"/>
      <c r="ZI19" s="971"/>
      <c r="ZJ19" s="971"/>
      <c r="ZK19" s="971"/>
      <c r="ZL19" s="971"/>
      <c r="ZM19" s="971"/>
      <c r="ZN19" s="971"/>
      <c r="ZO19" s="971"/>
      <c r="ZP19" s="971"/>
      <c r="ZQ19" s="971"/>
      <c r="ZR19" s="971"/>
      <c r="ZS19" s="971"/>
      <c r="ZT19" s="971"/>
      <c r="ZU19" s="971"/>
      <c r="ZV19" s="971"/>
      <c r="ZW19" s="971"/>
      <c r="ZX19" s="971"/>
      <c r="ZY19" s="971"/>
      <c r="ZZ19" s="971"/>
      <c r="AAA19" s="971"/>
      <c r="AAB19" s="971"/>
      <c r="AAC19" s="971"/>
      <c r="AAD19" s="971"/>
      <c r="AAE19" s="971"/>
      <c r="AAF19" s="971"/>
      <c r="AAG19" s="971"/>
      <c r="AAH19" s="971"/>
      <c r="AAI19" s="971"/>
      <c r="AAJ19" s="971"/>
      <c r="AAK19" s="971"/>
      <c r="AAL19" s="971"/>
      <c r="AAM19" s="971"/>
      <c r="AAN19" s="971"/>
      <c r="AAO19" s="971"/>
      <c r="AAP19" s="971"/>
      <c r="AAQ19" s="971"/>
      <c r="AAR19" s="971"/>
      <c r="AAS19" s="971"/>
      <c r="AAT19" s="971"/>
      <c r="AAU19" s="971"/>
      <c r="AAV19" s="971"/>
      <c r="AAW19" s="971"/>
      <c r="AAX19" s="971"/>
      <c r="AAY19" s="971"/>
      <c r="AAZ19" s="971"/>
      <c r="ABA19" s="971"/>
      <c r="ABB19" s="971"/>
      <c r="ABC19" s="971"/>
      <c r="ABD19" s="971"/>
      <c r="ABE19" s="971"/>
      <c r="ABF19" s="971"/>
      <c r="ABG19" s="971"/>
      <c r="ABH19" s="971"/>
      <c r="ABI19" s="971"/>
      <c r="ABJ19" s="971"/>
      <c r="ABK19" s="971"/>
      <c r="ABL19" s="971"/>
      <c r="ABM19" s="971"/>
      <c r="ABN19" s="971"/>
      <c r="ABO19" s="971"/>
      <c r="ABP19" s="971"/>
      <c r="ABQ19" s="971"/>
      <c r="ABR19" s="971"/>
      <c r="ABS19" s="971"/>
      <c r="ABT19" s="971"/>
      <c r="ABU19" s="971"/>
      <c r="ABV19" s="971"/>
      <c r="ABW19" s="971"/>
      <c r="ABX19" s="971"/>
      <c r="ABY19" s="971"/>
      <c r="ABZ19" s="971"/>
      <c r="ACA19" s="971"/>
      <c r="ACB19" s="971"/>
      <c r="ACC19" s="971"/>
      <c r="ACD19" s="971"/>
      <c r="ACE19" s="971"/>
      <c r="ACF19" s="971"/>
      <c r="ACG19" s="971"/>
      <c r="ACH19" s="971"/>
      <c r="ACI19" s="971"/>
      <c r="ACJ19" s="971"/>
      <c r="ACK19" s="971"/>
      <c r="ACL19" s="971"/>
      <c r="ACM19" s="971"/>
      <c r="ACN19" s="971"/>
      <c r="ACO19" s="971"/>
      <c r="ACP19" s="971"/>
      <c r="ACQ19" s="971"/>
      <c r="ACR19" s="971"/>
      <c r="ACS19" s="971"/>
      <c r="ACT19" s="971"/>
      <c r="ACU19" s="971"/>
      <c r="ACV19" s="971"/>
      <c r="ACW19" s="971"/>
      <c r="ACX19" s="971"/>
      <c r="ACY19" s="971"/>
      <c r="ACZ19" s="971"/>
      <c r="ADA19" s="971"/>
      <c r="ADB19" s="971"/>
      <c r="ADC19" s="971"/>
      <c r="ADD19" s="971"/>
      <c r="ADE19" s="971"/>
      <c r="ADF19" s="971"/>
      <c r="ADG19" s="971"/>
      <c r="ADH19" s="971"/>
      <c r="ADI19" s="971"/>
      <c r="ADJ19" s="971"/>
      <c r="ADK19" s="971"/>
      <c r="ADL19" s="971"/>
      <c r="ADM19" s="971"/>
      <c r="ADN19" s="971"/>
      <c r="ADO19" s="971"/>
      <c r="ADP19" s="971"/>
      <c r="ADQ19" s="971"/>
      <c r="ADR19" s="971"/>
      <c r="ADS19" s="971"/>
      <c r="ADT19" s="971"/>
      <c r="ADU19" s="971"/>
      <c r="ADV19" s="971"/>
      <c r="ADW19" s="971"/>
      <c r="ADX19" s="971"/>
      <c r="ADY19" s="971"/>
      <c r="ADZ19" s="971"/>
      <c r="AEA19" s="971"/>
      <c r="AEB19" s="971"/>
      <c r="AEC19" s="971"/>
      <c r="AED19" s="971"/>
      <c r="AEE19" s="971"/>
      <c r="AEF19" s="971"/>
      <c r="AEG19" s="971"/>
      <c r="AEH19" s="971"/>
      <c r="AEI19" s="971"/>
      <c r="AEJ19" s="971"/>
      <c r="AEK19" s="971"/>
      <c r="AEL19" s="971"/>
      <c r="AEM19" s="971"/>
      <c r="AEN19" s="971"/>
      <c r="AEO19" s="971"/>
      <c r="AEP19" s="971"/>
      <c r="AEQ19" s="971"/>
      <c r="AER19" s="971"/>
      <c r="AES19" s="971"/>
      <c r="AET19" s="971"/>
      <c r="AEU19" s="971"/>
      <c r="AEV19" s="971"/>
      <c r="AEW19" s="971"/>
      <c r="AEX19" s="971"/>
      <c r="AEY19" s="971"/>
      <c r="AEZ19" s="971"/>
      <c r="AFA19" s="971"/>
      <c r="AFB19" s="971"/>
      <c r="AFC19" s="971"/>
      <c r="AFD19" s="971"/>
      <c r="AFE19" s="971"/>
      <c r="AFF19" s="971"/>
      <c r="AFG19" s="971"/>
      <c r="AFH19" s="971"/>
      <c r="AFI19" s="971"/>
      <c r="AFJ19" s="971"/>
      <c r="AFK19" s="971"/>
      <c r="AFL19" s="971"/>
      <c r="AFM19" s="971"/>
      <c r="AFN19" s="971"/>
      <c r="AFO19" s="971"/>
      <c r="AFP19" s="971"/>
      <c r="AFQ19" s="971"/>
      <c r="AFR19" s="971"/>
      <c r="AFS19" s="971"/>
      <c r="AFT19" s="971"/>
      <c r="AFU19" s="971"/>
      <c r="AFV19" s="971"/>
      <c r="AFW19" s="971"/>
      <c r="AFX19" s="971"/>
      <c r="AFY19" s="971"/>
      <c r="AFZ19" s="971"/>
      <c r="AGA19" s="971"/>
      <c r="AGB19" s="971"/>
      <c r="AGC19" s="971"/>
      <c r="AGD19" s="971"/>
      <c r="AGE19" s="971"/>
      <c r="AGF19" s="971"/>
      <c r="AGG19" s="971"/>
      <c r="AGH19" s="971"/>
      <c r="AGI19" s="971"/>
      <c r="AGJ19" s="971"/>
      <c r="AGK19" s="971"/>
      <c r="AGL19" s="971"/>
      <c r="AGM19" s="971"/>
      <c r="AGN19" s="971"/>
      <c r="AGO19" s="971"/>
      <c r="AGP19" s="971"/>
      <c r="AGQ19" s="971"/>
      <c r="AGR19" s="971"/>
      <c r="AGS19" s="971"/>
      <c r="AGT19" s="971"/>
      <c r="AGU19" s="971"/>
      <c r="AGV19" s="971"/>
      <c r="AGW19" s="971"/>
      <c r="AGX19" s="971"/>
      <c r="AGY19" s="971"/>
      <c r="AGZ19" s="971"/>
      <c r="AHA19" s="971"/>
      <c r="AHB19" s="971"/>
      <c r="AHC19" s="971"/>
      <c r="AHD19" s="971"/>
      <c r="AHE19" s="971"/>
      <c r="AHF19" s="971"/>
      <c r="AHG19" s="971"/>
      <c r="AHH19" s="971"/>
      <c r="AHI19" s="971"/>
      <c r="AHJ19" s="971"/>
      <c r="AHK19" s="971"/>
      <c r="AHL19" s="971"/>
      <c r="AHM19" s="971"/>
      <c r="AHN19" s="971"/>
      <c r="AHO19" s="971"/>
      <c r="AHP19" s="971"/>
      <c r="AHQ19" s="971"/>
      <c r="AHR19" s="971"/>
      <c r="AHS19" s="971"/>
      <c r="AHT19" s="971"/>
      <c r="AHU19" s="971"/>
      <c r="AHV19" s="971"/>
      <c r="AHW19" s="971"/>
      <c r="AHX19" s="971"/>
      <c r="AHY19" s="971"/>
      <c r="AHZ19" s="971"/>
      <c r="AIA19" s="971"/>
      <c r="AIB19" s="971"/>
      <c r="AIC19" s="971"/>
      <c r="AID19" s="971"/>
      <c r="AIE19" s="971"/>
      <c r="AIF19" s="971"/>
      <c r="AIG19" s="971"/>
      <c r="AIH19" s="971"/>
      <c r="AII19" s="971"/>
      <c r="AIJ19" s="971"/>
      <c r="AIK19" s="971"/>
      <c r="AIL19" s="971"/>
      <c r="AIM19" s="971"/>
      <c r="AIN19" s="971"/>
      <c r="AIO19" s="971"/>
      <c r="AIP19" s="971"/>
      <c r="AIQ19" s="971"/>
      <c r="AIR19" s="971"/>
      <c r="AIS19" s="971"/>
      <c r="AIT19" s="971"/>
      <c r="AIU19" s="971"/>
      <c r="AIV19" s="971"/>
      <c r="AIW19" s="971"/>
      <c r="AIX19" s="971"/>
      <c r="AIY19" s="971"/>
      <c r="AIZ19" s="971"/>
      <c r="AJA19" s="971"/>
      <c r="AJB19" s="971"/>
      <c r="AJC19" s="971"/>
      <c r="AJD19" s="971"/>
      <c r="AJE19" s="971"/>
      <c r="AJF19" s="971"/>
      <c r="AJG19" s="971"/>
      <c r="AJH19" s="971"/>
      <c r="AJI19" s="971"/>
      <c r="AJJ19" s="971"/>
      <c r="AJK19" s="971"/>
      <c r="AJL19" s="971"/>
      <c r="AJM19" s="971"/>
      <c r="AJN19" s="971"/>
      <c r="AJO19" s="971"/>
      <c r="AJP19" s="971"/>
      <c r="AJQ19" s="971"/>
      <c r="AJR19" s="971"/>
      <c r="AJS19" s="971"/>
      <c r="AJT19" s="971"/>
      <c r="AJU19" s="971"/>
      <c r="AJV19" s="971"/>
      <c r="AJW19" s="971"/>
      <c r="AJX19" s="971"/>
      <c r="AJY19" s="971"/>
      <c r="AJZ19" s="971"/>
      <c r="AKA19" s="971"/>
      <c r="AKB19" s="971"/>
      <c r="AKC19" s="971"/>
      <c r="AKD19" s="971"/>
      <c r="AKE19" s="971"/>
      <c r="AKF19" s="971"/>
      <c r="AKG19" s="971"/>
      <c r="AKH19" s="971"/>
      <c r="AKI19" s="971"/>
      <c r="AKJ19" s="971"/>
      <c r="AKK19" s="971"/>
      <c r="AKL19" s="971"/>
      <c r="AKM19" s="971"/>
      <c r="AKN19" s="971"/>
      <c r="AKO19" s="971"/>
      <c r="AKP19" s="971"/>
      <c r="AKQ19" s="971"/>
      <c r="AKR19" s="971"/>
      <c r="AKS19" s="971"/>
      <c r="AKT19" s="971"/>
      <c r="AKU19" s="971"/>
      <c r="AKV19" s="971"/>
      <c r="AKW19" s="971"/>
      <c r="AKX19" s="971"/>
      <c r="AKY19" s="971"/>
      <c r="AKZ19" s="971"/>
      <c r="ALA19" s="971"/>
      <c r="ALB19" s="971"/>
      <c r="ALC19" s="971"/>
      <c r="ALD19" s="971"/>
      <c r="ALE19" s="971"/>
      <c r="ALF19" s="971"/>
      <c r="ALG19" s="971"/>
      <c r="ALH19" s="971"/>
      <c r="ALI19" s="971"/>
      <c r="ALJ19" s="971"/>
      <c r="ALK19" s="971"/>
      <c r="ALL19" s="971"/>
    </row>
    <row r="20" s="929" customFormat="1" ht="13.5" customHeight="1" hidden="1">
      <c r="A20" s="971"/>
      <c r="B20" s="971"/>
      <c r="C20" s="971"/>
      <c r="D20" s="971"/>
      <c r="E20" s="971"/>
      <c r="F20" s="971"/>
      <c r="G20" s="971"/>
      <c r="H20" s="971"/>
      <c r="I20" s="971"/>
      <c r="J20" s="971"/>
      <c r="K20" s="971"/>
      <c r="L20" s="971"/>
      <c r="M20" s="971"/>
      <c r="N20" s="971"/>
      <c r="O20" s="971"/>
      <c r="P20" s="971"/>
      <c r="Q20" s="971"/>
      <c r="R20" s="971"/>
      <c r="S20" s="971"/>
      <c r="T20" s="971"/>
      <c r="U20" s="971"/>
      <c r="V20" s="971"/>
      <c r="W20" s="971"/>
      <c r="X20" s="971"/>
      <c r="Y20" s="971"/>
      <c r="Z20" s="971"/>
      <c r="AA20" s="971"/>
      <c r="AB20" s="971"/>
      <c r="AC20" s="971"/>
      <c r="AD20" s="971"/>
      <c r="AE20" s="971"/>
      <c r="AF20" s="971"/>
      <c r="AG20" s="971"/>
      <c r="AH20" s="971"/>
      <c r="AI20" s="971"/>
      <c r="AJ20" s="971"/>
      <c r="AK20" s="971"/>
      <c r="AL20" s="971"/>
      <c r="AM20" s="971"/>
      <c r="AN20" s="971"/>
      <c r="AO20" s="971"/>
      <c r="AP20" s="971"/>
      <c r="AQ20" s="971"/>
      <c r="AR20" s="971"/>
      <c r="AS20" s="971"/>
      <c r="AT20" s="971"/>
      <c r="AU20" s="971"/>
      <c r="AV20" s="971"/>
      <c r="AW20" s="971"/>
      <c r="AX20" s="971"/>
      <c r="AY20" s="971"/>
      <c r="AZ20" s="971"/>
      <c r="BA20" s="971"/>
      <c r="BB20" s="971"/>
      <c r="BC20" s="971"/>
      <c r="BD20" s="971"/>
      <c r="BE20" s="971"/>
      <c r="BF20" s="971"/>
      <c r="BG20" s="971"/>
      <c r="BH20" s="971"/>
      <c r="BI20" s="971"/>
      <c r="BJ20" s="971"/>
      <c r="BK20" s="971"/>
      <c r="BL20" s="971"/>
      <c r="BM20" s="971"/>
      <c r="BN20" s="971"/>
      <c r="BO20" s="971"/>
      <c r="BP20" s="971"/>
      <c r="BQ20" s="971"/>
      <c r="BR20" s="971"/>
      <c r="BS20" s="971"/>
      <c r="BT20" s="971"/>
      <c r="BU20" s="971"/>
      <c r="BV20" s="971"/>
      <c r="BW20" s="971"/>
      <c r="BX20" s="971"/>
      <c r="BY20" s="971"/>
      <c r="BZ20" s="971"/>
      <c r="CA20" s="971"/>
      <c r="CB20" s="971"/>
      <c r="CC20" s="971"/>
      <c r="CD20" s="971"/>
      <c r="CE20" s="971"/>
      <c r="CF20" s="971"/>
      <c r="CG20" s="971"/>
      <c r="CH20" s="971"/>
      <c r="CI20" s="971"/>
      <c r="CJ20" s="971"/>
      <c r="CK20" s="971"/>
      <c r="CL20" s="971"/>
      <c r="CM20" s="971"/>
      <c r="CN20" s="971"/>
      <c r="CO20" s="971"/>
      <c r="CP20" s="971"/>
      <c r="CQ20" s="971"/>
      <c r="CR20" s="971"/>
      <c r="CS20" s="971"/>
      <c r="CT20" s="971"/>
      <c r="CU20" s="971"/>
      <c r="CV20" s="971"/>
      <c r="CW20" s="971"/>
      <c r="CX20" s="971"/>
      <c r="CY20" s="971"/>
      <c r="CZ20" s="971"/>
      <c r="DA20" s="971"/>
      <c r="DB20" s="971"/>
      <c r="DC20" s="971"/>
      <c r="DD20" s="971"/>
      <c r="DE20" s="971"/>
      <c r="DF20" s="971"/>
      <c r="DG20" s="971"/>
      <c r="DH20" s="971"/>
      <c r="DI20" s="971"/>
      <c r="DJ20" s="971"/>
      <c r="DK20" s="971"/>
      <c r="DL20" s="971"/>
      <c r="DM20" s="971"/>
      <c r="DN20" s="971"/>
      <c r="DO20" s="971"/>
      <c r="DP20" s="971"/>
      <c r="DQ20" s="971"/>
      <c r="DR20" s="971"/>
      <c r="DS20" s="971"/>
      <c r="DT20" s="971"/>
      <c r="DU20" s="971"/>
      <c r="DV20" s="971"/>
      <c r="DW20" s="971"/>
      <c r="DX20" s="971"/>
      <c r="DY20" s="971"/>
      <c r="DZ20" s="971"/>
      <c r="EA20" s="971"/>
      <c r="EB20" s="971"/>
      <c r="EC20" s="971"/>
      <c r="ED20" s="971"/>
      <c r="EE20" s="971"/>
      <c r="EF20" s="971"/>
      <c r="EG20" s="971"/>
      <c r="EH20" s="971"/>
      <c r="EI20" s="971"/>
      <c r="EJ20" s="971"/>
      <c r="EK20" s="971"/>
      <c r="EL20" s="971"/>
      <c r="EM20" s="971"/>
      <c r="EN20" s="971"/>
      <c r="EO20" s="971"/>
      <c r="EP20" s="971"/>
      <c r="EQ20" s="971"/>
      <c r="ER20" s="971"/>
      <c r="ES20" s="971"/>
      <c r="ET20" s="971"/>
      <c r="EU20" s="971"/>
      <c r="EV20" s="971"/>
      <c r="EW20" s="971"/>
      <c r="EX20" s="971"/>
      <c r="EY20" s="971"/>
      <c r="EZ20" s="971"/>
      <c r="FA20" s="971"/>
      <c r="FB20" s="971"/>
      <c r="FC20" s="971"/>
      <c r="FD20" s="971"/>
      <c r="FE20" s="971"/>
      <c r="FF20" s="971"/>
      <c r="FG20" s="971"/>
      <c r="FH20" s="971"/>
      <c r="FI20" s="971"/>
      <c r="FJ20" s="971"/>
      <c r="FK20" s="971"/>
      <c r="FL20" s="971"/>
      <c r="FM20" s="971"/>
      <c r="FN20" s="971"/>
      <c r="FO20" s="971"/>
      <c r="FP20" s="971"/>
      <c r="FQ20" s="971"/>
      <c r="FR20" s="971"/>
      <c r="FS20" s="971"/>
      <c r="FT20" s="971"/>
      <c r="FU20" s="971"/>
      <c r="FV20" s="971"/>
      <c r="FW20" s="971"/>
      <c r="FX20" s="971"/>
      <c r="FY20" s="971"/>
      <c r="FZ20" s="971"/>
      <c r="GA20" s="971"/>
      <c r="GB20" s="971"/>
      <c r="GC20" s="971"/>
      <c r="GD20" s="971"/>
      <c r="GE20" s="971"/>
      <c r="GF20" s="971"/>
      <c r="GG20" s="971"/>
      <c r="GH20" s="971"/>
      <c r="GI20" s="971"/>
      <c r="GJ20" s="971"/>
      <c r="GK20" s="971"/>
      <c r="GL20" s="971"/>
      <c r="GM20" s="971"/>
      <c r="GN20" s="971"/>
      <c r="GO20" s="971"/>
      <c r="GP20" s="971"/>
      <c r="GQ20" s="971"/>
      <c r="GR20" s="971"/>
      <c r="GS20" s="971"/>
      <c r="GT20" s="971"/>
      <c r="GU20" s="971"/>
      <c r="GV20" s="971"/>
      <c r="GW20" s="971"/>
      <c r="GX20" s="971"/>
      <c r="GY20" s="971"/>
      <c r="GZ20" s="971"/>
      <c r="HA20" s="971"/>
      <c r="HB20" s="971"/>
      <c r="HC20" s="971"/>
      <c r="HD20" s="971"/>
      <c r="HE20" s="971"/>
      <c r="HF20" s="971"/>
      <c r="HG20" s="971"/>
      <c r="HH20" s="971"/>
      <c r="HI20" s="971"/>
      <c r="HJ20" s="971"/>
      <c r="HK20" s="971"/>
      <c r="HL20" s="971"/>
      <c r="HM20" s="971"/>
      <c r="HN20" s="971"/>
      <c r="HO20" s="971"/>
      <c r="HP20" s="971"/>
      <c r="HQ20" s="971"/>
      <c r="HR20" s="971"/>
      <c r="HS20" s="971"/>
      <c r="HT20" s="971"/>
      <c r="HU20" s="971"/>
      <c r="HV20" s="971"/>
      <c r="HW20" s="971"/>
      <c r="HX20" s="971"/>
      <c r="HY20" s="971"/>
      <c r="HZ20" s="971"/>
      <c r="IA20" s="971"/>
      <c r="IB20" s="971"/>
      <c r="IC20" s="971"/>
      <c r="ID20" s="971"/>
      <c r="IE20" s="971"/>
      <c r="IF20" s="971"/>
      <c r="IG20" s="971"/>
      <c r="IH20" s="971"/>
      <c r="II20" s="971"/>
      <c r="IJ20" s="971"/>
      <c r="IK20" s="971"/>
      <c r="IL20" s="971"/>
      <c r="IM20" s="971"/>
      <c r="IN20" s="971"/>
      <c r="IO20" s="971"/>
      <c r="IP20" s="971"/>
      <c r="IQ20" s="971"/>
      <c r="IR20" s="971"/>
      <c r="IS20" s="971"/>
      <c r="IT20" s="971"/>
      <c r="IU20" s="971"/>
      <c r="IV20" s="971"/>
      <c r="IW20" s="971"/>
      <c r="IX20" s="971"/>
      <c r="IY20" s="971"/>
      <c r="IZ20" s="971"/>
      <c r="JA20" s="971"/>
      <c r="JB20" s="971"/>
      <c r="JC20" s="971"/>
      <c r="JD20" s="971"/>
      <c r="JE20" s="971"/>
      <c r="JF20" s="971"/>
      <c r="JG20" s="971"/>
      <c r="JH20" s="971"/>
      <c r="JI20" s="971"/>
      <c r="JJ20" s="971"/>
      <c r="JK20" s="971"/>
      <c r="JL20" s="971"/>
      <c r="JM20" s="971"/>
      <c r="JN20" s="971"/>
      <c r="JO20" s="971"/>
      <c r="JP20" s="971"/>
      <c r="JQ20" s="971"/>
      <c r="JR20" s="971"/>
      <c r="JS20" s="971"/>
      <c r="JT20" s="971"/>
      <c r="JU20" s="971"/>
      <c r="JV20" s="971"/>
      <c r="JW20" s="971"/>
      <c r="JX20" s="971"/>
      <c r="JY20" s="971"/>
      <c r="JZ20" s="971"/>
      <c r="KA20" s="971"/>
      <c r="KB20" s="971"/>
      <c r="KC20" s="971"/>
      <c r="KD20" s="971"/>
      <c r="KE20" s="971"/>
      <c r="KF20" s="971"/>
      <c r="KG20" s="971"/>
      <c r="KH20" s="971"/>
      <c r="KI20" s="971"/>
      <c r="KJ20" s="971"/>
      <c r="KK20" s="971"/>
      <c r="KL20" s="971"/>
      <c r="KM20" s="971"/>
      <c r="KN20" s="971"/>
      <c r="KO20" s="971"/>
      <c r="KP20" s="971"/>
      <c r="KQ20" s="971"/>
      <c r="KR20" s="971"/>
      <c r="KS20" s="971"/>
      <c r="KT20" s="971"/>
      <c r="KU20" s="971"/>
      <c r="KV20" s="971"/>
      <c r="KW20" s="971"/>
      <c r="KX20" s="971"/>
      <c r="KY20" s="971"/>
      <c r="KZ20" s="971"/>
      <c r="LA20" s="971"/>
      <c r="LB20" s="971"/>
      <c r="LC20" s="971"/>
      <c r="LD20" s="971"/>
      <c r="LE20" s="971"/>
      <c r="LF20" s="971"/>
      <c r="LG20" s="971"/>
      <c r="LH20" s="971"/>
      <c r="LI20" s="971"/>
      <c r="LJ20" s="971"/>
      <c r="LK20" s="971"/>
      <c r="LL20" s="971"/>
      <c r="LM20" s="971"/>
      <c r="LN20" s="971"/>
      <c r="LO20" s="971"/>
      <c r="LP20" s="971"/>
      <c r="LQ20" s="971"/>
      <c r="LR20" s="971"/>
      <c r="LS20" s="971"/>
      <c r="LT20" s="971"/>
      <c r="LU20" s="971"/>
      <c r="LV20" s="971"/>
      <c r="LW20" s="971"/>
      <c r="LX20" s="971"/>
      <c r="LY20" s="971"/>
      <c r="LZ20" s="971"/>
      <c r="MA20" s="971"/>
      <c r="MB20" s="971"/>
      <c r="MC20" s="971"/>
      <c r="MD20" s="971"/>
      <c r="ME20" s="971"/>
      <c r="MF20" s="971"/>
      <c r="MG20" s="971"/>
      <c r="MH20" s="971"/>
      <c r="MI20" s="971"/>
      <c r="MJ20" s="971"/>
      <c r="MK20" s="971"/>
      <c r="ML20" s="971"/>
      <c r="MM20" s="971"/>
      <c r="MN20" s="971"/>
      <c r="MO20" s="971"/>
      <c r="MP20" s="971"/>
      <c r="MQ20" s="971"/>
      <c r="MR20" s="971"/>
      <c r="MS20" s="971"/>
      <c r="MT20" s="971"/>
      <c r="MU20" s="971"/>
      <c r="MV20" s="971"/>
      <c r="MW20" s="971"/>
      <c r="MX20" s="971"/>
      <c r="MY20" s="971"/>
      <c r="MZ20" s="971"/>
      <c r="NA20" s="971"/>
      <c r="NB20" s="971"/>
      <c r="NC20" s="971"/>
      <c r="ND20" s="971"/>
      <c r="NE20" s="971"/>
      <c r="NF20" s="971"/>
      <c r="NG20" s="971"/>
      <c r="NH20" s="971"/>
      <c r="NI20" s="971"/>
      <c r="NJ20" s="971"/>
      <c r="NK20" s="971"/>
      <c r="NL20" s="971"/>
      <c r="NM20" s="971"/>
      <c r="NN20" s="971"/>
      <c r="NO20" s="971"/>
      <c r="NP20" s="971"/>
      <c r="NQ20" s="971"/>
      <c r="NR20" s="971"/>
      <c r="NS20" s="971"/>
      <c r="NT20" s="971"/>
      <c r="NU20" s="971"/>
      <c r="NV20" s="971"/>
      <c r="NW20" s="971"/>
      <c r="NX20" s="971"/>
      <c r="NY20" s="971"/>
      <c r="NZ20" s="971"/>
      <c r="OA20" s="971"/>
      <c r="OB20" s="971"/>
      <c r="OC20" s="971"/>
      <c r="OD20" s="971"/>
      <c r="OE20" s="971"/>
      <c r="OF20" s="971"/>
      <c r="OG20" s="971"/>
      <c r="OH20" s="971"/>
      <c r="OI20" s="971"/>
      <c r="OJ20" s="971"/>
      <c r="OK20" s="971"/>
      <c r="OL20" s="971"/>
      <c r="OM20" s="971"/>
      <c r="ON20" s="971"/>
      <c r="OO20" s="971"/>
      <c r="OP20" s="971"/>
      <c r="OQ20" s="971"/>
      <c r="OR20" s="971"/>
      <c r="OS20" s="971"/>
      <c r="OT20" s="971"/>
      <c r="OU20" s="971"/>
      <c r="OV20" s="971"/>
      <c r="OW20" s="971"/>
      <c r="OX20" s="971"/>
      <c r="OY20" s="971"/>
      <c r="OZ20" s="971"/>
      <c r="PA20" s="971"/>
      <c r="PB20" s="971"/>
      <c r="PC20" s="971"/>
      <c r="PD20" s="971"/>
      <c r="PE20" s="971"/>
      <c r="PF20" s="971"/>
      <c r="PG20" s="971"/>
      <c r="PH20" s="971"/>
      <c r="PI20" s="971"/>
      <c r="PJ20" s="971"/>
      <c r="PK20" s="971"/>
      <c r="PL20" s="971"/>
      <c r="PM20" s="971"/>
      <c r="PN20" s="971"/>
      <c r="PO20" s="971"/>
      <c r="PP20" s="971"/>
      <c r="PQ20" s="971"/>
      <c r="PR20" s="971"/>
      <c r="PS20" s="971"/>
      <c r="PT20" s="971"/>
      <c r="PU20" s="971"/>
      <c r="PV20" s="971"/>
      <c r="PW20" s="971"/>
      <c r="PX20" s="971"/>
      <c r="PY20" s="971"/>
      <c r="PZ20" s="971"/>
      <c r="QA20" s="971"/>
      <c r="QB20" s="971"/>
      <c r="QC20" s="971"/>
      <c r="QD20" s="971"/>
      <c r="QE20" s="971"/>
      <c r="QF20" s="971"/>
      <c r="QG20" s="971"/>
      <c r="QH20" s="971"/>
      <c r="QI20" s="971"/>
      <c r="QJ20" s="971"/>
      <c r="QK20" s="971"/>
      <c r="QL20" s="971"/>
      <c r="QM20" s="971"/>
      <c r="QN20" s="971"/>
      <c r="QO20" s="971"/>
      <c r="QP20" s="971"/>
      <c r="QQ20" s="971"/>
      <c r="QR20" s="971"/>
      <c r="QS20" s="971"/>
      <c r="QT20" s="971"/>
      <c r="QU20" s="971"/>
      <c r="QV20" s="971"/>
      <c r="QW20" s="971"/>
      <c r="QX20" s="971"/>
      <c r="QY20" s="971"/>
      <c r="QZ20" s="971"/>
      <c r="RA20" s="971"/>
      <c r="RB20" s="971"/>
      <c r="RC20" s="971"/>
      <c r="RD20" s="971"/>
      <c r="RE20" s="971"/>
      <c r="RF20" s="971"/>
      <c r="RG20" s="971"/>
      <c r="RH20" s="971"/>
      <c r="RI20" s="971"/>
      <c r="RJ20" s="971"/>
      <c r="RK20" s="971"/>
      <c r="RL20" s="971"/>
      <c r="RM20" s="971"/>
      <c r="RN20" s="971"/>
      <c r="RO20" s="971"/>
      <c r="RP20" s="971"/>
      <c r="RQ20" s="971"/>
      <c r="RR20" s="971"/>
      <c r="RS20" s="971"/>
      <c r="RT20" s="971"/>
      <c r="RU20" s="971"/>
      <c r="RV20" s="971"/>
      <c r="RW20" s="971"/>
      <c r="RX20" s="971"/>
      <c r="RY20" s="971"/>
      <c r="RZ20" s="971"/>
      <c r="SA20" s="971"/>
      <c r="SB20" s="971"/>
      <c r="SC20" s="971"/>
      <c r="SD20" s="971"/>
      <c r="SE20" s="971"/>
      <c r="SF20" s="971"/>
      <c r="SG20" s="971"/>
      <c r="SH20" s="971"/>
      <c r="SI20" s="971"/>
      <c r="SJ20" s="971"/>
      <c r="SK20" s="971"/>
      <c r="SL20" s="971"/>
      <c r="SM20" s="971"/>
      <c r="SN20" s="971"/>
      <c r="SO20" s="971"/>
      <c r="SP20" s="971"/>
      <c r="SQ20" s="971"/>
      <c r="SR20" s="971"/>
      <c r="SS20" s="971"/>
      <c r="ST20" s="971"/>
      <c r="SU20" s="971"/>
      <c r="SV20" s="971"/>
      <c r="SW20" s="971"/>
      <c r="SX20" s="971"/>
      <c r="SY20" s="971"/>
      <c r="SZ20" s="971"/>
      <c r="TA20" s="971"/>
      <c r="TB20" s="971"/>
      <c r="TC20" s="971"/>
      <c r="TD20" s="971"/>
      <c r="TE20" s="971"/>
      <c r="TF20" s="971"/>
      <c r="TG20" s="971"/>
      <c r="TH20" s="971"/>
      <c r="TI20" s="971"/>
      <c r="TJ20" s="971"/>
      <c r="TK20" s="971"/>
      <c r="TL20" s="971"/>
      <c r="TM20" s="971"/>
      <c r="TN20" s="971"/>
      <c r="TO20" s="971"/>
      <c r="TP20" s="971"/>
      <c r="TQ20" s="971"/>
      <c r="TR20" s="971"/>
      <c r="TS20" s="971"/>
      <c r="TT20" s="971"/>
      <c r="TU20" s="971"/>
      <c r="TV20" s="971"/>
      <c r="TW20" s="971"/>
      <c r="TX20" s="971"/>
      <c r="TY20" s="971"/>
      <c r="TZ20" s="971"/>
      <c r="UA20" s="971"/>
      <c r="UB20" s="971"/>
      <c r="UC20" s="971"/>
      <c r="UD20" s="971"/>
      <c r="UE20" s="971"/>
      <c r="UF20" s="971"/>
      <c r="UG20" s="971"/>
      <c r="UH20" s="971"/>
      <c r="UI20" s="971"/>
      <c r="UJ20" s="971"/>
      <c r="UK20" s="971"/>
      <c r="UL20" s="971"/>
      <c r="UM20" s="971"/>
      <c r="UN20" s="971"/>
      <c r="UO20" s="971"/>
      <c r="UP20" s="971"/>
      <c r="UQ20" s="971"/>
      <c r="UR20" s="971"/>
      <c r="US20" s="971"/>
      <c r="UT20" s="971"/>
      <c r="UU20" s="971"/>
      <c r="UV20" s="971"/>
      <c r="UW20" s="971"/>
      <c r="UX20" s="971"/>
      <c r="UY20" s="971"/>
      <c r="UZ20" s="971"/>
      <c r="VA20" s="971"/>
      <c r="VB20" s="971"/>
      <c r="VC20" s="971"/>
      <c r="VD20" s="971"/>
      <c r="VE20" s="971"/>
      <c r="VF20" s="971"/>
      <c r="VG20" s="971"/>
      <c r="VH20" s="971"/>
      <c r="VI20" s="971"/>
      <c r="VJ20" s="971"/>
      <c r="VK20" s="971"/>
      <c r="VL20" s="971"/>
      <c r="VM20" s="971"/>
      <c r="VN20" s="971"/>
      <c r="VO20" s="971"/>
      <c r="VP20" s="971"/>
      <c r="VQ20" s="971"/>
      <c r="VR20" s="971"/>
      <c r="VS20" s="971"/>
      <c r="VT20" s="971"/>
      <c r="VU20" s="971"/>
      <c r="VV20" s="971"/>
      <c r="VW20" s="971"/>
      <c r="VX20" s="971"/>
      <c r="VY20" s="971"/>
      <c r="VZ20" s="971"/>
      <c r="WA20" s="971"/>
      <c r="WB20" s="971"/>
      <c r="WC20" s="971"/>
      <c r="WD20" s="971"/>
      <c r="WE20" s="971"/>
      <c r="WF20" s="971"/>
      <c r="WG20" s="971"/>
      <c r="WH20" s="971"/>
      <c r="WI20" s="971"/>
      <c r="WJ20" s="971"/>
      <c r="WK20" s="971"/>
      <c r="WL20" s="971"/>
      <c r="WM20" s="971"/>
      <c r="WN20" s="971"/>
      <c r="WO20" s="971"/>
      <c r="WP20" s="971"/>
      <c r="WQ20" s="971"/>
      <c r="WR20" s="971"/>
      <c r="WS20" s="971"/>
      <c r="WT20" s="971"/>
      <c r="WU20" s="971"/>
      <c r="WV20" s="971"/>
      <c r="WW20" s="971"/>
      <c r="WX20" s="971"/>
      <c r="WY20" s="971"/>
      <c r="WZ20" s="971"/>
      <c r="XA20" s="971"/>
      <c r="XB20" s="971"/>
      <c r="XC20" s="971"/>
      <c r="XD20" s="971"/>
      <c r="XE20" s="971"/>
      <c r="XF20" s="971"/>
      <c r="XG20" s="971"/>
      <c r="XH20" s="971"/>
      <c r="XI20" s="971"/>
      <c r="XJ20" s="971"/>
      <c r="XK20" s="971"/>
      <c r="XL20" s="971"/>
      <c r="XM20" s="971"/>
      <c r="XN20" s="971"/>
      <c r="XO20" s="971"/>
      <c r="XP20" s="971"/>
      <c r="XQ20" s="971"/>
      <c r="XR20" s="971"/>
      <c r="XS20" s="971"/>
      <c r="XT20" s="971"/>
      <c r="XU20" s="971"/>
      <c r="XV20" s="971"/>
      <c r="XW20" s="971"/>
      <c r="XX20" s="971"/>
      <c r="XY20" s="971"/>
      <c r="XZ20" s="971"/>
      <c r="YA20" s="971"/>
      <c r="YB20" s="971"/>
      <c r="YC20" s="971"/>
      <c r="YD20" s="971"/>
      <c r="YE20" s="971"/>
      <c r="YF20" s="971"/>
      <c r="YG20" s="971"/>
      <c r="YH20" s="971"/>
      <c r="YI20" s="971"/>
      <c r="YJ20" s="971"/>
      <c r="YK20" s="971"/>
      <c r="YL20" s="971"/>
      <c r="YM20" s="971"/>
      <c r="YN20" s="971"/>
      <c r="YO20" s="971"/>
      <c r="YP20" s="971"/>
      <c r="YQ20" s="971"/>
      <c r="YR20" s="971"/>
      <c r="YS20" s="971"/>
      <c r="YT20" s="971"/>
      <c r="YU20" s="971"/>
      <c r="YV20" s="971"/>
      <c r="YW20" s="971"/>
      <c r="YX20" s="971"/>
      <c r="YY20" s="971"/>
      <c r="YZ20" s="971"/>
      <c r="ZA20" s="971"/>
      <c r="ZB20" s="971"/>
      <c r="ZC20" s="971"/>
      <c r="ZD20" s="971"/>
      <c r="ZE20" s="971"/>
      <c r="ZF20" s="971"/>
      <c r="ZG20" s="971"/>
      <c r="ZH20" s="971"/>
      <c r="ZI20" s="971"/>
      <c r="ZJ20" s="971"/>
      <c r="ZK20" s="971"/>
      <c r="ZL20" s="971"/>
      <c r="ZM20" s="971"/>
      <c r="ZN20" s="971"/>
      <c r="ZO20" s="971"/>
      <c r="ZP20" s="971"/>
      <c r="ZQ20" s="971"/>
      <c r="ZR20" s="971"/>
      <c r="ZS20" s="971"/>
      <c r="ZT20" s="971"/>
      <c r="ZU20" s="971"/>
      <c r="ZV20" s="971"/>
      <c r="ZW20" s="971"/>
      <c r="ZX20" s="971"/>
      <c r="ZY20" s="971"/>
      <c r="ZZ20" s="971"/>
      <c r="AAA20" s="971"/>
      <c r="AAB20" s="971"/>
      <c r="AAC20" s="971"/>
      <c r="AAD20" s="971"/>
      <c r="AAE20" s="971"/>
      <c r="AAF20" s="971"/>
      <c r="AAG20" s="971"/>
      <c r="AAH20" s="971"/>
      <c r="AAI20" s="971"/>
      <c r="AAJ20" s="971"/>
      <c r="AAK20" s="971"/>
      <c r="AAL20" s="971"/>
      <c r="AAM20" s="971"/>
      <c r="AAN20" s="971"/>
      <c r="AAO20" s="971"/>
      <c r="AAP20" s="971"/>
      <c r="AAQ20" s="971"/>
      <c r="AAR20" s="971"/>
      <c r="AAS20" s="971"/>
      <c r="AAT20" s="971"/>
      <c r="AAU20" s="971"/>
      <c r="AAV20" s="971"/>
      <c r="AAW20" s="971"/>
      <c r="AAX20" s="971"/>
      <c r="AAY20" s="971"/>
      <c r="AAZ20" s="971"/>
      <c r="ABA20" s="971"/>
      <c r="ABB20" s="971"/>
      <c r="ABC20" s="971"/>
      <c r="ABD20" s="971"/>
      <c r="ABE20" s="971"/>
      <c r="ABF20" s="971"/>
      <c r="ABG20" s="971"/>
      <c r="ABH20" s="971"/>
      <c r="ABI20" s="971"/>
      <c r="ABJ20" s="971"/>
      <c r="ABK20" s="971"/>
      <c r="ABL20" s="971"/>
      <c r="ABM20" s="971"/>
      <c r="ABN20" s="971"/>
      <c r="ABO20" s="971"/>
      <c r="ABP20" s="971"/>
      <c r="ABQ20" s="971"/>
      <c r="ABR20" s="971"/>
      <c r="ABS20" s="971"/>
      <c r="ABT20" s="971"/>
      <c r="ABU20" s="971"/>
      <c r="ABV20" s="971"/>
      <c r="ABW20" s="971"/>
      <c r="ABX20" s="971"/>
      <c r="ABY20" s="971"/>
      <c r="ABZ20" s="971"/>
      <c r="ACA20" s="971"/>
      <c r="ACB20" s="971"/>
      <c r="ACC20" s="971"/>
      <c r="ACD20" s="971"/>
      <c r="ACE20" s="971"/>
      <c r="ACF20" s="971"/>
      <c r="ACG20" s="971"/>
      <c r="ACH20" s="971"/>
      <c r="ACI20" s="971"/>
      <c r="ACJ20" s="971"/>
      <c r="ACK20" s="971"/>
      <c r="ACL20" s="971"/>
      <c r="ACM20" s="971"/>
      <c r="ACN20" s="971"/>
      <c r="ACO20" s="971"/>
      <c r="ACP20" s="971"/>
      <c r="ACQ20" s="971"/>
      <c r="ACR20" s="971"/>
      <c r="ACS20" s="971"/>
      <c r="ACT20" s="971"/>
      <c r="ACU20" s="971"/>
      <c r="ACV20" s="971"/>
      <c r="ACW20" s="971"/>
      <c r="ACX20" s="971"/>
      <c r="ACY20" s="971"/>
      <c r="ACZ20" s="971"/>
      <c r="ADA20" s="971"/>
      <c r="ADB20" s="971"/>
      <c r="ADC20" s="971"/>
      <c r="ADD20" s="971"/>
      <c r="ADE20" s="971"/>
      <c r="ADF20" s="971"/>
      <c r="ADG20" s="971"/>
      <c r="ADH20" s="971"/>
      <c r="ADI20" s="971"/>
      <c r="ADJ20" s="971"/>
      <c r="ADK20" s="971"/>
      <c r="ADL20" s="971"/>
      <c r="ADM20" s="971"/>
      <c r="ADN20" s="971"/>
      <c r="ADO20" s="971"/>
      <c r="ADP20" s="971"/>
      <c r="ADQ20" s="971"/>
      <c r="ADR20" s="971"/>
      <c r="ADS20" s="971"/>
      <c r="ADT20" s="971"/>
      <c r="ADU20" s="971"/>
      <c r="ADV20" s="971"/>
      <c r="ADW20" s="971"/>
      <c r="ADX20" s="971"/>
      <c r="ADY20" s="971"/>
      <c r="ADZ20" s="971"/>
      <c r="AEA20" s="971"/>
      <c r="AEB20" s="971"/>
      <c r="AEC20" s="971"/>
      <c r="AED20" s="971"/>
      <c r="AEE20" s="971"/>
      <c r="AEF20" s="971"/>
      <c r="AEG20" s="971"/>
      <c r="AEH20" s="971"/>
      <c r="AEI20" s="971"/>
      <c r="AEJ20" s="971"/>
      <c r="AEK20" s="971"/>
      <c r="AEL20" s="971"/>
      <c r="AEM20" s="971"/>
      <c r="AEN20" s="971"/>
      <c r="AEO20" s="971"/>
      <c r="AEP20" s="971"/>
      <c r="AEQ20" s="971"/>
      <c r="AER20" s="971"/>
      <c r="AES20" s="971"/>
      <c r="AET20" s="971"/>
      <c r="AEU20" s="971"/>
      <c r="AEV20" s="971"/>
      <c r="AEW20" s="971"/>
      <c r="AEX20" s="971"/>
      <c r="AEY20" s="971"/>
      <c r="AEZ20" s="971"/>
      <c r="AFA20" s="971"/>
      <c r="AFB20" s="971"/>
      <c r="AFC20" s="971"/>
      <c r="AFD20" s="971"/>
      <c r="AFE20" s="971"/>
      <c r="AFF20" s="971"/>
      <c r="AFG20" s="971"/>
      <c r="AFH20" s="971"/>
      <c r="AFI20" s="971"/>
      <c r="AFJ20" s="971"/>
      <c r="AFK20" s="971"/>
      <c r="AFL20" s="971"/>
      <c r="AFM20" s="971"/>
      <c r="AFN20" s="971"/>
      <c r="AFO20" s="971"/>
      <c r="AFP20" s="971"/>
      <c r="AFQ20" s="971"/>
      <c r="AFR20" s="971"/>
      <c r="AFS20" s="971"/>
      <c r="AFT20" s="971"/>
      <c r="AFU20" s="971"/>
      <c r="AFV20" s="971"/>
      <c r="AFW20" s="971"/>
      <c r="AFX20" s="971"/>
      <c r="AFY20" s="971"/>
      <c r="AFZ20" s="971"/>
      <c r="AGA20" s="971"/>
      <c r="AGB20" s="971"/>
      <c r="AGC20" s="971"/>
      <c r="AGD20" s="971"/>
      <c r="AGE20" s="971"/>
      <c r="AGF20" s="971"/>
      <c r="AGG20" s="971"/>
      <c r="AGH20" s="971"/>
      <c r="AGI20" s="971"/>
      <c r="AGJ20" s="971"/>
      <c r="AGK20" s="971"/>
      <c r="AGL20" s="971"/>
      <c r="AGM20" s="971"/>
      <c r="AGN20" s="971"/>
      <c r="AGO20" s="971"/>
      <c r="AGP20" s="971"/>
      <c r="AGQ20" s="971"/>
      <c r="AGR20" s="971"/>
      <c r="AGS20" s="971"/>
      <c r="AGT20" s="971"/>
      <c r="AGU20" s="971"/>
      <c r="AGV20" s="971"/>
      <c r="AGW20" s="971"/>
      <c r="AGX20" s="971"/>
      <c r="AGY20" s="971"/>
      <c r="AGZ20" s="971"/>
      <c r="AHA20" s="971"/>
      <c r="AHB20" s="971"/>
      <c r="AHC20" s="971"/>
      <c r="AHD20" s="971"/>
      <c r="AHE20" s="971"/>
      <c r="AHF20" s="971"/>
      <c r="AHG20" s="971"/>
      <c r="AHH20" s="971"/>
      <c r="AHI20" s="971"/>
      <c r="AHJ20" s="971"/>
      <c r="AHK20" s="971"/>
      <c r="AHL20" s="971"/>
      <c r="AHM20" s="971"/>
      <c r="AHN20" s="971"/>
      <c r="AHO20" s="971"/>
      <c r="AHP20" s="971"/>
      <c r="AHQ20" s="971"/>
      <c r="AHR20" s="971"/>
      <c r="AHS20" s="971"/>
      <c r="AHT20" s="971"/>
      <c r="AHU20" s="971"/>
      <c r="AHV20" s="971"/>
      <c r="AHW20" s="971"/>
      <c r="AHX20" s="971"/>
      <c r="AHY20" s="971"/>
      <c r="AHZ20" s="971"/>
      <c r="AIA20" s="971"/>
      <c r="AIB20" s="971"/>
      <c r="AIC20" s="971"/>
      <c r="AID20" s="971"/>
      <c r="AIE20" s="971"/>
      <c r="AIF20" s="971"/>
      <c r="AIG20" s="971"/>
      <c r="AIH20" s="971"/>
      <c r="AII20" s="971"/>
      <c r="AIJ20" s="971"/>
      <c r="AIK20" s="971"/>
      <c r="AIL20" s="971"/>
      <c r="AIM20" s="971"/>
      <c r="AIN20" s="971"/>
      <c r="AIO20" s="971"/>
      <c r="AIP20" s="971"/>
      <c r="AIQ20" s="971"/>
      <c r="AIR20" s="971"/>
      <c r="AIS20" s="971"/>
      <c r="AIT20" s="971"/>
      <c r="AIU20" s="971"/>
      <c r="AIV20" s="971"/>
      <c r="AIW20" s="971"/>
      <c r="AIX20" s="971"/>
      <c r="AIY20" s="971"/>
      <c r="AIZ20" s="971"/>
      <c r="AJA20" s="971"/>
      <c r="AJB20" s="971"/>
      <c r="AJC20" s="971"/>
      <c r="AJD20" s="971"/>
      <c r="AJE20" s="971"/>
      <c r="AJF20" s="971"/>
      <c r="AJG20" s="971"/>
      <c r="AJH20" s="971"/>
      <c r="AJI20" s="971"/>
      <c r="AJJ20" s="971"/>
      <c r="AJK20" s="971"/>
      <c r="AJL20" s="971"/>
      <c r="AJM20" s="971"/>
      <c r="AJN20" s="971"/>
      <c r="AJO20" s="971"/>
      <c r="AJP20" s="971"/>
      <c r="AJQ20" s="971"/>
      <c r="AJR20" s="971"/>
      <c r="AJS20" s="971"/>
      <c r="AJT20" s="971"/>
      <c r="AJU20" s="971"/>
      <c r="AJV20" s="971"/>
      <c r="AJW20" s="971"/>
      <c r="AJX20" s="971"/>
      <c r="AJY20" s="971"/>
      <c r="AJZ20" s="971"/>
      <c r="AKA20" s="971"/>
      <c r="AKB20" s="971"/>
      <c r="AKC20" s="971"/>
      <c r="AKD20" s="971"/>
      <c r="AKE20" s="971"/>
      <c r="AKF20" s="971"/>
      <c r="AKG20" s="971"/>
      <c r="AKH20" s="971"/>
      <c r="AKI20" s="971"/>
      <c r="AKJ20" s="971"/>
      <c r="AKK20" s="971"/>
      <c r="AKL20" s="971"/>
      <c r="AKM20" s="971"/>
      <c r="AKN20" s="971"/>
      <c r="AKO20" s="971"/>
      <c r="AKP20" s="971"/>
      <c r="AKQ20" s="971"/>
      <c r="AKR20" s="971"/>
      <c r="AKS20" s="971"/>
      <c r="AKT20" s="971"/>
      <c r="AKU20" s="971"/>
      <c r="AKV20" s="971"/>
      <c r="AKW20" s="971"/>
      <c r="AKX20" s="971"/>
      <c r="AKY20" s="971"/>
      <c r="AKZ20" s="971"/>
      <c r="ALA20" s="971"/>
      <c r="ALB20" s="971"/>
      <c r="ALC20" s="971"/>
      <c r="ALD20" s="971"/>
      <c r="ALE20" s="971"/>
      <c r="ALF20" s="971"/>
      <c r="ALG20" s="971"/>
      <c r="ALH20" s="971"/>
      <c r="ALI20" s="971"/>
      <c r="ALJ20" s="971"/>
      <c r="ALK20" s="971"/>
      <c r="ALL20" s="971"/>
    </row>
    <row r="21" s="929" customFormat="1" ht="13.5" customHeight="1" hidden="1">
      <c r="A21" s="971"/>
      <c r="B21" s="971"/>
      <c r="C21" s="971"/>
      <c r="D21" s="971"/>
      <c r="E21" s="971"/>
      <c r="F21" s="971"/>
      <c r="G21" s="971"/>
      <c r="H21" s="971"/>
      <c r="I21" s="971"/>
      <c r="J21" s="971"/>
      <c r="K21" s="971"/>
      <c r="L21" s="971"/>
      <c r="M21" s="971"/>
      <c r="N21" s="971"/>
      <c r="O21" s="971"/>
      <c r="P21" s="971"/>
      <c r="Q21" s="971"/>
      <c r="R21" s="971"/>
      <c r="S21" s="971"/>
      <c r="T21" s="971"/>
      <c r="U21" s="971"/>
      <c r="V21" s="971"/>
      <c r="W21" s="971"/>
      <c r="X21" s="971"/>
      <c r="Y21" s="971"/>
      <c r="Z21" s="971"/>
      <c r="AA21" s="971"/>
      <c r="AB21" s="971"/>
      <c r="AC21" s="971"/>
      <c r="AD21" s="971"/>
      <c r="AE21" s="971"/>
      <c r="AF21" s="971"/>
      <c r="AG21" s="971"/>
      <c r="AH21" s="971"/>
      <c r="AI21" s="971"/>
      <c r="AJ21" s="971"/>
      <c r="AK21" s="971"/>
      <c r="AL21" s="971"/>
      <c r="AM21" s="971"/>
      <c r="AN21" s="971"/>
      <c r="AO21" s="971"/>
      <c r="AP21" s="971"/>
      <c r="AQ21" s="971"/>
      <c r="AR21" s="971"/>
      <c r="AS21" s="971"/>
      <c r="AT21" s="971"/>
      <c r="AU21" s="971"/>
      <c r="AV21" s="971"/>
      <c r="AW21" s="971"/>
      <c r="AX21" s="971"/>
      <c r="AY21" s="971"/>
      <c r="AZ21" s="971"/>
      <c r="BA21" s="971"/>
      <c r="BB21" s="971"/>
      <c r="BC21" s="971"/>
      <c r="BD21" s="971"/>
      <c r="BE21" s="971"/>
      <c r="BF21" s="971"/>
      <c r="BG21" s="971"/>
      <c r="BH21" s="971"/>
      <c r="BI21" s="971"/>
      <c r="BJ21" s="971"/>
      <c r="BK21" s="971"/>
      <c r="BL21" s="971"/>
      <c r="BM21" s="971"/>
      <c r="BN21" s="971"/>
      <c r="BO21" s="971"/>
      <c r="BP21" s="971"/>
      <c r="BQ21" s="971"/>
      <c r="BR21" s="971"/>
      <c r="BS21" s="971"/>
      <c r="BT21" s="971"/>
      <c r="BU21" s="971"/>
      <c r="BV21" s="971"/>
      <c r="BW21" s="971"/>
      <c r="BX21" s="971"/>
      <c r="BY21" s="971"/>
      <c r="BZ21" s="971"/>
      <c r="CA21" s="971"/>
      <c r="CB21" s="971"/>
      <c r="CC21" s="971"/>
      <c r="CD21" s="971"/>
      <c r="CE21" s="971"/>
      <c r="CF21" s="971"/>
      <c r="CG21" s="971"/>
      <c r="CH21" s="971"/>
      <c r="CI21" s="971"/>
      <c r="CJ21" s="971"/>
      <c r="CK21" s="971"/>
      <c r="CL21" s="971"/>
      <c r="CM21" s="971"/>
      <c r="CN21" s="971"/>
      <c r="CO21" s="971"/>
      <c r="CP21" s="971"/>
      <c r="CQ21" s="971"/>
      <c r="CR21" s="971"/>
      <c r="CS21" s="971"/>
      <c r="CT21" s="971"/>
      <c r="CU21" s="971"/>
      <c r="CV21" s="971"/>
      <c r="CW21" s="971"/>
      <c r="CX21" s="971"/>
      <c r="CY21" s="971"/>
      <c r="CZ21" s="971"/>
      <c r="DA21" s="971"/>
      <c r="DB21" s="971"/>
      <c r="DC21" s="971"/>
      <c r="DD21" s="971"/>
      <c r="DE21" s="971"/>
      <c r="DF21" s="971"/>
      <c r="DG21" s="971"/>
      <c r="DH21" s="971"/>
      <c r="DI21" s="971"/>
      <c r="DJ21" s="971"/>
      <c r="DK21" s="971"/>
      <c r="DL21" s="971"/>
      <c r="DM21" s="971"/>
      <c r="DN21" s="971"/>
      <c r="DO21" s="971"/>
      <c r="DP21" s="971"/>
      <c r="DQ21" s="971"/>
      <c r="DR21" s="971"/>
      <c r="DS21" s="971"/>
      <c r="DT21" s="971"/>
      <c r="DU21" s="971"/>
      <c r="DV21" s="971"/>
      <c r="DW21" s="971"/>
      <c r="DX21" s="971"/>
      <c r="DY21" s="971"/>
      <c r="DZ21" s="971"/>
      <c r="EA21" s="971"/>
      <c r="EB21" s="971"/>
      <c r="EC21" s="971"/>
      <c r="ED21" s="971"/>
      <c r="EE21" s="971"/>
      <c r="EF21" s="971"/>
      <c r="EG21" s="971"/>
      <c r="EH21" s="971"/>
      <c r="EI21" s="971"/>
      <c r="EJ21" s="971"/>
      <c r="EK21" s="971"/>
      <c r="EL21" s="971"/>
      <c r="EM21" s="971"/>
      <c r="EN21" s="971"/>
      <c r="EO21" s="971"/>
      <c r="EP21" s="971"/>
      <c r="EQ21" s="971"/>
      <c r="ER21" s="971"/>
      <c r="ES21" s="971"/>
      <c r="ET21" s="971"/>
      <c r="EU21" s="971"/>
      <c r="EV21" s="971"/>
      <c r="EW21" s="971"/>
      <c r="EX21" s="971"/>
      <c r="EY21" s="971"/>
      <c r="EZ21" s="971"/>
      <c r="FA21" s="971"/>
      <c r="FB21" s="971"/>
      <c r="FC21" s="971"/>
      <c r="FD21" s="971"/>
      <c r="FE21" s="971"/>
      <c r="FF21" s="971"/>
      <c r="FG21" s="971"/>
      <c r="FH21" s="971"/>
      <c r="FI21" s="971"/>
      <c r="FJ21" s="971"/>
      <c r="FK21" s="971"/>
      <c r="FL21" s="971"/>
      <c r="FM21" s="971"/>
      <c r="FN21" s="971"/>
      <c r="FO21" s="971"/>
      <c r="FP21" s="971"/>
      <c r="FQ21" s="971"/>
      <c r="FR21" s="971"/>
      <c r="FS21" s="971"/>
      <c r="FT21" s="971"/>
      <c r="FU21" s="971"/>
      <c r="FV21" s="971"/>
      <c r="FW21" s="971"/>
      <c r="FX21" s="971"/>
      <c r="FY21" s="971"/>
      <c r="FZ21" s="971"/>
      <c r="GA21" s="971"/>
      <c r="GB21" s="971"/>
      <c r="GC21" s="971"/>
      <c r="GD21" s="971"/>
      <c r="GE21" s="971"/>
      <c r="GF21" s="971"/>
      <c r="GG21" s="971"/>
      <c r="GH21" s="971"/>
      <c r="GI21" s="971"/>
      <c r="GJ21" s="971"/>
      <c r="GK21" s="971"/>
      <c r="GL21" s="971"/>
      <c r="GM21" s="971"/>
      <c r="GN21" s="971"/>
      <c r="GO21" s="971"/>
      <c r="GP21" s="971"/>
      <c r="GQ21" s="971"/>
      <c r="GR21" s="971"/>
      <c r="GS21" s="971"/>
      <c r="GT21" s="971"/>
      <c r="GU21" s="971"/>
      <c r="GV21" s="971"/>
      <c r="GW21" s="971"/>
      <c r="GX21" s="971"/>
      <c r="GY21" s="971"/>
      <c r="GZ21" s="971"/>
      <c r="HA21" s="971"/>
      <c r="HB21" s="971"/>
      <c r="HC21" s="971"/>
      <c r="HD21" s="971"/>
      <c r="HE21" s="971"/>
      <c r="HF21" s="971"/>
      <c r="HG21" s="971"/>
      <c r="HH21" s="971"/>
      <c r="HI21" s="971"/>
      <c r="HJ21" s="971"/>
      <c r="HK21" s="971"/>
      <c r="HL21" s="971"/>
      <c r="HM21" s="971"/>
      <c r="HN21" s="971"/>
      <c r="HO21" s="971"/>
      <c r="HP21" s="971"/>
      <c r="HQ21" s="971"/>
      <c r="HR21" s="971"/>
      <c r="HS21" s="971"/>
      <c r="HT21" s="971"/>
      <c r="HU21" s="971"/>
      <c r="HV21" s="971"/>
      <c r="HW21" s="971"/>
      <c r="HX21" s="971"/>
      <c r="HY21" s="971"/>
      <c r="HZ21" s="971"/>
      <c r="IA21" s="971"/>
      <c r="IB21" s="971"/>
      <c r="IC21" s="971"/>
      <c r="ID21" s="971"/>
      <c r="IE21" s="971"/>
      <c r="IF21" s="971"/>
      <c r="IG21" s="971"/>
      <c r="IH21" s="971"/>
      <c r="II21" s="971"/>
      <c r="IJ21" s="971"/>
      <c r="IK21" s="971"/>
      <c r="IL21" s="971"/>
      <c r="IM21" s="971"/>
      <c r="IN21" s="971"/>
      <c r="IO21" s="971"/>
      <c r="IP21" s="971"/>
      <c r="IQ21" s="971"/>
      <c r="IR21" s="971"/>
      <c r="IS21" s="971"/>
      <c r="IT21" s="971"/>
      <c r="IU21" s="971"/>
      <c r="IV21" s="971"/>
      <c r="IW21" s="971"/>
      <c r="IX21" s="971"/>
      <c r="IY21" s="971"/>
      <c r="IZ21" s="971"/>
      <c r="JA21" s="971"/>
      <c r="JB21" s="971"/>
      <c r="JC21" s="971"/>
      <c r="JD21" s="971"/>
      <c r="JE21" s="971"/>
      <c r="JF21" s="971"/>
      <c r="JG21" s="971"/>
      <c r="JH21" s="971"/>
      <c r="JI21" s="971"/>
      <c r="JJ21" s="971"/>
      <c r="JK21" s="971"/>
      <c r="JL21" s="971"/>
      <c r="JM21" s="971"/>
      <c r="JN21" s="971"/>
      <c r="JO21" s="971"/>
      <c r="JP21" s="971"/>
      <c r="JQ21" s="971"/>
      <c r="JR21" s="971"/>
      <c r="JS21" s="971"/>
      <c r="JT21" s="971"/>
      <c r="JU21" s="971"/>
      <c r="JV21" s="971"/>
      <c r="JW21" s="971"/>
      <c r="JX21" s="971"/>
      <c r="JY21" s="971"/>
      <c r="JZ21" s="971"/>
      <c r="KA21" s="971"/>
      <c r="KB21" s="971"/>
      <c r="KC21" s="971"/>
      <c r="KD21" s="971"/>
      <c r="KE21" s="971"/>
      <c r="KF21" s="971"/>
      <c r="KG21" s="971"/>
      <c r="KH21" s="971"/>
      <c r="KI21" s="971"/>
      <c r="KJ21" s="971"/>
      <c r="KK21" s="971"/>
      <c r="KL21" s="971"/>
      <c r="KM21" s="971"/>
      <c r="KN21" s="971"/>
      <c r="KO21" s="971"/>
      <c r="KP21" s="971"/>
      <c r="KQ21" s="971"/>
      <c r="KR21" s="971"/>
      <c r="KS21" s="971"/>
      <c r="KT21" s="971"/>
      <c r="KU21" s="971"/>
      <c r="KV21" s="971"/>
      <c r="KW21" s="971"/>
      <c r="KX21" s="971"/>
      <c r="KY21" s="971"/>
      <c r="KZ21" s="971"/>
      <c r="LA21" s="971"/>
      <c r="LB21" s="971"/>
      <c r="LC21" s="971"/>
      <c r="LD21" s="971"/>
      <c r="LE21" s="971"/>
      <c r="LF21" s="971"/>
      <c r="LG21" s="971"/>
      <c r="LH21" s="971"/>
      <c r="LI21" s="971"/>
      <c r="LJ21" s="971"/>
      <c r="LK21" s="971"/>
      <c r="LL21" s="971"/>
      <c r="LM21" s="971"/>
      <c r="LN21" s="971"/>
      <c r="LO21" s="971"/>
      <c r="LP21" s="971"/>
      <c r="LQ21" s="971"/>
      <c r="LR21" s="971"/>
      <c r="LS21" s="971"/>
      <c r="LT21" s="971"/>
      <c r="LU21" s="971"/>
      <c r="LV21" s="971"/>
      <c r="LW21" s="971"/>
      <c r="LX21" s="971"/>
      <c r="LY21" s="971"/>
      <c r="LZ21" s="971"/>
      <c r="MA21" s="971"/>
      <c r="MB21" s="971"/>
      <c r="MC21" s="971"/>
      <c r="MD21" s="971"/>
      <c r="ME21" s="971"/>
      <c r="MF21" s="971"/>
      <c r="MG21" s="971"/>
      <c r="MH21" s="971"/>
      <c r="MI21" s="971"/>
      <c r="MJ21" s="971"/>
      <c r="MK21" s="971"/>
      <c r="ML21" s="971"/>
      <c r="MM21" s="971"/>
      <c r="MN21" s="971"/>
      <c r="MO21" s="971"/>
      <c r="MP21" s="971"/>
      <c r="MQ21" s="971"/>
      <c r="MR21" s="971"/>
      <c r="MS21" s="971"/>
      <c r="MT21" s="971"/>
      <c r="MU21" s="971"/>
      <c r="MV21" s="971"/>
      <c r="MW21" s="971"/>
      <c r="MX21" s="971"/>
      <c r="MY21" s="971"/>
      <c r="MZ21" s="971"/>
      <c r="NA21" s="971"/>
      <c r="NB21" s="971"/>
      <c r="NC21" s="971"/>
      <c r="ND21" s="971"/>
      <c r="NE21" s="971"/>
      <c r="NF21" s="971"/>
      <c r="NG21" s="971"/>
      <c r="NH21" s="971"/>
      <c r="NI21" s="971"/>
      <c r="NJ21" s="971"/>
      <c r="NK21" s="971"/>
      <c r="NL21" s="971"/>
      <c r="NM21" s="971"/>
      <c r="NN21" s="971"/>
      <c r="NO21" s="971"/>
      <c r="NP21" s="971"/>
      <c r="NQ21" s="971"/>
      <c r="NR21" s="971"/>
      <c r="NS21" s="971"/>
      <c r="NT21" s="971"/>
      <c r="NU21" s="971"/>
      <c r="NV21" s="971"/>
      <c r="NW21" s="971"/>
      <c r="NX21" s="971"/>
      <c r="NY21" s="971"/>
      <c r="NZ21" s="971"/>
      <c r="OA21" s="971"/>
      <c r="OB21" s="971"/>
      <c r="OC21" s="971"/>
      <c r="OD21" s="971"/>
      <c r="OE21" s="971"/>
      <c r="OF21" s="971"/>
      <c r="OG21" s="971"/>
      <c r="OH21" s="971"/>
      <c r="OI21" s="971"/>
      <c r="OJ21" s="971"/>
      <c r="OK21" s="971"/>
      <c r="OL21" s="971"/>
      <c r="OM21" s="971"/>
      <c r="ON21" s="971"/>
      <c r="OO21" s="971"/>
      <c r="OP21" s="971"/>
      <c r="OQ21" s="971"/>
      <c r="OR21" s="971"/>
      <c r="OS21" s="971"/>
      <c r="OT21" s="971"/>
      <c r="OU21" s="971"/>
      <c r="OV21" s="971"/>
      <c r="OW21" s="971"/>
      <c r="OX21" s="971"/>
      <c r="OY21" s="971"/>
      <c r="OZ21" s="971"/>
      <c r="PA21" s="971"/>
      <c r="PB21" s="971"/>
      <c r="PC21" s="971"/>
      <c r="PD21" s="971"/>
      <c r="PE21" s="971"/>
      <c r="PF21" s="971"/>
      <c r="PG21" s="971"/>
      <c r="PH21" s="971"/>
      <c r="PI21" s="971"/>
      <c r="PJ21" s="971"/>
      <c r="PK21" s="971"/>
      <c r="PL21" s="971"/>
      <c r="PM21" s="971"/>
      <c r="PN21" s="971"/>
      <c r="PO21" s="971"/>
      <c r="PP21" s="971"/>
      <c r="PQ21" s="971"/>
      <c r="PR21" s="971"/>
      <c r="PS21" s="971"/>
      <c r="PT21" s="971"/>
      <c r="PU21" s="971"/>
      <c r="PV21" s="971"/>
      <c r="PW21" s="971"/>
      <c r="PX21" s="971"/>
      <c r="PY21" s="971"/>
      <c r="PZ21" s="971"/>
      <c r="QA21" s="971"/>
      <c r="QB21" s="971"/>
      <c r="QC21" s="971"/>
      <c r="QD21" s="971"/>
      <c r="QE21" s="971"/>
      <c r="QF21" s="971"/>
      <c r="QG21" s="971"/>
      <c r="QH21" s="971"/>
      <c r="QI21" s="971"/>
      <c r="QJ21" s="971"/>
      <c r="QK21" s="971"/>
      <c r="QL21" s="971"/>
      <c r="QM21" s="971"/>
      <c r="QN21" s="971"/>
      <c r="QO21" s="971"/>
      <c r="QP21" s="971"/>
      <c r="QQ21" s="971"/>
      <c r="QR21" s="971"/>
      <c r="QS21" s="971"/>
      <c r="QT21" s="971"/>
      <c r="QU21" s="971"/>
      <c r="QV21" s="971"/>
      <c r="QW21" s="971"/>
      <c r="QX21" s="971"/>
      <c r="QY21" s="971"/>
      <c r="QZ21" s="971"/>
      <c r="RA21" s="971"/>
      <c r="RB21" s="971"/>
      <c r="RC21" s="971"/>
      <c r="RD21" s="971"/>
      <c r="RE21" s="971"/>
      <c r="RF21" s="971"/>
      <c r="RG21" s="971"/>
      <c r="RH21" s="971"/>
      <c r="RI21" s="971"/>
      <c r="RJ21" s="971"/>
      <c r="RK21" s="971"/>
      <c r="RL21" s="971"/>
      <c r="RM21" s="971"/>
      <c r="RN21" s="971"/>
      <c r="RO21" s="971"/>
      <c r="RP21" s="971"/>
      <c r="RQ21" s="971"/>
      <c r="RR21" s="971"/>
      <c r="RS21" s="971"/>
      <c r="RT21" s="971"/>
      <c r="RU21" s="971"/>
      <c r="RV21" s="971"/>
      <c r="RW21" s="971"/>
      <c r="RX21" s="971"/>
      <c r="RY21" s="971"/>
      <c r="RZ21" s="971"/>
      <c r="SA21" s="971"/>
      <c r="SB21" s="971"/>
      <c r="SC21" s="971"/>
      <c r="SD21" s="971"/>
      <c r="SE21" s="971"/>
      <c r="SF21" s="971"/>
      <c r="SG21" s="971"/>
      <c r="SH21" s="971"/>
      <c r="SI21" s="971"/>
      <c r="SJ21" s="971"/>
      <c r="SK21" s="971"/>
      <c r="SL21" s="971"/>
      <c r="SM21" s="971"/>
      <c r="SN21" s="971"/>
      <c r="SO21" s="971"/>
      <c r="SP21" s="971"/>
      <c r="SQ21" s="971"/>
      <c r="SR21" s="971"/>
      <c r="SS21" s="971"/>
      <c r="ST21" s="971"/>
      <c r="SU21" s="971"/>
      <c r="SV21" s="971"/>
      <c r="SW21" s="971"/>
      <c r="SX21" s="971"/>
      <c r="SY21" s="971"/>
      <c r="SZ21" s="971"/>
      <c r="TA21" s="971"/>
      <c r="TB21" s="971"/>
      <c r="TC21" s="971"/>
      <c r="TD21" s="971"/>
      <c r="TE21" s="971"/>
      <c r="TF21" s="971"/>
      <c r="TG21" s="971"/>
      <c r="TH21" s="971"/>
      <c r="TI21" s="971"/>
      <c r="TJ21" s="971"/>
      <c r="TK21" s="971"/>
      <c r="TL21" s="971"/>
      <c r="TM21" s="971"/>
      <c r="TN21" s="971"/>
      <c r="TO21" s="971"/>
      <c r="TP21" s="971"/>
      <c r="TQ21" s="971"/>
      <c r="TR21" s="971"/>
      <c r="TS21" s="971"/>
      <c r="TT21" s="971"/>
      <c r="TU21" s="971"/>
      <c r="TV21" s="971"/>
      <c r="TW21" s="971"/>
      <c r="TX21" s="971"/>
      <c r="TY21" s="971"/>
      <c r="TZ21" s="971"/>
      <c r="UA21" s="971"/>
      <c r="UB21" s="971"/>
      <c r="UC21" s="971"/>
      <c r="UD21" s="971"/>
      <c r="UE21" s="971"/>
      <c r="UF21" s="971"/>
      <c r="UG21" s="971"/>
      <c r="UH21" s="971"/>
      <c r="UI21" s="971"/>
      <c r="UJ21" s="971"/>
      <c r="UK21" s="971"/>
      <c r="UL21" s="971"/>
      <c r="UM21" s="971"/>
      <c r="UN21" s="971"/>
      <c r="UO21" s="971"/>
      <c r="UP21" s="971"/>
      <c r="UQ21" s="971"/>
      <c r="UR21" s="971"/>
      <c r="US21" s="971"/>
      <c r="UT21" s="971"/>
      <c r="UU21" s="971"/>
      <c r="UV21" s="971"/>
      <c r="UW21" s="971"/>
      <c r="UX21" s="971"/>
      <c r="UY21" s="971"/>
      <c r="UZ21" s="971"/>
      <c r="VA21" s="971"/>
      <c r="VB21" s="971"/>
      <c r="VC21" s="971"/>
      <c r="VD21" s="971"/>
      <c r="VE21" s="971"/>
      <c r="VF21" s="971"/>
      <c r="VG21" s="971"/>
      <c r="VH21" s="971"/>
      <c r="VI21" s="971"/>
      <c r="VJ21" s="971"/>
      <c r="VK21" s="971"/>
      <c r="VL21" s="971"/>
      <c r="VM21" s="971"/>
      <c r="VN21" s="971"/>
      <c r="VO21" s="971"/>
      <c r="VP21" s="971"/>
      <c r="VQ21" s="971"/>
      <c r="VR21" s="971"/>
      <c r="VS21" s="971"/>
      <c r="VT21" s="971"/>
      <c r="VU21" s="971"/>
      <c r="VV21" s="971"/>
      <c r="VW21" s="971"/>
      <c r="VX21" s="971"/>
      <c r="VY21" s="971"/>
      <c r="VZ21" s="971"/>
      <c r="WA21" s="971"/>
      <c r="WB21" s="971"/>
      <c r="WC21" s="971"/>
      <c r="WD21" s="971"/>
      <c r="WE21" s="971"/>
      <c r="WF21" s="971"/>
      <c r="WG21" s="971"/>
      <c r="WH21" s="971"/>
      <c r="WI21" s="971"/>
      <c r="WJ21" s="971"/>
      <c r="WK21" s="971"/>
      <c r="WL21" s="971"/>
      <c r="WM21" s="971"/>
      <c r="WN21" s="971"/>
      <c r="WO21" s="971"/>
      <c r="WP21" s="971"/>
      <c r="WQ21" s="971"/>
      <c r="WR21" s="971"/>
      <c r="WS21" s="971"/>
      <c r="WT21" s="971"/>
      <c r="WU21" s="971"/>
      <c r="WV21" s="971"/>
      <c r="WW21" s="971"/>
      <c r="WX21" s="971"/>
      <c r="WY21" s="971"/>
      <c r="WZ21" s="971"/>
      <c r="XA21" s="971"/>
      <c r="XB21" s="971"/>
      <c r="XC21" s="971"/>
      <c r="XD21" s="971"/>
      <c r="XE21" s="971"/>
      <c r="XF21" s="971"/>
      <c r="XG21" s="971"/>
      <c r="XH21" s="971"/>
      <c r="XI21" s="971"/>
      <c r="XJ21" s="971"/>
      <c r="XK21" s="971"/>
      <c r="XL21" s="971"/>
      <c r="XM21" s="971"/>
      <c r="XN21" s="971"/>
      <c r="XO21" s="971"/>
      <c r="XP21" s="971"/>
      <c r="XQ21" s="971"/>
      <c r="XR21" s="971"/>
      <c r="XS21" s="971"/>
      <c r="XT21" s="971"/>
      <c r="XU21" s="971"/>
      <c r="XV21" s="971"/>
      <c r="XW21" s="971"/>
      <c r="XX21" s="971"/>
      <c r="XY21" s="971"/>
      <c r="XZ21" s="971"/>
      <c r="YA21" s="971"/>
      <c r="YB21" s="971"/>
      <c r="YC21" s="971"/>
      <c r="YD21" s="971"/>
      <c r="YE21" s="971"/>
      <c r="YF21" s="971"/>
      <c r="YG21" s="971"/>
      <c r="YH21" s="971"/>
      <c r="YI21" s="971"/>
      <c r="YJ21" s="971"/>
      <c r="YK21" s="971"/>
      <c r="YL21" s="971"/>
      <c r="YM21" s="971"/>
      <c r="YN21" s="971"/>
      <c r="YO21" s="971"/>
      <c r="YP21" s="971"/>
      <c r="YQ21" s="971"/>
      <c r="YR21" s="971"/>
      <c r="YS21" s="971"/>
      <c r="YT21" s="971"/>
      <c r="YU21" s="971"/>
      <c r="YV21" s="971"/>
      <c r="YW21" s="971"/>
      <c r="YX21" s="971"/>
      <c r="YY21" s="971"/>
      <c r="YZ21" s="971"/>
      <c r="ZA21" s="971"/>
      <c r="ZB21" s="971"/>
      <c r="ZC21" s="971"/>
      <c r="ZD21" s="971"/>
      <c r="ZE21" s="971"/>
      <c r="ZF21" s="971"/>
      <c r="ZG21" s="971"/>
      <c r="ZH21" s="971"/>
      <c r="ZI21" s="971"/>
      <c r="ZJ21" s="971"/>
      <c r="ZK21" s="971"/>
      <c r="ZL21" s="971"/>
      <c r="ZM21" s="971"/>
      <c r="ZN21" s="971"/>
      <c r="ZO21" s="971"/>
      <c r="ZP21" s="971"/>
      <c r="ZQ21" s="971"/>
      <c r="ZR21" s="971"/>
      <c r="ZS21" s="971"/>
      <c r="ZT21" s="971"/>
      <c r="ZU21" s="971"/>
      <c r="ZV21" s="971"/>
      <c r="ZW21" s="971"/>
      <c r="ZX21" s="971"/>
      <c r="ZY21" s="971"/>
      <c r="ZZ21" s="971"/>
      <c r="AAA21" s="971"/>
      <c r="AAB21" s="971"/>
      <c r="AAC21" s="971"/>
      <c r="AAD21" s="971"/>
      <c r="AAE21" s="971"/>
      <c r="AAF21" s="971"/>
      <c r="AAG21" s="971"/>
      <c r="AAH21" s="971"/>
      <c r="AAI21" s="971"/>
      <c r="AAJ21" s="971"/>
      <c r="AAK21" s="971"/>
      <c r="AAL21" s="971"/>
      <c r="AAM21" s="971"/>
      <c r="AAN21" s="971"/>
      <c r="AAO21" s="971"/>
      <c r="AAP21" s="971"/>
      <c r="AAQ21" s="971"/>
      <c r="AAR21" s="971"/>
      <c r="AAS21" s="971"/>
      <c r="AAT21" s="971"/>
      <c r="AAU21" s="971"/>
      <c r="AAV21" s="971"/>
      <c r="AAW21" s="971"/>
      <c r="AAX21" s="971"/>
      <c r="AAY21" s="971"/>
      <c r="AAZ21" s="971"/>
      <c r="ABA21" s="971"/>
      <c r="ABB21" s="971"/>
      <c r="ABC21" s="971"/>
      <c r="ABD21" s="971"/>
      <c r="ABE21" s="971"/>
      <c r="ABF21" s="971"/>
      <c r="ABG21" s="971"/>
      <c r="ABH21" s="971"/>
      <c r="ABI21" s="971"/>
      <c r="ABJ21" s="971"/>
      <c r="ABK21" s="971"/>
      <c r="ABL21" s="971"/>
      <c r="ABM21" s="971"/>
      <c r="ABN21" s="971"/>
      <c r="ABO21" s="971"/>
      <c r="ABP21" s="971"/>
      <c r="ABQ21" s="971"/>
      <c r="ABR21" s="971"/>
      <c r="ABS21" s="971"/>
      <c r="ABT21" s="971"/>
      <c r="ABU21" s="971"/>
      <c r="ABV21" s="971"/>
      <c r="ABW21" s="971"/>
      <c r="ABX21" s="971"/>
      <c r="ABY21" s="971"/>
      <c r="ABZ21" s="971"/>
      <c r="ACA21" s="971"/>
      <c r="ACB21" s="971"/>
      <c r="ACC21" s="971"/>
      <c r="ACD21" s="971"/>
      <c r="ACE21" s="971"/>
      <c r="ACF21" s="971"/>
      <c r="ACG21" s="971"/>
      <c r="ACH21" s="971"/>
      <c r="ACI21" s="971"/>
      <c r="ACJ21" s="971"/>
      <c r="ACK21" s="971"/>
      <c r="ACL21" s="971"/>
      <c r="ACM21" s="971"/>
      <c r="ACN21" s="971"/>
      <c r="ACO21" s="971"/>
      <c r="ACP21" s="971"/>
      <c r="ACQ21" s="971"/>
      <c r="ACR21" s="971"/>
      <c r="ACS21" s="971"/>
      <c r="ACT21" s="971"/>
      <c r="ACU21" s="971"/>
      <c r="ACV21" s="971"/>
      <c r="ACW21" s="971"/>
      <c r="ACX21" s="971"/>
      <c r="ACY21" s="971"/>
      <c r="ACZ21" s="971"/>
      <c r="ADA21" s="971"/>
      <c r="ADB21" s="971"/>
      <c r="ADC21" s="971"/>
      <c r="ADD21" s="971"/>
      <c r="ADE21" s="971"/>
      <c r="ADF21" s="971"/>
      <c r="ADG21" s="971"/>
      <c r="ADH21" s="971"/>
      <c r="ADI21" s="971"/>
      <c r="ADJ21" s="971"/>
      <c r="ADK21" s="971"/>
      <c r="ADL21" s="971"/>
      <c r="ADM21" s="971"/>
      <c r="ADN21" s="971"/>
      <c r="ADO21" s="971"/>
      <c r="ADP21" s="971"/>
      <c r="ADQ21" s="971"/>
      <c r="ADR21" s="971"/>
      <c r="ADS21" s="971"/>
      <c r="ADT21" s="971"/>
      <c r="ADU21" s="971"/>
      <c r="ADV21" s="971"/>
      <c r="ADW21" s="971"/>
      <c r="ADX21" s="971"/>
      <c r="ADY21" s="971"/>
      <c r="ADZ21" s="971"/>
      <c r="AEA21" s="971"/>
      <c r="AEB21" s="971"/>
      <c r="AEC21" s="971"/>
      <c r="AED21" s="971"/>
      <c r="AEE21" s="971"/>
      <c r="AEF21" s="971"/>
      <c r="AEG21" s="971"/>
      <c r="AEH21" s="971"/>
      <c r="AEI21" s="971"/>
      <c r="AEJ21" s="971"/>
      <c r="AEK21" s="971"/>
      <c r="AEL21" s="971"/>
      <c r="AEM21" s="971"/>
      <c r="AEN21" s="971"/>
      <c r="AEO21" s="971"/>
      <c r="AEP21" s="971"/>
      <c r="AEQ21" s="971"/>
      <c r="AER21" s="971"/>
      <c r="AES21" s="971"/>
      <c r="AET21" s="971"/>
      <c r="AEU21" s="971"/>
      <c r="AEV21" s="971"/>
      <c r="AEW21" s="971"/>
      <c r="AEX21" s="971"/>
      <c r="AEY21" s="971"/>
      <c r="AEZ21" s="971"/>
      <c r="AFA21" s="971"/>
      <c r="AFB21" s="971"/>
      <c r="AFC21" s="971"/>
      <c r="AFD21" s="971"/>
      <c r="AFE21" s="971"/>
      <c r="AFF21" s="971"/>
      <c r="AFG21" s="971"/>
      <c r="AFH21" s="971"/>
      <c r="AFI21" s="971"/>
      <c r="AFJ21" s="971"/>
      <c r="AFK21" s="971"/>
      <c r="AFL21" s="971"/>
      <c r="AFM21" s="971"/>
      <c r="AFN21" s="971"/>
      <c r="AFO21" s="971"/>
      <c r="AFP21" s="971"/>
      <c r="AFQ21" s="971"/>
      <c r="AFR21" s="971"/>
      <c r="AFS21" s="971"/>
      <c r="AFT21" s="971"/>
      <c r="AFU21" s="971"/>
      <c r="AFV21" s="971"/>
      <c r="AFW21" s="971"/>
      <c r="AFX21" s="971"/>
      <c r="AFY21" s="971"/>
      <c r="AFZ21" s="971"/>
      <c r="AGA21" s="971"/>
      <c r="AGB21" s="971"/>
      <c r="AGC21" s="971"/>
      <c r="AGD21" s="971"/>
      <c r="AGE21" s="971"/>
      <c r="AGF21" s="971"/>
      <c r="AGG21" s="971"/>
      <c r="AGH21" s="971"/>
      <c r="AGI21" s="971"/>
      <c r="AGJ21" s="971"/>
      <c r="AGK21" s="971"/>
      <c r="AGL21" s="971"/>
      <c r="AGM21" s="971"/>
      <c r="AGN21" s="971"/>
      <c r="AGO21" s="971"/>
      <c r="AGP21" s="971"/>
      <c r="AGQ21" s="971"/>
      <c r="AGR21" s="971"/>
      <c r="AGS21" s="971"/>
      <c r="AGT21" s="971"/>
      <c r="AGU21" s="971"/>
      <c r="AGV21" s="971"/>
      <c r="AGW21" s="971"/>
      <c r="AGX21" s="971"/>
      <c r="AGY21" s="971"/>
      <c r="AGZ21" s="971"/>
      <c r="AHA21" s="971"/>
      <c r="AHB21" s="971"/>
      <c r="AHC21" s="971"/>
      <c r="AHD21" s="971"/>
      <c r="AHE21" s="971"/>
      <c r="AHF21" s="971"/>
      <c r="AHG21" s="971"/>
      <c r="AHH21" s="971"/>
      <c r="AHI21" s="971"/>
      <c r="AHJ21" s="971"/>
      <c r="AHK21" s="971"/>
      <c r="AHL21" s="971"/>
      <c r="AHM21" s="971"/>
      <c r="AHN21" s="971"/>
      <c r="AHO21" s="971"/>
      <c r="AHP21" s="971"/>
      <c r="AHQ21" s="971"/>
      <c r="AHR21" s="971"/>
      <c r="AHS21" s="971"/>
      <c r="AHT21" s="971"/>
      <c r="AHU21" s="971"/>
      <c r="AHV21" s="971"/>
      <c r="AHW21" s="971"/>
      <c r="AHX21" s="971"/>
      <c r="AHY21" s="971"/>
      <c r="AHZ21" s="971"/>
      <c r="AIA21" s="971"/>
      <c r="AIB21" s="971"/>
      <c r="AIC21" s="971"/>
      <c r="AID21" s="971"/>
      <c r="AIE21" s="971"/>
      <c r="AIF21" s="971"/>
      <c r="AIG21" s="971"/>
      <c r="AIH21" s="971"/>
      <c r="AII21" s="971"/>
      <c r="AIJ21" s="971"/>
      <c r="AIK21" s="971"/>
      <c r="AIL21" s="971"/>
      <c r="AIM21" s="971"/>
      <c r="AIN21" s="971"/>
      <c r="AIO21" s="971"/>
      <c r="AIP21" s="971"/>
      <c r="AIQ21" s="971"/>
      <c r="AIR21" s="971"/>
      <c r="AIS21" s="971"/>
      <c r="AIT21" s="971"/>
      <c r="AIU21" s="971"/>
      <c r="AIV21" s="971"/>
      <c r="AIW21" s="971"/>
      <c r="AIX21" s="971"/>
      <c r="AIY21" s="971"/>
      <c r="AIZ21" s="971"/>
      <c r="AJA21" s="971"/>
      <c r="AJB21" s="971"/>
      <c r="AJC21" s="971"/>
      <c r="AJD21" s="971"/>
      <c r="AJE21" s="971"/>
      <c r="AJF21" s="971"/>
      <c r="AJG21" s="971"/>
      <c r="AJH21" s="971"/>
      <c r="AJI21" s="971"/>
      <c r="AJJ21" s="971"/>
      <c r="AJK21" s="971"/>
      <c r="AJL21" s="971"/>
      <c r="AJM21" s="971"/>
      <c r="AJN21" s="971"/>
      <c r="AJO21" s="971"/>
      <c r="AJP21" s="971"/>
      <c r="AJQ21" s="971"/>
      <c r="AJR21" s="971"/>
      <c r="AJS21" s="971"/>
      <c r="AJT21" s="971"/>
      <c r="AJU21" s="971"/>
      <c r="AJV21" s="971"/>
      <c r="AJW21" s="971"/>
      <c r="AJX21" s="971"/>
      <c r="AJY21" s="971"/>
      <c r="AJZ21" s="971"/>
      <c r="AKA21" s="971"/>
      <c r="AKB21" s="971"/>
      <c r="AKC21" s="971"/>
      <c r="AKD21" s="971"/>
      <c r="AKE21" s="971"/>
      <c r="AKF21" s="971"/>
      <c r="AKG21" s="971"/>
      <c r="AKH21" s="971"/>
      <c r="AKI21" s="971"/>
      <c r="AKJ21" s="971"/>
      <c r="AKK21" s="971"/>
      <c r="AKL21" s="971"/>
      <c r="AKM21" s="971"/>
      <c r="AKN21" s="971"/>
      <c r="AKO21" s="971"/>
      <c r="AKP21" s="971"/>
      <c r="AKQ21" s="971"/>
      <c r="AKR21" s="971"/>
      <c r="AKS21" s="971"/>
      <c r="AKT21" s="971"/>
      <c r="AKU21" s="971"/>
      <c r="AKV21" s="971"/>
      <c r="AKW21" s="971"/>
      <c r="AKX21" s="971"/>
      <c r="AKY21" s="971"/>
      <c r="AKZ21" s="971"/>
      <c r="ALA21" s="971"/>
      <c r="ALB21" s="971"/>
      <c r="ALC21" s="971"/>
      <c r="ALD21" s="971"/>
      <c r="ALE21" s="971"/>
      <c r="ALF21" s="971"/>
      <c r="ALG21" s="971"/>
      <c r="ALH21" s="971"/>
      <c r="ALI21" s="971"/>
      <c r="ALJ21" s="971"/>
      <c r="ALK21" s="971"/>
      <c r="ALL21" s="971"/>
    </row>
    <row r="22" s="929" customFormat="1" ht="13.5" customHeight="1" hidden="1">
      <c r="A22" s="971"/>
      <c r="B22" s="971"/>
      <c r="C22" s="971"/>
      <c r="D22" s="971"/>
      <c r="E22" s="971"/>
      <c r="F22" s="971"/>
      <c r="G22" s="971"/>
      <c r="H22" s="971"/>
      <c r="I22" s="971"/>
      <c r="J22" s="971"/>
      <c r="K22" s="971"/>
      <c r="L22" s="971"/>
      <c r="M22" s="971"/>
      <c r="N22" s="971"/>
      <c r="O22" s="971"/>
      <c r="P22" s="971"/>
      <c r="Q22" s="971"/>
      <c r="R22" s="971"/>
      <c r="S22" s="971"/>
      <c r="T22" s="971"/>
      <c r="U22" s="971"/>
      <c r="V22" s="971"/>
      <c r="W22" s="971"/>
      <c r="X22" s="971"/>
      <c r="Y22" s="971"/>
      <c r="Z22" s="971"/>
      <c r="AA22" s="971"/>
      <c r="AB22" s="971"/>
      <c r="AC22" s="971"/>
      <c r="AD22" s="971"/>
      <c r="AE22" s="971"/>
      <c r="AF22" s="971"/>
      <c r="AG22" s="971"/>
      <c r="AH22" s="971"/>
      <c r="AI22" s="971"/>
      <c r="AJ22" s="971"/>
      <c r="AK22" s="971"/>
      <c r="AL22" s="971"/>
      <c r="AM22" s="971"/>
      <c r="AN22" s="971"/>
      <c r="AO22" s="971"/>
      <c r="AP22" s="971"/>
      <c r="AQ22" s="971"/>
      <c r="AR22" s="971"/>
      <c r="AS22" s="971"/>
      <c r="AT22" s="971"/>
      <c r="AU22" s="971"/>
      <c r="AV22" s="971"/>
      <c r="AW22" s="971"/>
      <c r="AX22" s="971"/>
      <c r="AY22" s="971"/>
      <c r="AZ22" s="971"/>
      <c r="BA22" s="971"/>
      <c r="BB22" s="971"/>
      <c r="BC22" s="971"/>
      <c r="BD22" s="971"/>
      <c r="BE22" s="971"/>
      <c r="BF22" s="971"/>
      <c r="BG22" s="971"/>
      <c r="BH22" s="971"/>
      <c r="BI22" s="971"/>
      <c r="BJ22" s="971"/>
      <c r="BK22" s="971"/>
      <c r="BL22" s="971"/>
      <c r="BM22" s="971"/>
      <c r="BN22" s="971"/>
      <c r="BO22" s="971"/>
      <c r="BP22" s="971"/>
      <c r="BQ22" s="971"/>
      <c r="BR22" s="971"/>
      <c r="BS22" s="971"/>
      <c r="BT22" s="971"/>
      <c r="BU22" s="971"/>
      <c r="BV22" s="971"/>
      <c r="BW22" s="971"/>
      <c r="BX22" s="971"/>
      <c r="BY22" s="971"/>
      <c r="BZ22" s="971"/>
      <c r="CA22" s="971"/>
      <c r="CB22" s="971"/>
      <c r="CC22" s="971"/>
      <c r="CD22" s="971"/>
      <c r="CE22" s="971"/>
      <c r="CF22" s="971"/>
      <c r="CG22" s="971"/>
      <c r="CH22" s="971"/>
      <c r="CI22" s="971"/>
      <c r="CJ22" s="971"/>
      <c r="CK22" s="971"/>
      <c r="CL22" s="971"/>
      <c r="CM22" s="971"/>
      <c r="CN22" s="971"/>
      <c r="CO22" s="971"/>
      <c r="CP22" s="971"/>
      <c r="CQ22" s="971"/>
      <c r="CR22" s="971"/>
      <c r="CS22" s="971"/>
      <c r="CT22" s="971"/>
      <c r="CU22" s="971"/>
      <c r="CV22" s="971"/>
      <c r="CW22" s="971"/>
      <c r="CX22" s="971"/>
      <c r="CY22" s="971"/>
      <c r="CZ22" s="971"/>
      <c r="DA22" s="971"/>
      <c r="DB22" s="971"/>
      <c r="DC22" s="971"/>
      <c r="DD22" s="971"/>
      <c r="DE22" s="971"/>
      <c r="DF22" s="971"/>
      <c r="DG22" s="971"/>
      <c r="DH22" s="971"/>
      <c r="DI22" s="971"/>
      <c r="DJ22" s="971"/>
      <c r="DK22" s="971"/>
      <c r="DL22" s="971"/>
      <c r="DM22" s="971"/>
      <c r="DN22" s="971"/>
      <c r="DO22" s="971"/>
      <c r="DP22" s="971"/>
      <c r="DQ22" s="971"/>
      <c r="DR22" s="971"/>
      <c r="DS22" s="971"/>
      <c r="DT22" s="971"/>
      <c r="DU22" s="971"/>
      <c r="DV22" s="971"/>
      <c r="DW22" s="971"/>
      <c r="DX22" s="971"/>
      <c r="DY22" s="971"/>
      <c r="DZ22" s="971"/>
      <c r="EA22" s="971"/>
      <c r="EB22" s="971"/>
      <c r="EC22" s="971"/>
      <c r="ED22" s="971"/>
      <c r="EE22" s="971"/>
      <c r="EF22" s="971"/>
      <c r="EG22" s="971"/>
      <c r="EH22" s="971"/>
      <c r="EI22" s="971"/>
      <c r="EJ22" s="971"/>
      <c r="EK22" s="971"/>
      <c r="EL22" s="971"/>
      <c r="EM22" s="971"/>
      <c r="EN22" s="971"/>
      <c r="EO22" s="971"/>
      <c r="EP22" s="971"/>
      <c r="EQ22" s="971"/>
      <c r="ER22" s="971"/>
      <c r="ES22" s="971"/>
      <c r="ET22" s="971"/>
      <c r="EU22" s="971"/>
      <c r="EV22" s="971"/>
      <c r="EW22" s="971"/>
      <c r="EX22" s="971"/>
      <c r="EY22" s="971"/>
      <c r="EZ22" s="971"/>
      <c r="FA22" s="971"/>
      <c r="FB22" s="971"/>
      <c r="FC22" s="971"/>
      <c r="FD22" s="971"/>
      <c r="FE22" s="971"/>
      <c r="FF22" s="971"/>
      <c r="FG22" s="971"/>
      <c r="FH22" s="971"/>
      <c r="FI22" s="971"/>
      <c r="FJ22" s="971"/>
      <c r="FK22" s="971"/>
      <c r="FL22" s="971"/>
      <c r="FM22" s="971"/>
      <c r="FN22" s="971"/>
      <c r="FO22" s="971"/>
      <c r="FP22" s="971"/>
      <c r="FQ22" s="971"/>
      <c r="FR22" s="971"/>
      <c r="FS22" s="971"/>
      <c r="FT22" s="971"/>
      <c r="FU22" s="971"/>
      <c r="FV22" s="971"/>
      <c r="FW22" s="971"/>
      <c r="FX22" s="971"/>
      <c r="FY22" s="971"/>
      <c r="FZ22" s="971"/>
      <c r="GA22" s="971"/>
      <c r="GB22" s="971"/>
      <c r="GC22" s="971"/>
      <c r="GD22" s="971"/>
      <c r="GE22" s="971"/>
      <c r="GF22" s="971"/>
      <c r="GG22" s="971"/>
      <c r="GH22" s="971"/>
      <c r="GI22" s="971"/>
      <c r="GJ22" s="971"/>
      <c r="GK22" s="971"/>
      <c r="GL22" s="971"/>
      <c r="GM22" s="971"/>
      <c r="GN22" s="971"/>
      <c r="GO22" s="971"/>
      <c r="GP22" s="971"/>
      <c r="GQ22" s="971"/>
      <c r="GR22" s="971"/>
      <c r="GS22" s="971"/>
      <c r="GT22" s="971"/>
      <c r="GU22" s="971"/>
      <c r="GV22" s="971"/>
      <c r="GW22" s="971"/>
      <c r="GX22" s="971"/>
      <c r="GY22" s="971"/>
      <c r="GZ22" s="971"/>
      <c r="HA22" s="971"/>
      <c r="HB22" s="971"/>
      <c r="HC22" s="971"/>
      <c r="HD22" s="971"/>
      <c r="HE22" s="971"/>
      <c r="HF22" s="971"/>
      <c r="HG22" s="971"/>
      <c r="HH22" s="971"/>
      <c r="HI22" s="971"/>
      <c r="HJ22" s="971"/>
      <c r="HK22" s="971"/>
      <c r="HL22" s="971"/>
      <c r="HM22" s="971"/>
      <c r="HN22" s="971"/>
      <c r="HO22" s="971"/>
      <c r="HP22" s="971"/>
      <c r="HQ22" s="971"/>
      <c r="HR22" s="971"/>
      <c r="HS22" s="971"/>
      <c r="HT22" s="971"/>
      <c r="HU22" s="971"/>
      <c r="HV22" s="971"/>
      <c r="HW22" s="971"/>
      <c r="HX22" s="971"/>
      <c r="HY22" s="971"/>
      <c r="HZ22" s="971"/>
      <c r="IA22" s="971"/>
      <c r="IB22" s="971"/>
      <c r="IC22" s="971"/>
      <c r="ID22" s="971"/>
      <c r="IE22" s="971"/>
      <c r="IF22" s="971"/>
      <c r="IG22" s="971"/>
      <c r="IH22" s="971"/>
      <c r="II22" s="971"/>
      <c r="IJ22" s="971"/>
      <c r="IK22" s="971"/>
      <c r="IL22" s="971"/>
      <c r="IM22" s="971"/>
      <c r="IN22" s="971"/>
      <c r="IO22" s="971"/>
      <c r="IP22" s="971"/>
      <c r="IQ22" s="971"/>
      <c r="IR22" s="971"/>
      <c r="IS22" s="971"/>
      <c r="IT22" s="971"/>
      <c r="IU22" s="971"/>
      <c r="IV22" s="971"/>
      <c r="IW22" s="971"/>
      <c r="IX22" s="971"/>
      <c r="IY22" s="971"/>
      <c r="IZ22" s="971"/>
      <c r="JA22" s="971"/>
      <c r="JB22" s="971"/>
      <c r="JC22" s="971"/>
      <c r="JD22" s="971"/>
      <c r="JE22" s="971"/>
      <c r="JF22" s="971"/>
      <c r="JG22" s="971"/>
      <c r="JH22" s="971"/>
      <c r="JI22" s="971"/>
      <c r="JJ22" s="971"/>
      <c r="JK22" s="971"/>
      <c r="JL22" s="971"/>
      <c r="JM22" s="971"/>
      <c r="JN22" s="971"/>
      <c r="JO22" s="971"/>
      <c r="JP22" s="971"/>
      <c r="JQ22" s="971"/>
      <c r="JR22" s="971"/>
      <c r="JS22" s="971"/>
      <c r="JT22" s="971"/>
      <c r="JU22" s="971"/>
      <c r="JV22" s="971"/>
      <c r="JW22" s="971"/>
      <c r="JX22" s="971"/>
      <c r="JY22" s="971"/>
      <c r="JZ22" s="971"/>
      <c r="KA22" s="971"/>
      <c r="KB22" s="971"/>
      <c r="KC22" s="971"/>
      <c r="KD22" s="971"/>
      <c r="KE22" s="971"/>
      <c r="KF22" s="971"/>
      <c r="KG22" s="971"/>
      <c r="KH22" s="971"/>
      <c r="KI22" s="971"/>
      <c r="KJ22" s="971"/>
      <c r="KK22" s="971"/>
      <c r="KL22" s="971"/>
      <c r="KM22" s="971"/>
      <c r="KN22" s="971"/>
      <c r="KO22" s="971"/>
      <c r="KP22" s="971"/>
      <c r="KQ22" s="971"/>
      <c r="KR22" s="971"/>
      <c r="KS22" s="971"/>
      <c r="KT22" s="971"/>
      <c r="KU22" s="971"/>
      <c r="KV22" s="971"/>
      <c r="KW22" s="971"/>
      <c r="KX22" s="971"/>
      <c r="KY22" s="971"/>
      <c r="KZ22" s="971"/>
      <c r="LA22" s="971"/>
      <c r="LB22" s="971"/>
      <c r="LC22" s="971"/>
      <c r="LD22" s="971"/>
      <c r="LE22" s="971"/>
      <c r="LF22" s="971"/>
      <c r="LG22" s="971"/>
      <c r="LH22" s="971"/>
      <c r="LI22" s="971"/>
      <c r="LJ22" s="971"/>
      <c r="LK22" s="971"/>
      <c r="LL22" s="971"/>
      <c r="LM22" s="971"/>
      <c r="LN22" s="971"/>
      <c r="LO22" s="971"/>
      <c r="LP22" s="971"/>
      <c r="LQ22" s="971"/>
      <c r="LR22" s="971"/>
      <c r="LS22" s="971"/>
      <c r="LT22" s="971"/>
      <c r="LU22" s="971"/>
      <c r="LV22" s="971"/>
      <c r="LW22" s="971"/>
      <c r="LX22" s="971"/>
      <c r="LY22" s="971"/>
      <c r="LZ22" s="971"/>
      <c r="MA22" s="971"/>
      <c r="MB22" s="971"/>
      <c r="MC22" s="971"/>
      <c r="MD22" s="971"/>
      <c r="ME22" s="971"/>
      <c r="MF22" s="971"/>
      <c r="MG22" s="971"/>
      <c r="MH22" s="971"/>
      <c r="MI22" s="971"/>
      <c r="MJ22" s="971"/>
      <c r="MK22" s="971"/>
      <c r="ML22" s="971"/>
      <c r="MM22" s="971"/>
      <c r="MN22" s="971"/>
      <c r="MO22" s="971"/>
      <c r="MP22" s="971"/>
      <c r="MQ22" s="971"/>
      <c r="MR22" s="971"/>
      <c r="MS22" s="971"/>
      <c r="MT22" s="971"/>
      <c r="MU22" s="971"/>
      <c r="MV22" s="971"/>
      <c r="MW22" s="971"/>
      <c r="MX22" s="971"/>
      <c r="MY22" s="971"/>
      <c r="MZ22" s="971"/>
      <c r="NA22" s="971"/>
      <c r="NB22" s="971"/>
      <c r="NC22" s="971"/>
      <c r="ND22" s="971"/>
      <c r="NE22" s="971"/>
      <c r="NF22" s="971"/>
      <c r="NG22" s="971"/>
      <c r="NH22" s="971"/>
      <c r="NI22" s="971"/>
      <c r="NJ22" s="971"/>
      <c r="NK22" s="971"/>
      <c r="NL22" s="971"/>
      <c r="NM22" s="971"/>
      <c r="NN22" s="971"/>
      <c r="NO22" s="971"/>
      <c r="NP22" s="971"/>
      <c r="NQ22" s="971"/>
      <c r="NR22" s="971"/>
      <c r="NS22" s="971"/>
      <c r="NT22" s="971"/>
      <c r="NU22" s="971"/>
      <c r="NV22" s="971"/>
      <c r="NW22" s="971"/>
      <c r="NX22" s="971"/>
      <c r="NY22" s="971"/>
      <c r="NZ22" s="971"/>
      <c r="OA22" s="971"/>
      <c r="OB22" s="971"/>
      <c r="OC22" s="971"/>
      <c r="OD22" s="971"/>
      <c r="OE22" s="971"/>
      <c r="OF22" s="971"/>
      <c r="OG22" s="971"/>
      <c r="OH22" s="971"/>
      <c r="OI22" s="971"/>
      <c r="OJ22" s="971"/>
      <c r="OK22" s="971"/>
      <c r="OL22" s="971"/>
      <c r="OM22" s="971"/>
      <c r="ON22" s="971"/>
      <c r="OO22" s="971"/>
      <c r="OP22" s="971"/>
      <c r="OQ22" s="971"/>
      <c r="OR22" s="971"/>
      <c r="OS22" s="971"/>
      <c r="OT22" s="971"/>
      <c r="OU22" s="971"/>
      <c r="OV22" s="971"/>
      <c r="OW22" s="971"/>
      <c r="OX22" s="971"/>
      <c r="OY22" s="971"/>
      <c r="OZ22" s="971"/>
      <c r="PA22" s="971"/>
      <c r="PB22" s="971"/>
      <c r="PC22" s="971"/>
      <c r="PD22" s="971"/>
      <c r="PE22" s="971"/>
      <c r="PF22" s="971"/>
      <c r="PG22" s="971"/>
      <c r="PH22" s="971"/>
      <c r="PI22" s="971"/>
      <c r="PJ22" s="971"/>
      <c r="PK22" s="971"/>
      <c r="PL22" s="971"/>
      <c r="PM22" s="971"/>
      <c r="PN22" s="971"/>
      <c r="PO22" s="971"/>
      <c r="PP22" s="971"/>
      <c r="PQ22" s="971"/>
      <c r="PR22" s="971"/>
      <c r="PS22" s="971"/>
      <c r="PT22" s="971"/>
      <c r="PU22" s="971"/>
      <c r="PV22" s="971"/>
      <c r="PW22" s="971"/>
      <c r="PX22" s="971"/>
      <c r="PY22" s="971"/>
      <c r="PZ22" s="971"/>
      <c r="QA22" s="971"/>
      <c r="QB22" s="971"/>
      <c r="QC22" s="971"/>
      <c r="QD22" s="971"/>
      <c r="QE22" s="971"/>
      <c r="QF22" s="971"/>
      <c r="QG22" s="971"/>
      <c r="QH22" s="971"/>
      <c r="QI22" s="971"/>
      <c r="QJ22" s="971"/>
      <c r="QK22" s="971"/>
      <c r="QL22" s="971"/>
      <c r="QM22" s="971"/>
      <c r="QN22" s="971"/>
      <c r="QO22" s="971"/>
      <c r="QP22" s="971"/>
      <c r="QQ22" s="971"/>
      <c r="QR22" s="971"/>
      <c r="QS22" s="971"/>
      <c r="QT22" s="971"/>
      <c r="QU22" s="971"/>
      <c r="QV22" s="971"/>
      <c r="QW22" s="971"/>
      <c r="QX22" s="971"/>
      <c r="QY22" s="971"/>
      <c r="QZ22" s="971"/>
      <c r="RA22" s="971"/>
      <c r="RB22" s="971"/>
      <c r="RC22" s="971"/>
      <c r="RD22" s="971"/>
      <c r="RE22" s="971"/>
      <c r="RF22" s="971"/>
      <c r="RG22" s="971"/>
      <c r="RH22" s="971"/>
      <c r="RI22" s="971"/>
      <c r="RJ22" s="971"/>
      <c r="RK22" s="971"/>
      <c r="RL22" s="971"/>
      <c r="RM22" s="971"/>
      <c r="RN22" s="971"/>
      <c r="RO22" s="971"/>
      <c r="RP22" s="971"/>
      <c r="RQ22" s="971"/>
      <c r="RR22" s="971"/>
      <c r="RS22" s="971"/>
      <c r="RT22" s="971"/>
      <c r="RU22" s="971"/>
      <c r="RV22" s="971"/>
      <c r="RW22" s="971"/>
      <c r="RX22" s="971"/>
      <c r="RY22" s="971"/>
      <c r="RZ22" s="971"/>
      <c r="SA22" s="971"/>
      <c r="SB22" s="971"/>
      <c r="SC22" s="971"/>
      <c r="SD22" s="971"/>
      <c r="SE22" s="971"/>
      <c r="SF22" s="971"/>
      <c r="SG22" s="971"/>
      <c r="SH22" s="971"/>
      <c r="SI22" s="971"/>
      <c r="SJ22" s="971"/>
      <c r="SK22" s="971"/>
      <c r="SL22" s="971"/>
      <c r="SM22" s="971"/>
      <c r="SN22" s="971"/>
      <c r="SO22" s="971"/>
      <c r="SP22" s="971"/>
      <c r="SQ22" s="971"/>
      <c r="SR22" s="971"/>
      <c r="SS22" s="971"/>
      <c r="ST22" s="971"/>
      <c r="SU22" s="971"/>
      <c r="SV22" s="971"/>
      <c r="SW22" s="971"/>
      <c r="SX22" s="971"/>
      <c r="SY22" s="971"/>
      <c r="SZ22" s="971"/>
      <c r="TA22" s="971"/>
      <c r="TB22" s="971"/>
      <c r="TC22" s="971"/>
      <c r="TD22" s="971"/>
      <c r="TE22" s="971"/>
      <c r="TF22" s="971"/>
      <c r="TG22" s="971"/>
      <c r="TH22" s="971"/>
      <c r="TI22" s="971"/>
      <c r="TJ22" s="971"/>
      <c r="TK22" s="971"/>
      <c r="TL22" s="971"/>
      <c r="TM22" s="971"/>
      <c r="TN22" s="971"/>
      <c r="TO22" s="971"/>
      <c r="TP22" s="971"/>
      <c r="TQ22" s="971"/>
      <c r="TR22" s="971"/>
      <c r="TS22" s="971"/>
      <c r="TT22" s="971"/>
      <c r="TU22" s="971"/>
      <c r="TV22" s="971"/>
      <c r="TW22" s="971"/>
      <c r="TX22" s="971"/>
      <c r="TY22" s="971"/>
      <c r="TZ22" s="971"/>
      <c r="UA22" s="971"/>
      <c r="UB22" s="971"/>
      <c r="UC22" s="971"/>
      <c r="UD22" s="971"/>
      <c r="UE22" s="971"/>
      <c r="UF22" s="971"/>
      <c r="UG22" s="971"/>
      <c r="UH22" s="971"/>
      <c r="UI22" s="971"/>
      <c r="UJ22" s="971"/>
      <c r="UK22" s="971"/>
      <c r="UL22" s="971"/>
      <c r="UM22" s="971"/>
      <c r="UN22" s="971"/>
      <c r="UO22" s="971"/>
      <c r="UP22" s="971"/>
      <c r="UQ22" s="971"/>
      <c r="UR22" s="971"/>
      <c r="US22" s="971"/>
      <c r="UT22" s="971"/>
      <c r="UU22" s="971"/>
      <c r="UV22" s="971"/>
      <c r="UW22" s="971"/>
      <c r="UX22" s="971"/>
      <c r="UY22" s="971"/>
      <c r="UZ22" s="971"/>
      <c r="VA22" s="971"/>
      <c r="VB22" s="971"/>
      <c r="VC22" s="971"/>
      <c r="VD22" s="971"/>
      <c r="VE22" s="971"/>
      <c r="VF22" s="971"/>
      <c r="VG22" s="971"/>
      <c r="VH22" s="971"/>
      <c r="VI22" s="971"/>
      <c r="VJ22" s="971"/>
      <c r="VK22" s="971"/>
      <c r="VL22" s="971"/>
      <c r="VM22" s="971"/>
      <c r="VN22" s="971"/>
      <c r="VO22" s="971"/>
      <c r="VP22" s="971"/>
      <c r="VQ22" s="971"/>
      <c r="VR22" s="971"/>
      <c r="VS22" s="971"/>
      <c r="VT22" s="971"/>
      <c r="VU22" s="971"/>
      <c r="VV22" s="971"/>
      <c r="VW22" s="971"/>
      <c r="VX22" s="971"/>
      <c r="VY22" s="971"/>
      <c r="VZ22" s="971"/>
      <c r="WA22" s="971"/>
      <c r="WB22" s="971"/>
      <c r="WC22" s="971"/>
      <c r="WD22" s="971"/>
      <c r="WE22" s="971"/>
      <c r="WF22" s="971"/>
      <c r="WG22" s="971"/>
      <c r="WH22" s="971"/>
      <c r="WI22" s="971"/>
      <c r="WJ22" s="971"/>
      <c r="WK22" s="971"/>
      <c r="WL22" s="971"/>
      <c r="WM22" s="971"/>
      <c r="WN22" s="971"/>
      <c r="WO22" s="971"/>
      <c r="WP22" s="971"/>
      <c r="WQ22" s="971"/>
      <c r="WR22" s="971"/>
      <c r="WS22" s="971"/>
      <c r="WT22" s="971"/>
      <c r="WU22" s="971"/>
      <c r="WV22" s="971"/>
      <c r="WW22" s="971"/>
      <c r="WX22" s="971"/>
      <c r="WY22" s="971"/>
      <c r="WZ22" s="971"/>
      <c r="XA22" s="971"/>
      <c r="XB22" s="971"/>
      <c r="XC22" s="971"/>
      <c r="XD22" s="971"/>
      <c r="XE22" s="971"/>
      <c r="XF22" s="971"/>
      <c r="XG22" s="971"/>
      <c r="XH22" s="971"/>
      <c r="XI22" s="971"/>
      <c r="XJ22" s="971"/>
      <c r="XK22" s="971"/>
      <c r="XL22" s="971"/>
      <c r="XM22" s="971"/>
      <c r="XN22" s="971"/>
      <c r="XO22" s="971"/>
      <c r="XP22" s="971"/>
      <c r="XQ22" s="971"/>
      <c r="XR22" s="971"/>
      <c r="XS22" s="971"/>
      <c r="XT22" s="971"/>
      <c r="XU22" s="971"/>
      <c r="XV22" s="971"/>
      <c r="XW22" s="971"/>
      <c r="XX22" s="971"/>
      <c r="XY22" s="971"/>
      <c r="XZ22" s="971"/>
      <c r="YA22" s="971"/>
      <c r="YB22" s="971"/>
      <c r="YC22" s="971"/>
      <c r="YD22" s="971"/>
      <c r="YE22" s="971"/>
      <c r="YF22" s="971"/>
      <c r="YG22" s="971"/>
      <c r="YH22" s="971"/>
      <c r="YI22" s="971"/>
      <c r="YJ22" s="971"/>
      <c r="YK22" s="971"/>
      <c r="YL22" s="971"/>
      <c r="YM22" s="971"/>
      <c r="YN22" s="971"/>
      <c r="YO22" s="971"/>
      <c r="YP22" s="971"/>
      <c r="YQ22" s="971"/>
      <c r="YR22" s="971"/>
      <c r="YS22" s="971"/>
      <c r="YT22" s="971"/>
      <c r="YU22" s="971"/>
      <c r="YV22" s="971"/>
      <c r="YW22" s="971"/>
      <c r="YX22" s="971"/>
      <c r="YY22" s="971"/>
      <c r="YZ22" s="971"/>
      <c r="ZA22" s="971"/>
      <c r="ZB22" s="971"/>
      <c r="ZC22" s="971"/>
      <c r="ZD22" s="971"/>
      <c r="ZE22" s="971"/>
      <c r="ZF22" s="971"/>
      <c r="ZG22" s="971"/>
      <c r="ZH22" s="971"/>
      <c r="ZI22" s="971"/>
      <c r="ZJ22" s="971"/>
      <c r="ZK22" s="971"/>
      <c r="ZL22" s="971"/>
      <c r="ZM22" s="971"/>
      <c r="ZN22" s="971"/>
      <c r="ZO22" s="971"/>
      <c r="ZP22" s="971"/>
      <c r="ZQ22" s="971"/>
      <c r="ZR22" s="971"/>
      <c r="ZS22" s="971"/>
      <c r="ZT22" s="971"/>
      <c r="ZU22" s="971"/>
      <c r="ZV22" s="971"/>
      <c r="ZW22" s="971"/>
      <c r="ZX22" s="971"/>
      <c r="ZY22" s="971"/>
      <c r="ZZ22" s="971"/>
      <c r="AAA22" s="971"/>
      <c r="AAB22" s="971"/>
      <c r="AAC22" s="971"/>
      <c r="AAD22" s="971"/>
      <c r="AAE22" s="971"/>
      <c r="AAF22" s="971"/>
      <c r="AAG22" s="971"/>
      <c r="AAH22" s="971"/>
      <c r="AAI22" s="971"/>
      <c r="AAJ22" s="971"/>
      <c r="AAK22" s="971"/>
      <c r="AAL22" s="971"/>
      <c r="AAM22" s="971"/>
      <c r="AAN22" s="971"/>
      <c r="AAO22" s="971"/>
      <c r="AAP22" s="971"/>
      <c r="AAQ22" s="971"/>
      <c r="AAR22" s="971"/>
      <c r="AAS22" s="971"/>
      <c r="AAT22" s="971"/>
      <c r="AAU22" s="971"/>
      <c r="AAV22" s="971"/>
      <c r="AAW22" s="971"/>
      <c r="AAX22" s="971"/>
      <c r="AAY22" s="971"/>
      <c r="AAZ22" s="971"/>
      <c r="ABA22" s="971"/>
      <c r="ABB22" s="971"/>
      <c r="ABC22" s="971"/>
      <c r="ABD22" s="971"/>
      <c r="ABE22" s="971"/>
      <c r="ABF22" s="971"/>
      <c r="ABG22" s="971"/>
      <c r="ABH22" s="971"/>
      <c r="ABI22" s="971"/>
      <c r="ABJ22" s="971"/>
      <c r="ABK22" s="971"/>
      <c r="ABL22" s="971"/>
      <c r="ABM22" s="971"/>
      <c r="ABN22" s="971"/>
      <c r="ABO22" s="971"/>
      <c r="ABP22" s="971"/>
      <c r="ABQ22" s="971"/>
      <c r="ABR22" s="971"/>
      <c r="ABS22" s="971"/>
      <c r="ABT22" s="971"/>
      <c r="ABU22" s="971"/>
      <c r="ABV22" s="971"/>
      <c r="ABW22" s="971"/>
      <c r="ABX22" s="971"/>
      <c r="ABY22" s="971"/>
      <c r="ABZ22" s="971"/>
      <c r="ACA22" s="971"/>
      <c r="ACB22" s="971"/>
      <c r="ACC22" s="971"/>
      <c r="ACD22" s="971"/>
      <c r="ACE22" s="971"/>
      <c r="ACF22" s="971"/>
      <c r="ACG22" s="971"/>
      <c r="ACH22" s="971"/>
      <c r="ACI22" s="971"/>
      <c r="ACJ22" s="971"/>
      <c r="ACK22" s="971"/>
      <c r="ACL22" s="971"/>
      <c r="ACM22" s="971"/>
      <c r="ACN22" s="971"/>
      <c r="ACO22" s="971"/>
      <c r="ACP22" s="971"/>
      <c r="ACQ22" s="971"/>
      <c r="ACR22" s="971"/>
      <c r="ACS22" s="971"/>
      <c r="ACT22" s="971"/>
      <c r="ACU22" s="971"/>
      <c r="ACV22" s="971"/>
      <c r="ACW22" s="971"/>
      <c r="ACX22" s="971"/>
      <c r="ACY22" s="971"/>
      <c r="ACZ22" s="971"/>
      <c r="ADA22" s="971"/>
      <c r="ADB22" s="971"/>
      <c r="ADC22" s="971"/>
      <c r="ADD22" s="971"/>
      <c r="ADE22" s="971"/>
      <c r="ADF22" s="971"/>
      <c r="ADG22" s="971"/>
      <c r="ADH22" s="971"/>
      <c r="ADI22" s="971"/>
      <c r="ADJ22" s="971"/>
      <c r="ADK22" s="971"/>
      <c r="ADL22" s="971"/>
      <c r="ADM22" s="971"/>
      <c r="ADN22" s="971"/>
      <c r="ADO22" s="971"/>
      <c r="ADP22" s="971"/>
      <c r="ADQ22" s="971"/>
      <c r="ADR22" s="971"/>
      <c r="ADS22" s="971"/>
      <c r="ADT22" s="971"/>
      <c r="ADU22" s="971"/>
      <c r="ADV22" s="971"/>
      <c r="ADW22" s="971"/>
      <c r="ADX22" s="971"/>
      <c r="ADY22" s="971"/>
      <c r="ADZ22" s="971"/>
      <c r="AEA22" s="971"/>
      <c r="AEB22" s="971"/>
      <c r="AEC22" s="971"/>
      <c r="AED22" s="971"/>
      <c r="AEE22" s="971"/>
      <c r="AEF22" s="971"/>
      <c r="AEG22" s="971"/>
      <c r="AEH22" s="971"/>
      <c r="AEI22" s="971"/>
      <c r="AEJ22" s="971"/>
      <c r="AEK22" s="971"/>
      <c r="AEL22" s="971"/>
      <c r="AEM22" s="971"/>
      <c r="AEN22" s="971"/>
      <c r="AEO22" s="971"/>
      <c r="AEP22" s="971"/>
      <c r="AEQ22" s="971"/>
      <c r="AER22" s="971"/>
      <c r="AES22" s="971"/>
      <c r="AET22" s="971"/>
      <c r="AEU22" s="971"/>
      <c r="AEV22" s="971"/>
      <c r="AEW22" s="971"/>
      <c r="AEX22" s="971"/>
      <c r="AEY22" s="971"/>
      <c r="AEZ22" s="971"/>
      <c r="AFA22" s="971"/>
      <c r="AFB22" s="971"/>
      <c r="AFC22" s="971"/>
      <c r="AFD22" s="971"/>
      <c r="AFE22" s="971"/>
      <c r="AFF22" s="971"/>
      <c r="AFG22" s="971"/>
      <c r="AFH22" s="971"/>
      <c r="AFI22" s="971"/>
      <c r="AFJ22" s="971"/>
      <c r="AFK22" s="971"/>
      <c r="AFL22" s="971"/>
      <c r="AFM22" s="971"/>
      <c r="AFN22" s="971"/>
      <c r="AFO22" s="971"/>
      <c r="AFP22" s="971"/>
      <c r="AFQ22" s="971"/>
      <c r="AFR22" s="971"/>
      <c r="AFS22" s="971"/>
      <c r="AFT22" s="971"/>
      <c r="AFU22" s="971"/>
      <c r="AFV22" s="971"/>
      <c r="AFW22" s="971"/>
      <c r="AFX22" s="971"/>
      <c r="AFY22" s="971"/>
      <c r="AFZ22" s="971"/>
      <c r="AGA22" s="971"/>
      <c r="AGB22" s="971"/>
      <c r="AGC22" s="971"/>
      <c r="AGD22" s="971"/>
      <c r="AGE22" s="971"/>
      <c r="AGF22" s="971"/>
      <c r="AGG22" s="971"/>
      <c r="AGH22" s="971"/>
      <c r="AGI22" s="971"/>
      <c r="AGJ22" s="971"/>
      <c r="AGK22" s="971"/>
      <c r="AGL22" s="971"/>
      <c r="AGM22" s="971"/>
      <c r="AGN22" s="971"/>
      <c r="AGO22" s="971"/>
      <c r="AGP22" s="971"/>
      <c r="AGQ22" s="971"/>
      <c r="AGR22" s="971"/>
      <c r="AGS22" s="971"/>
      <c r="AGT22" s="971"/>
      <c r="AGU22" s="971"/>
      <c r="AGV22" s="971"/>
      <c r="AGW22" s="971"/>
      <c r="AGX22" s="971"/>
      <c r="AGY22" s="971"/>
      <c r="AGZ22" s="971"/>
      <c r="AHA22" s="971"/>
      <c r="AHB22" s="971"/>
      <c r="AHC22" s="971"/>
      <c r="AHD22" s="971"/>
      <c r="AHE22" s="971"/>
      <c r="AHF22" s="971"/>
      <c r="AHG22" s="971"/>
      <c r="AHH22" s="971"/>
      <c r="AHI22" s="971"/>
      <c r="AHJ22" s="971"/>
      <c r="AHK22" s="971"/>
      <c r="AHL22" s="971"/>
      <c r="AHM22" s="971"/>
      <c r="AHN22" s="971"/>
      <c r="AHO22" s="971"/>
      <c r="AHP22" s="971"/>
      <c r="AHQ22" s="971"/>
      <c r="AHR22" s="971"/>
      <c r="AHS22" s="971"/>
      <c r="AHT22" s="971"/>
      <c r="AHU22" s="971"/>
      <c r="AHV22" s="971"/>
      <c r="AHW22" s="971"/>
      <c r="AHX22" s="971"/>
      <c r="AHY22" s="971"/>
      <c r="AHZ22" s="971"/>
      <c r="AIA22" s="971"/>
      <c r="AIB22" s="971"/>
      <c r="AIC22" s="971"/>
      <c r="AID22" s="971"/>
      <c r="AIE22" s="971"/>
      <c r="AIF22" s="971"/>
      <c r="AIG22" s="971"/>
      <c r="AIH22" s="971"/>
      <c r="AII22" s="971"/>
      <c r="AIJ22" s="971"/>
      <c r="AIK22" s="971"/>
      <c r="AIL22" s="971"/>
      <c r="AIM22" s="971"/>
      <c r="AIN22" s="971"/>
      <c r="AIO22" s="971"/>
      <c r="AIP22" s="971"/>
      <c r="AIQ22" s="971"/>
      <c r="AIR22" s="971"/>
      <c r="AIS22" s="971"/>
      <c r="AIT22" s="971"/>
      <c r="AIU22" s="971"/>
      <c r="AIV22" s="971"/>
      <c r="AIW22" s="971"/>
      <c r="AIX22" s="971"/>
      <c r="AIY22" s="971"/>
      <c r="AIZ22" s="971"/>
      <c r="AJA22" s="971"/>
      <c r="AJB22" s="971"/>
      <c r="AJC22" s="971"/>
      <c r="AJD22" s="971"/>
      <c r="AJE22" s="971"/>
      <c r="AJF22" s="971"/>
      <c r="AJG22" s="971"/>
      <c r="AJH22" s="971"/>
      <c r="AJI22" s="971"/>
      <c r="AJJ22" s="971"/>
      <c r="AJK22" s="971"/>
      <c r="AJL22" s="971"/>
      <c r="AJM22" s="971"/>
      <c r="AJN22" s="971"/>
      <c r="AJO22" s="971"/>
      <c r="AJP22" s="971"/>
      <c r="AJQ22" s="971"/>
      <c r="AJR22" s="971"/>
      <c r="AJS22" s="971"/>
      <c r="AJT22" s="971"/>
      <c r="AJU22" s="971"/>
      <c r="AJV22" s="971"/>
      <c r="AJW22" s="971"/>
      <c r="AJX22" s="971"/>
      <c r="AJY22" s="971"/>
      <c r="AJZ22" s="971"/>
      <c r="AKA22" s="971"/>
      <c r="AKB22" s="971"/>
      <c r="AKC22" s="971"/>
      <c r="AKD22" s="971"/>
      <c r="AKE22" s="971"/>
      <c r="AKF22" s="971"/>
      <c r="AKG22" s="971"/>
      <c r="AKH22" s="971"/>
      <c r="AKI22" s="971"/>
      <c r="AKJ22" s="971"/>
      <c r="AKK22" s="971"/>
      <c r="AKL22" s="971"/>
      <c r="AKM22" s="971"/>
      <c r="AKN22" s="971"/>
      <c r="AKO22" s="971"/>
      <c r="AKP22" s="971"/>
      <c r="AKQ22" s="971"/>
      <c r="AKR22" s="971"/>
      <c r="AKS22" s="971"/>
      <c r="AKT22" s="971"/>
      <c r="AKU22" s="971"/>
      <c r="AKV22" s="971"/>
      <c r="AKW22" s="971"/>
      <c r="AKX22" s="971"/>
      <c r="AKY22" s="971"/>
      <c r="AKZ22" s="971"/>
      <c r="ALA22" s="971"/>
      <c r="ALB22" s="971"/>
      <c r="ALC22" s="971"/>
      <c r="ALD22" s="971"/>
      <c r="ALE22" s="971"/>
      <c r="ALF22" s="971"/>
      <c r="ALG22" s="971"/>
      <c r="ALH22" s="971"/>
      <c r="ALI22" s="971"/>
      <c r="ALJ22" s="971"/>
      <c r="ALK22" s="971"/>
      <c r="ALL22" s="971"/>
    </row>
    <row r="23" s="929" customFormat="1" ht="13.5" customHeight="1" hidden="1">
      <c r="A23" s="971"/>
      <c r="B23" s="971"/>
      <c r="C23" s="971"/>
      <c r="D23" s="971"/>
      <c r="E23" s="971"/>
      <c r="F23" s="971"/>
      <c r="G23" s="971"/>
      <c r="H23" s="971"/>
      <c r="I23" s="971"/>
      <c r="J23" s="971"/>
      <c r="K23" s="971"/>
      <c r="L23" s="971"/>
      <c r="M23" s="971"/>
      <c r="N23" s="971"/>
      <c r="O23" s="971"/>
      <c r="P23" s="971"/>
      <c r="Q23" s="971"/>
      <c r="R23" s="971"/>
      <c r="S23" s="971"/>
      <c r="T23" s="971"/>
      <c r="U23" s="971"/>
      <c r="V23" s="971"/>
      <c r="W23" s="971"/>
      <c r="X23" s="971"/>
      <c r="Y23" s="971"/>
      <c r="Z23" s="971"/>
      <c r="AA23" s="971"/>
      <c r="AB23" s="971"/>
      <c r="AC23" s="971"/>
      <c r="AD23" s="971"/>
      <c r="AE23" s="971"/>
      <c r="AF23" s="971"/>
      <c r="AG23" s="971"/>
      <c r="AH23" s="971"/>
      <c r="AI23" s="971"/>
      <c r="AJ23" s="971"/>
      <c r="AK23" s="971"/>
      <c r="AL23" s="971"/>
      <c r="AM23" s="971"/>
      <c r="AN23" s="971"/>
      <c r="AO23" s="971"/>
      <c r="AP23" s="971"/>
      <c r="AQ23" s="971"/>
      <c r="AR23" s="971"/>
      <c r="AS23" s="971"/>
      <c r="AT23" s="971"/>
      <c r="AU23" s="971"/>
      <c r="AV23" s="971"/>
      <c r="AW23" s="971"/>
      <c r="AX23" s="971"/>
      <c r="AY23" s="971"/>
      <c r="AZ23" s="971"/>
      <c r="BA23" s="971"/>
      <c r="BB23" s="971"/>
      <c r="BC23" s="971"/>
      <c r="BD23" s="971"/>
      <c r="BE23" s="971"/>
      <c r="BF23" s="971"/>
      <c r="BG23" s="971"/>
      <c r="BH23" s="971"/>
      <c r="BI23" s="971"/>
      <c r="BJ23" s="971"/>
      <c r="BK23" s="971"/>
      <c r="BL23" s="971"/>
      <c r="BM23" s="971"/>
      <c r="BN23" s="971"/>
      <c r="BO23" s="971"/>
      <c r="BP23" s="971"/>
      <c r="BQ23" s="971"/>
      <c r="BR23" s="971"/>
      <c r="BS23" s="971"/>
      <c r="BT23" s="971"/>
      <c r="BU23" s="971"/>
      <c r="BV23" s="971"/>
      <c r="BW23" s="971"/>
      <c r="BX23" s="971"/>
      <c r="BY23" s="971"/>
      <c r="BZ23" s="971"/>
      <c r="CA23" s="971"/>
      <c r="CB23" s="971"/>
      <c r="CC23" s="971"/>
      <c r="CD23" s="971"/>
      <c r="CE23" s="971"/>
      <c r="CF23" s="971"/>
      <c r="CG23" s="971"/>
      <c r="CH23" s="971"/>
      <c r="CI23" s="971"/>
      <c r="CJ23" s="971"/>
      <c r="CK23" s="971"/>
      <c r="CL23" s="971"/>
      <c r="CM23" s="971"/>
      <c r="CN23" s="971"/>
      <c r="CO23" s="971"/>
      <c r="CP23" s="971"/>
      <c r="CQ23" s="971"/>
      <c r="CR23" s="971"/>
      <c r="CS23" s="971"/>
      <c r="CT23" s="971"/>
      <c r="CU23" s="971"/>
      <c r="CV23" s="971"/>
      <c r="CW23" s="971"/>
      <c r="CX23" s="971"/>
      <c r="CY23" s="971"/>
      <c r="CZ23" s="971"/>
      <c r="DA23" s="971"/>
      <c r="DB23" s="971"/>
      <c r="DC23" s="971"/>
      <c r="DD23" s="971"/>
      <c r="DE23" s="971"/>
      <c r="DF23" s="971"/>
      <c r="DG23" s="971"/>
      <c r="DH23" s="971"/>
      <c r="DI23" s="971"/>
      <c r="DJ23" s="971"/>
      <c r="DK23" s="971"/>
      <c r="DL23" s="971"/>
      <c r="DM23" s="971"/>
      <c r="DN23" s="971"/>
      <c r="DO23" s="971"/>
      <c r="DP23" s="971"/>
      <c r="DQ23" s="971"/>
      <c r="DR23" s="971"/>
      <c r="DS23" s="971"/>
      <c r="DT23" s="971"/>
      <c r="DU23" s="971"/>
      <c r="DV23" s="971"/>
      <c r="DW23" s="971"/>
      <c r="DX23" s="971"/>
      <c r="DY23" s="971"/>
      <c r="DZ23" s="971"/>
      <c r="EA23" s="971"/>
      <c r="EB23" s="971"/>
      <c r="EC23" s="971"/>
      <c r="ED23" s="971"/>
      <c r="EE23" s="971"/>
      <c r="EF23" s="971"/>
      <c r="EG23" s="971"/>
      <c r="EH23" s="971"/>
      <c r="EI23" s="971"/>
      <c r="EJ23" s="971"/>
      <c r="EK23" s="971"/>
      <c r="EL23" s="971"/>
      <c r="EM23" s="971"/>
      <c r="EN23" s="971"/>
      <c r="EO23" s="971"/>
      <c r="EP23" s="971"/>
      <c r="EQ23" s="971"/>
      <c r="ER23" s="971"/>
      <c r="ES23" s="971"/>
      <c r="ET23" s="971"/>
      <c r="EU23" s="971"/>
      <c r="EV23" s="971"/>
      <c r="EW23" s="971"/>
      <c r="EX23" s="971"/>
      <c r="EY23" s="971"/>
      <c r="EZ23" s="971"/>
      <c r="FA23" s="971"/>
      <c r="FB23" s="971"/>
      <c r="FC23" s="971"/>
      <c r="FD23" s="971"/>
      <c r="FE23" s="971"/>
      <c r="FF23" s="971"/>
      <c r="FG23" s="971"/>
      <c r="FH23" s="971"/>
      <c r="FI23" s="971"/>
      <c r="FJ23" s="971"/>
      <c r="FK23" s="971"/>
      <c r="FL23" s="971"/>
      <c r="FM23" s="971"/>
      <c r="FN23" s="971"/>
      <c r="FO23" s="971"/>
      <c r="FP23" s="971"/>
      <c r="FQ23" s="971"/>
      <c r="FR23" s="971"/>
      <c r="FS23" s="971"/>
      <c r="FT23" s="971"/>
      <c r="FU23" s="971"/>
      <c r="FV23" s="971"/>
      <c r="FW23" s="971"/>
      <c r="FX23" s="971"/>
      <c r="FY23" s="971"/>
      <c r="FZ23" s="971"/>
      <c r="GA23" s="971"/>
      <c r="GB23" s="971"/>
      <c r="GC23" s="971"/>
      <c r="GD23" s="971"/>
      <c r="GE23" s="971"/>
      <c r="GF23" s="971"/>
      <c r="GG23" s="971"/>
      <c r="GH23" s="971"/>
      <c r="GI23" s="971"/>
      <c r="GJ23" s="971"/>
      <c r="GK23" s="971"/>
      <c r="GL23" s="971"/>
      <c r="GM23" s="971"/>
      <c r="GN23" s="971"/>
      <c r="GO23" s="971"/>
      <c r="GP23" s="971"/>
      <c r="GQ23" s="971"/>
      <c r="GR23" s="971"/>
      <c r="GS23" s="971"/>
      <c r="GT23" s="971"/>
      <c r="GU23" s="971"/>
      <c r="GV23" s="971"/>
      <c r="GW23" s="971"/>
      <c r="GX23" s="971"/>
      <c r="GY23" s="971"/>
      <c r="GZ23" s="971"/>
      <c r="HA23" s="971"/>
      <c r="HB23" s="971"/>
      <c r="HC23" s="971"/>
      <c r="HD23" s="971"/>
      <c r="HE23" s="971"/>
      <c r="HF23" s="971"/>
      <c r="HG23" s="971"/>
      <c r="HH23" s="971"/>
      <c r="HI23" s="971"/>
      <c r="HJ23" s="971"/>
      <c r="HK23" s="971"/>
      <c r="HL23" s="971"/>
      <c r="HM23" s="971"/>
      <c r="HN23" s="971"/>
      <c r="HO23" s="971"/>
      <c r="HP23" s="971"/>
      <c r="HQ23" s="971"/>
      <c r="HR23" s="971"/>
      <c r="HS23" s="971"/>
      <c r="HT23" s="971"/>
      <c r="HU23" s="971"/>
      <c r="HV23" s="971"/>
      <c r="HW23" s="971"/>
      <c r="HX23" s="971"/>
      <c r="HY23" s="971"/>
      <c r="HZ23" s="971"/>
      <c r="IA23" s="971"/>
      <c r="IB23" s="971"/>
      <c r="IC23" s="971"/>
      <c r="ID23" s="971"/>
      <c r="IE23" s="971"/>
      <c r="IF23" s="971"/>
      <c r="IG23" s="971"/>
      <c r="IH23" s="971"/>
      <c r="II23" s="971"/>
      <c r="IJ23" s="971"/>
      <c r="IK23" s="971"/>
      <c r="IL23" s="971"/>
      <c r="IM23" s="971"/>
      <c r="IN23" s="971"/>
      <c r="IO23" s="971"/>
      <c r="IP23" s="971"/>
      <c r="IQ23" s="971"/>
      <c r="IR23" s="971"/>
      <c r="IS23" s="971"/>
      <c r="IT23" s="971"/>
      <c r="IU23" s="971"/>
      <c r="IV23" s="971"/>
      <c r="IW23" s="971"/>
      <c r="IX23" s="971"/>
      <c r="IY23" s="971"/>
      <c r="IZ23" s="971"/>
      <c r="JA23" s="971"/>
      <c r="JB23" s="971"/>
      <c r="JC23" s="971"/>
      <c r="JD23" s="971"/>
      <c r="JE23" s="971"/>
      <c r="JF23" s="971"/>
      <c r="JG23" s="971"/>
      <c r="JH23" s="971"/>
      <c r="JI23" s="971"/>
      <c r="JJ23" s="971"/>
      <c r="JK23" s="971"/>
      <c r="JL23" s="971"/>
      <c r="JM23" s="971"/>
      <c r="JN23" s="971"/>
      <c r="JO23" s="971"/>
      <c r="JP23" s="971"/>
      <c r="JQ23" s="971"/>
      <c r="JR23" s="971"/>
      <c r="JS23" s="971"/>
      <c r="JT23" s="971"/>
      <c r="JU23" s="971"/>
      <c r="JV23" s="971"/>
      <c r="JW23" s="971"/>
      <c r="JX23" s="971"/>
      <c r="JY23" s="971"/>
      <c r="JZ23" s="971"/>
      <c r="KA23" s="971"/>
      <c r="KB23" s="971"/>
      <c r="KC23" s="971"/>
      <c r="KD23" s="971"/>
      <c r="KE23" s="971"/>
      <c r="KF23" s="971"/>
      <c r="KG23" s="971"/>
      <c r="KH23" s="971"/>
      <c r="KI23" s="971"/>
      <c r="KJ23" s="971"/>
      <c r="KK23" s="971"/>
      <c r="KL23" s="971"/>
      <c r="KM23" s="971"/>
      <c r="KN23" s="971"/>
      <c r="KO23" s="971"/>
      <c r="KP23" s="971"/>
      <c r="KQ23" s="971"/>
      <c r="KR23" s="971"/>
      <c r="KS23" s="971"/>
      <c r="KT23" s="971"/>
      <c r="KU23" s="971"/>
      <c r="KV23" s="971"/>
      <c r="KW23" s="971"/>
      <c r="KX23" s="971"/>
      <c r="KY23" s="971"/>
      <c r="KZ23" s="971"/>
      <c r="LA23" s="971"/>
      <c r="LB23" s="971"/>
      <c r="LC23" s="971"/>
      <c r="LD23" s="971"/>
      <c r="LE23" s="971"/>
      <c r="LF23" s="971"/>
      <c r="LG23" s="971"/>
      <c r="LH23" s="971"/>
      <c r="LI23" s="971"/>
      <c r="LJ23" s="971"/>
      <c r="LK23" s="971"/>
      <c r="LL23" s="971"/>
      <c r="LM23" s="971"/>
      <c r="LN23" s="971"/>
      <c r="LO23" s="971"/>
      <c r="LP23" s="971"/>
      <c r="LQ23" s="971"/>
      <c r="LR23" s="971"/>
      <c r="LS23" s="971"/>
      <c r="LT23" s="971"/>
      <c r="LU23" s="971"/>
      <c r="LV23" s="971"/>
      <c r="LW23" s="971"/>
      <c r="LX23" s="971"/>
      <c r="LY23" s="971"/>
      <c r="LZ23" s="971"/>
      <c r="MA23" s="971"/>
      <c r="MB23" s="971"/>
      <c r="MC23" s="971"/>
      <c r="MD23" s="971"/>
      <c r="ME23" s="971"/>
      <c r="MF23" s="971"/>
      <c r="MG23" s="971"/>
      <c r="MH23" s="971"/>
      <c r="MI23" s="971"/>
      <c r="MJ23" s="971"/>
      <c r="MK23" s="971"/>
      <c r="ML23" s="971"/>
      <c r="MM23" s="971"/>
      <c r="MN23" s="971"/>
      <c r="MO23" s="971"/>
      <c r="MP23" s="971"/>
      <c r="MQ23" s="971"/>
      <c r="MR23" s="971"/>
      <c r="MS23" s="971"/>
      <c r="MT23" s="971"/>
      <c r="MU23" s="971"/>
      <c r="MV23" s="971"/>
      <c r="MW23" s="971"/>
      <c r="MX23" s="971"/>
      <c r="MY23" s="971"/>
      <c r="MZ23" s="971"/>
      <c r="NA23" s="971"/>
      <c r="NB23" s="971"/>
      <c r="NC23" s="971"/>
      <c r="ND23" s="971"/>
      <c r="NE23" s="971"/>
      <c r="NF23" s="971"/>
      <c r="NG23" s="971"/>
      <c r="NH23" s="971"/>
      <c r="NI23" s="971"/>
      <c r="NJ23" s="971"/>
      <c r="NK23" s="971"/>
      <c r="NL23" s="971"/>
      <c r="NM23" s="971"/>
      <c r="NN23" s="971"/>
      <c r="NO23" s="971"/>
      <c r="NP23" s="971"/>
      <c r="NQ23" s="971"/>
      <c r="NR23" s="971"/>
      <c r="NS23" s="971"/>
      <c r="NT23" s="971"/>
      <c r="NU23" s="971"/>
      <c r="NV23" s="971"/>
      <c r="NW23" s="971"/>
      <c r="NX23" s="971"/>
      <c r="NY23" s="971"/>
      <c r="NZ23" s="971"/>
      <c r="OA23" s="971"/>
      <c r="OB23" s="971"/>
      <c r="OC23" s="971"/>
      <c r="OD23" s="971"/>
      <c r="OE23" s="971"/>
      <c r="OF23" s="971"/>
      <c r="OG23" s="971"/>
      <c r="OH23" s="971"/>
      <c r="OI23" s="971"/>
      <c r="OJ23" s="971"/>
      <c r="OK23" s="971"/>
      <c r="OL23" s="971"/>
      <c r="OM23" s="971"/>
      <c r="ON23" s="971"/>
      <c r="OO23" s="971"/>
      <c r="OP23" s="971"/>
      <c r="OQ23" s="971"/>
      <c r="OR23" s="971"/>
      <c r="OS23" s="971"/>
      <c r="OT23" s="971"/>
      <c r="OU23" s="971"/>
      <c r="OV23" s="971"/>
      <c r="OW23" s="971"/>
      <c r="OX23" s="971"/>
      <c r="OY23" s="971"/>
      <c r="OZ23" s="971"/>
      <c r="PA23" s="971"/>
      <c r="PB23" s="971"/>
      <c r="PC23" s="971"/>
      <c r="PD23" s="971"/>
      <c r="PE23" s="971"/>
      <c r="PF23" s="971"/>
      <c r="PG23" s="971"/>
      <c r="PH23" s="971"/>
      <c r="PI23" s="971"/>
      <c r="PJ23" s="971"/>
      <c r="PK23" s="971"/>
      <c r="PL23" s="971"/>
      <c r="PM23" s="971"/>
      <c r="PN23" s="971"/>
      <c r="PO23" s="971"/>
      <c r="PP23" s="971"/>
      <c r="PQ23" s="971"/>
      <c r="PR23" s="971"/>
      <c r="PS23" s="971"/>
      <c r="PT23" s="971"/>
      <c r="PU23" s="971"/>
      <c r="PV23" s="971"/>
      <c r="PW23" s="971"/>
      <c r="PX23" s="971"/>
      <c r="PY23" s="971"/>
      <c r="PZ23" s="971"/>
      <c r="QA23" s="971"/>
      <c r="QB23" s="971"/>
      <c r="QC23" s="971"/>
      <c r="QD23" s="971"/>
      <c r="QE23" s="971"/>
      <c r="QF23" s="971"/>
      <c r="QG23" s="971"/>
      <c r="QH23" s="971"/>
      <c r="QI23" s="971"/>
      <c r="QJ23" s="971"/>
      <c r="QK23" s="971"/>
      <c r="QL23" s="971"/>
      <c r="QM23" s="971"/>
      <c r="QN23" s="971"/>
      <c r="QO23" s="971"/>
      <c r="QP23" s="971"/>
      <c r="QQ23" s="971"/>
      <c r="QR23" s="971"/>
      <c r="QS23" s="971"/>
      <c r="QT23" s="971"/>
      <c r="QU23" s="971"/>
      <c r="QV23" s="971"/>
      <c r="QW23" s="971"/>
      <c r="QX23" s="971"/>
      <c r="QY23" s="971"/>
      <c r="QZ23" s="971"/>
      <c r="RA23" s="971"/>
      <c r="RB23" s="971"/>
      <c r="RC23" s="971"/>
      <c r="RD23" s="971"/>
      <c r="RE23" s="971"/>
      <c r="RF23" s="971"/>
      <c r="RG23" s="971"/>
      <c r="RH23" s="971"/>
      <c r="RI23" s="971"/>
      <c r="RJ23" s="971"/>
      <c r="RK23" s="971"/>
      <c r="RL23" s="971"/>
      <c r="RM23" s="971"/>
      <c r="RN23" s="971"/>
      <c r="RO23" s="971"/>
      <c r="RP23" s="971"/>
      <c r="RQ23" s="971"/>
      <c r="RR23" s="971"/>
      <c r="RS23" s="971"/>
      <c r="RT23" s="971"/>
      <c r="RU23" s="971"/>
      <c r="RV23" s="971"/>
      <c r="RW23" s="971"/>
      <c r="RX23" s="971"/>
      <c r="RY23" s="971"/>
      <c r="RZ23" s="971"/>
      <c r="SA23" s="971"/>
      <c r="SB23" s="971"/>
      <c r="SC23" s="971"/>
      <c r="SD23" s="971"/>
      <c r="SE23" s="971"/>
      <c r="SF23" s="971"/>
      <c r="SG23" s="971"/>
      <c r="SH23" s="971"/>
      <c r="SI23" s="971"/>
      <c r="SJ23" s="971"/>
      <c r="SK23" s="971"/>
      <c r="SL23" s="971"/>
      <c r="SM23" s="971"/>
      <c r="SN23" s="971"/>
      <c r="SO23" s="971"/>
      <c r="SP23" s="971"/>
      <c r="SQ23" s="971"/>
      <c r="SR23" s="971"/>
      <c r="SS23" s="971"/>
      <c r="ST23" s="971"/>
      <c r="SU23" s="971"/>
      <c r="SV23" s="971"/>
      <c r="SW23" s="971"/>
      <c r="SX23" s="971"/>
      <c r="SY23" s="971"/>
      <c r="SZ23" s="971"/>
      <c r="TA23" s="971"/>
      <c r="TB23" s="971"/>
      <c r="TC23" s="971"/>
      <c r="TD23" s="971"/>
      <c r="TE23" s="971"/>
      <c r="TF23" s="971"/>
      <c r="TG23" s="971"/>
      <c r="TH23" s="971"/>
      <c r="TI23" s="971"/>
      <c r="TJ23" s="971"/>
      <c r="TK23" s="971"/>
      <c r="TL23" s="971"/>
      <c r="TM23" s="971"/>
      <c r="TN23" s="971"/>
      <c r="TO23" s="971"/>
      <c r="TP23" s="971"/>
      <c r="TQ23" s="971"/>
      <c r="TR23" s="971"/>
      <c r="TS23" s="971"/>
      <c r="TT23" s="971"/>
      <c r="TU23" s="971"/>
      <c r="TV23" s="971"/>
      <c r="TW23" s="971"/>
      <c r="TX23" s="971"/>
      <c r="TY23" s="971"/>
      <c r="TZ23" s="971"/>
      <c r="UA23" s="971"/>
      <c r="UB23" s="971"/>
      <c r="UC23" s="971"/>
      <c r="UD23" s="971"/>
      <c r="UE23" s="971"/>
      <c r="UF23" s="971"/>
      <c r="UG23" s="971"/>
      <c r="UH23" s="971"/>
      <c r="UI23" s="971"/>
      <c r="UJ23" s="971"/>
      <c r="UK23" s="971"/>
      <c r="UL23" s="971"/>
      <c r="UM23" s="971"/>
      <c r="UN23" s="971"/>
      <c r="UO23" s="971"/>
      <c r="UP23" s="971"/>
      <c r="UQ23" s="971"/>
      <c r="UR23" s="971"/>
      <c r="US23" s="971"/>
      <c r="UT23" s="971"/>
      <c r="UU23" s="971"/>
      <c r="UV23" s="971"/>
      <c r="UW23" s="971"/>
      <c r="UX23" s="971"/>
      <c r="UY23" s="971"/>
      <c r="UZ23" s="971"/>
      <c r="VA23" s="971"/>
      <c r="VB23" s="971"/>
      <c r="VC23" s="971"/>
      <c r="VD23" s="971"/>
      <c r="VE23" s="971"/>
      <c r="VF23" s="971"/>
      <c r="VG23" s="971"/>
      <c r="VH23" s="971"/>
      <c r="VI23" s="971"/>
      <c r="VJ23" s="971"/>
      <c r="VK23" s="971"/>
      <c r="VL23" s="971"/>
      <c r="VM23" s="971"/>
      <c r="VN23" s="971"/>
      <c r="VO23" s="971"/>
      <c r="VP23" s="971"/>
      <c r="VQ23" s="971"/>
      <c r="VR23" s="971"/>
      <c r="VS23" s="971"/>
      <c r="VT23" s="971"/>
      <c r="VU23" s="971"/>
      <c r="VV23" s="971"/>
      <c r="VW23" s="971"/>
      <c r="VX23" s="971"/>
      <c r="VY23" s="971"/>
      <c r="VZ23" s="971"/>
      <c r="WA23" s="971"/>
      <c r="WB23" s="971"/>
      <c r="WC23" s="971"/>
      <c r="WD23" s="971"/>
      <c r="WE23" s="971"/>
      <c r="WF23" s="971"/>
      <c r="WG23" s="971"/>
      <c r="WH23" s="971"/>
      <c r="WI23" s="971"/>
      <c r="WJ23" s="971"/>
      <c r="WK23" s="971"/>
      <c r="WL23" s="971"/>
      <c r="WM23" s="971"/>
      <c r="WN23" s="971"/>
      <c r="WO23" s="971"/>
      <c r="WP23" s="971"/>
      <c r="WQ23" s="971"/>
      <c r="WR23" s="971"/>
      <c r="WS23" s="971"/>
      <c r="WT23" s="971"/>
      <c r="WU23" s="971"/>
      <c r="WV23" s="971"/>
      <c r="WW23" s="971"/>
      <c r="WX23" s="971"/>
      <c r="WY23" s="971"/>
      <c r="WZ23" s="971"/>
      <c r="XA23" s="971"/>
      <c r="XB23" s="971"/>
      <c r="XC23" s="971"/>
      <c r="XD23" s="971"/>
      <c r="XE23" s="971"/>
      <c r="XF23" s="971"/>
      <c r="XG23" s="971"/>
      <c r="XH23" s="971"/>
      <c r="XI23" s="971"/>
      <c r="XJ23" s="971"/>
      <c r="XK23" s="971"/>
      <c r="XL23" s="971"/>
      <c r="XM23" s="971"/>
      <c r="XN23" s="971"/>
      <c r="XO23" s="971"/>
      <c r="XP23" s="971"/>
      <c r="XQ23" s="971"/>
      <c r="XR23" s="971"/>
      <c r="XS23" s="971"/>
      <c r="XT23" s="971"/>
      <c r="XU23" s="971"/>
      <c r="XV23" s="971"/>
      <c r="XW23" s="971"/>
      <c r="XX23" s="971"/>
      <c r="XY23" s="971"/>
      <c r="XZ23" s="971"/>
      <c r="YA23" s="971"/>
      <c r="YB23" s="971"/>
      <c r="YC23" s="971"/>
      <c r="YD23" s="971"/>
      <c r="YE23" s="971"/>
      <c r="YF23" s="971"/>
      <c r="YG23" s="971"/>
      <c r="YH23" s="971"/>
      <c r="YI23" s="971"/>
      <c r="YJ23" s="971"/>
      <c r="YK23" s="971"/>
      <c r="YL23" s="971"/>
      <c r="YM23" s="971"/>
      <c r="YN23" s="971"/>
      <c r="YO23" s="971"/>
      <c r="YP23" s="971"/>
      <c r="YQ23" s="971"/>
      <c r="YR23" s="971"/>
      <c r="YS23" s="971"/>
      <c r="YT23" s="971"/>
      <c r="YU23" s="971"/>
      <c r="YV23" s="971"/>
      <c r="YW23" s="971"/>
      <c r="YX23" s="971"/>
      <c r="YY23" s="971"/>
      <c r="YZ23" s="971"/>
      <c r="ZA23" s="971"/>
      <c r="ZB23" s="971"/>
      <c r="ZC23" s="971"/>
      <c r="ZD23" s="971"/>
      <c r="ZE23" s="971"/>
      <c r="ZF23" s="971"/>
      <c r="ZG23" s="971"/>
      <c r="ZH23" s="971"/>
      <c r="ZI23" s="971"/>
      <c r="ZJ23" s="971"/>
      <c r="ZK23" s="971"/>
      <c r="ZL23" s="971"/>
      <c r="ZM23" s="971"/>
      <c r="ZN23" s="971"/>
      <c r="ZO23" s="971"/>
      <c r="ZP23" s="971"/>
      <c r="ZQ23" s="971"/>
      <c r="ZR23" s="971"/>
      <c r="ZS23" s="971"/>
      <c r="ZT23" s="971"/>
      <c r="ZU23" s="971"/>
      <c r="ZV23" s="971"/>
      <c r="ZW23" s="971"/>
      <c r="ZX23" s="971"/>
      <c r="ZY23" s="971"/>
      <c r="ZZ23" s="971"/>
      <c r="AAA23" s="971"/>
      <c r="AAB23" s="971"/>
      <c r="AAC23" s="971"/>
      <c r="AAD23" s="971"/>
      <c r="AAE23" s="971"/>
      <c r="AAF23" s="971"/>
      <c r="AAG23" s="971"/>
      <c r="AAH23" s="971"/>
      <c r="AAI23" s="971"/>
      <c r="AAJ23" s="971"/>
      <c r="AAK23" s="971"/>
      <c r="AAL23" s="971"/>
      <c r="AAM23" s="971"/>
      <c r="AAN23" s="971"/>
      <c r="AAO23" s="971"/>
      <c r="AAP23" s="971"/>
      <c r="AAQ23" s="971"/>
      <c r="AAR23" s="971"/>
      <c r="AAS23" s="971"/>
      <c r="AAT23" s="971"/>
      <c r="AAU23" s="971"/>
      <c r="AAV23" s="971"/>
      <c r="AAW23" s="971"/>
      <c r="AAX23" s="971"/>
      <c r="AAY23" s="971"/>
      <c r="AAZ23" s="971"/>
      <c r="ABA23" s="971"/>
      <c r="ABB23" s="971"/>
      <c r="ABC23" s="971"/>
      <c r="ABD23" s="971"/>
      <c r="ABE23" s="971"/>
      <c r="ABF23" s="971"/>
      <c r="ABG23" s="971"/>
      <c r="ABH23" s="971"/>
      <c r="ABI23" s="971"/>
      <c r="ABJ23" s="971"/>
      <c r="ABK23" s="971"/>
      <c r="ABL23" s="971"/>
      <c r="ABM23" s="971"/>
      <c r="ABN23" s="971"/>
      <c r="ABO23" s="971"/>
      <c r="ABP23" s="971"/>
      <c r="ABQ23" s="971"/>
      <c r="ABR23" s="971"/>
      <c r="ABS23" s="971"/>
      <c r="ABT23" s="971"/>
      <c r="ABU23" s="971"/>
      <c r="ABV23" s="971"/>
      <c r="ABW23" s="971"/>
      <c r="ABX23" s="971"/>
      <c r="ABY23" s="971"/>
      <c r="ABZ23" s="971"/>
      <c r="ACA23" s="971"/>
      <c r="ACB23" s="971"/>
      <c r="ACC23" s="971"/>
      <c r="ACD23" s="971"/>
      <c r="ACE23" s="971"/>
      <c r="ACF23" s="971"/>
      <c r="ACG23" s="971"/>
      <c r="ACH23" s="971"/>
      <c r="ACI23" s="971"/>
      <c r="ACJ23" s="971"/>
      <c r="ACK23" s="971"/>
      <c r="ACL23" s="971"/>
      <c r="ACM23" s="971"/>
      <c r="ACN23" s="971"/>
      <c r="ACO23" s="971"/>
      <c r="ACP23" s="971"/>
      <c r="ACQ23" s="971"/>
      <c r="ACR23" s="971"/>
      <c r="ACS23" s="971"/>
      <c r="ACT23" s="971"/>
      <c r="ACU23" s="971"/>
      <c r="ACV23" s="971"/>
      <c r="ACW23" s="971"/>
      <c r="ACX23" s="971"/>
      <c r="ACY23" s="971"/>
      <c r="ACZ23" s="971"/>
      <c r="ADA23" s="971"/>
      <c r="ADB23" s="971"/>
      <c r="ADC23" s="971"/>
      <c r="ADD23" s="971"/>
      <c r="ADE23" s="971"/>
      <c r="ADF23" s="971"/>
      <c r="ADG23" s="971"/>
      <c r="ADH23" s="971"/>
      <c r="ADI23" s="971"/>
      <c r="ADJ23" s="971"/>
      <c r="ADK23" s="971"/>
      <c r="ADL23" s="971"/>
      <c r="ADM23" s="971"/>
      <c r="ADN23" s="971"/>
      <c r="ADO23" s="971"/>
      <c r="ADP23" s="971"/>
      <c r="ADQ23" s="971"/>
      <c r="ADR23" s="971"/>
      <c r="ADS23" s="971"/>
      <c r="ADT23" s="971"/>
      <c r="ADU23" s="971"/>
      <c r="ADV23" s="971"/>
      <c r="ADW23" s="971"/>
      <c r="ADX23" s="971"/>
      <c r="ADY23" s="971"/>
      <c r="ADZ23" s="971"/>
      <c r="AEA23" s="971"/>
      <c r="AEB23" s="971"/>
      <c r="AEC23" s="971"/>
      <c r="AED23" s="971"/>
      <c r="AEE23" s="971"/>
      <c r="AEF23" s="971"/>
      <c r="AEG23" s="971"/>
      <c r="AEH23" s="971"/>
      <c r="AEI23" s="971"/>
      <c r="AEJ23" s="971"/>
      <c r="AEK23" s="971"/>
      <c r="AEL23" s="971"/>
      <c r="AEM23" s="971"/>
      <c r="AEN23" s="971"/>
      <c r="AEO23" s="971"/>
      <c r="AEP23" s="971"/>
      <c r="AEQ23" s="971"/>
      <c r="AER23" s="971"/>
      <c r="AES23" s="971"/>
      <c r="AET23" s="971"/>
      <c r="AEU23" s="971"/>
      <c r="AEV23" s="971"/>
      <c r="AEW23" s="971"/>
      <c r="AEX23" s="971"/>
      <c r="AEY23" s="971"/>
      <c r="AEZ23" s="971"/>
      <c r="AFA23" s="971"/>
      <c r="AFB23" s="971"/>
      <c r="AFC23" s="971"/>
      <c r="AFD23" s="971"/>
      <c r="AFE23" s="971"/>
      <c r="AFF23" s="971"/>
      <c r="AFG23" s="971"/>
      <c r="AFH23" s="971"/>
      <c r="AFI23" s="971"/>
      <c r="AFJ23" s="971"/>
      <c r="AFK23" s="971"/>
      <c r="AFL23" s="971"/>
      <c r="AFM23" s="971"/>
      <c r="AFN23" s="971"/>
      <c r="AFO23" s="971"/>
      <c r="AFP23" s="971"/>
      <c r="AFQ23" s="971"/>
      <c r="AFR23" s="971"/>
      <c r="AFS23" s="971"/>
      <c r="AFT23" s="971"/>
      <c r="AFU23" s="971"/>
      <c r="AFV23" s="971"/>
      <c r="AFW23" s="971"/>
      <c r="AFX23" s="971"/>
      <c r="AFY23" s="971"/>
      <c r="AFZ23" s="971"/>
      <c r="AGA23" s="971"/>
      <c r="AGB23" s="971"/>
      <c r="AGC23" s="971"/>
      <c r="AGD23" s="971"/>
      <c r="AGE23" s="971"/>
      <c r="AGF23" s="971"/>
      <c r="AGG23" s="971"/>
      <c r="AGH23" s="971"/>
      <c r="AGI23" s="971"/>
      <c r="AGJ23" s="971"/>
      <c r="AGK23" s="971"/>
      <c r="AGL23" s="971"/>
      <c r="AGM23" s="971"/>
      <c r="AGN23" s="971"/>
      <c r="AGO23" s="971"/>
      <c r="AGP23" s="971"/>
      <c r="AGQ23" s="971"/>
      <c r="AGR23" s="971"/>
      <c r="AGS23" s="971"/>
      <c r="AGT23" s="971"/>
      <c r="AGU23" s="971"/>
      <c r="AGV23" s="971"/>
      <c r="AGW23" s="971"/>
      <c r="AGX23" s="971"/>
      <c r="AGY23" s="971"/>
      <c r="AGZ23" s="971"/>
      <c r="AHA23" s="971"/>
      <c r="AHB23" s="971"/>
      <c r="AHC23" s="971"/>
      <c r="AHD23" s="971"/>
      <c r="AHE23" s="971"/>
      <c r="AHF23" s="971"/>
      <c r="AHG23" s="971"/>
      <c r="AHH23" s="971"/>
      <c r="AHI23" s="971"/>
      <c r="AHJ23" s="971"/>
      <c r="AHK23" s="971"/>
      <c r="AHL23" s="971"/>
      <c r="AHM23" s="971"/>
      <c r="AHN23" s="971"/>
      <c r="AHO23" s="971"/>
      <c r="AHP23" s="971"/>
      <c r="AHQ23" s="971"/>
      <c r="AHR23" s="971"/>
      <c r="AHS23" s="971"/>
      <c r="AHT23" s="971"/>
      <c r="AHU23" s="971"/>
      <c r="AHV23" s="971"/>
      <c r="AHW23" s="971"/>
      <c r="AHX23" s="971"/>
      <c r="AHY23" s="971"/>
      <c r="AHZ23" s="971"/>
      <c r="AIA23" s="971"/>
      <c r="AIB23" s="971"/>
      <c r="AIC23" s="971"/>
      <c r="AID23" s="971"/>
      <c r="AIE23" s="971"/>
      <c r="AIF23" s="971"/>
      <c r="AIG23" s="971"/>
      <c r="AIH23" s="971"/>
      <c r="AII23" s="971"/>
      <c r="AIJ23" s="971"/>
      <c r="AIK23" s="971"/>
      <c r="AIL23" s="971"/>
      <c r="AIM23" s="971"/>
      <c r="AIN23" s="971"/>
      <c r="AIO23" s="971"/>
      <c r="AIP23" s="971"/>
      <c r="AIQ23" s="971"/>
      <c r="AIR23" s="971"/>
      <c r="AIS23" s="971"/>
      <c r="AIT23" s="971"/>
      <c r="AIU23" s="971"/>
      <c r="AIV23" s="971"/>
      <c r="AIW23" s="971"/>
      <c r="AIX23" s="971"/>
      <c r="AIY23" s="971"/>
      <c r="AIZ23" s="971"/>
      <c r="AJA23" s="971"/>
      <c r="AJB23" s="971"/>
      <c r="AJC23" s="971"/>
      <c r="AJD23" s="971"/>
      <c r="AJE23" s="971"/>
      <c r="AJF23" s="971"/>
      <c r="AJG23" s="971"/>
      <c r="AJH23" s="971"/>
      <c r="AJI23" s="971"/>
      <c r="AJJ23" s="971"/>
      <c r="AJK23" s="971"/>
      <c r="AJL23" s="971"/>
      <c r="AJM23" s="971"/>
      <c r="AJN23" s="971"/>
      <c r="AJO23" s="971"/>
      <c r="AJP23" s="971"/>
      <c r="AJQ23" s="971"/>
      <c r="AJR23" s="971"/>
      <c r="AJS23" s="971"/>
      <c r="AJT23" s="971"/>
      <c r="AJU23" s="971"/>
      <c r="AJV23" s="971"/>
      <c r="AJW23" s="971"/>
      <c r="AJX23" s="971"/>
      <c r="AJY23" s="971"/>
      <c r="AJZ23" s="971"/>
      <c r="AKA23" s="971"/>
      <c r="AKB23" s="971"/>
      <c r="AKC23" s="971"/>
      <c r="AKD23" s="971"/>
      <c r="AKE23" s="971"/>
      <c r="AKF23" s="971"/>
      <c r="AKG23" s="971"/>
      <c r="AKH23" s="971"/>
      <c r="AKI23" s="971"/>
      <c r="AKJ23" s="971"/>
      <c r="AKK23" s="971"/>
      <c r="AKL23" s="971"/>
      <c r="AKM23" s="971"/>
      <c r="AKN23" s="971"/>
      <c r="AKO23" s="971"/>
      <c r="AKP23" s="971"/>
      <c r="AKQ23" s="971"/>
      <c r="AKR23" s="971"/>
      <c r="AKS23" s="971"/>
      <c r="AKT23" s="971"/>
      <c r="AKU23" s="971"/>
      <c r="AKV23" s="971"/>
      <c r="AKW23" s="971"/>
      <c r="AKX23" s="971"/>
      <c r="AKY23" s="971"/>
      <c r="AKZ23" s="971"/>
      <c r="ALA23" s="971"/>
      <c r="ALB23" s="971"/>
      <c r="ALC23" s="971"/>
      <c r="ALD23" s="971"/>
      <c r="ALE23" s="971"/>
      <c r="ALF23" s="971"/>
      <c r="ALG23" s="971"/>
      <c r="ALH23" s="971"/>
      <c r="ALI23" s="971"/>
      <c r="ALJ23" s="971"/>
      <c r="ALK23" s="971"/>
      <c r="ALL23" s="971"/>
    </row>
    <row r="24" s="929" customFormat="1" ht="13.5" customHeight="1" hidden="1">
      <c r="A24" s="971"/>
      <c r="B24" s="971"/>
      <c r="C24" s="971"/>
      <c r="D24" s="971"/>
      <c r="E24" s="971"/>
      <c r="F24" s="971"/>
      <c r="G24" s="971"/>
      <c r="H24" s="971"/>
      <c r="I24" s="971"/>
      <c r="J24" s="971"/>
      <c r="K24" s="971"/>
      <c r="L24" s="971"/>
      <c r="M24" s="971"/>
      <c r="N24" s="971"/>
      <c r="O24" s="971"/>
      <c r="P24" s="971"/>
      <c r="Q24" s="971"/>
      <c r="R24" s="971"/>
      <c r="S24" s="971"/>
      <c r="T24" s="971"/>
      <c r="U24" s="971"/>
      <c r="V24" s="971"/>
      <c r="W24" s="971"/>
      <c r="X24" s="971"/>
      <c r="Y24" s="971"/>
      <c r="Z24" s="971"/>
      <c r="AA24" s="971"/>
      <c r="AB24" s="971"/>
      <c r="AC24" s="971"/>
      <c r="AD24" s="971"/>
      <c r="AE24" s="971"/>
      <c r="AF24" s="971"/>
      <c r="AG24" s="971"/>
      <c r="AH24" s="971"/>
      <c r="AI24" s="971"/>
      <c r="AJ24" s="971"/>
      <c r="AK24" s="971"/>
      <c r="AL24" s="971"/>
      <c r="AM24" s="971"/>
      <c r="AN24" s="971"/>
      <c r="AO24" s="971"/>
      <c r="AP24" s="971"/>
      <c r="AQ24" s="971"/>
      <c r="AR24" s="971"/>
      <c r="AS24" s="971"/>
      <c r="AT24" s="971"/>
      <c r="AU24" s="971"/>
      <c r="AV24" s="971"/>
      <c r="AW24" s="971"/>
      <c r="AX24" s="971"/>
      <c r="AY24" s="971"/>
      <c r="AZ24" s="971"/>
      <c r="BA24" s="971"/>
      <c r="BB24" s="971"/>
      <c r="BC24" s="971"/>
      <c r="BD24" s="971"/>
      <c r="BE24" s="971"/>
      <c r="BF24" s="971"/>
      <c r="BG24" s="971"/>
      <c r="BH24" s="971"/>
      <c r="BI24" s="971"/>
      <c r="BJ24" s="971"/>
      <c r="BK24" s="971"/>
      <c r="BL24" s="971"/>
      <c r="BM24" s="971"/>
      <c r="BN24" s="971"/>
      <c r="BO24" s="971"/>
      <c r="BP24" s="971"/>
      <c r="BQ24" s="971"/>
      <c r="BR24" s="971"/>
      <c r="BS24" s="971"/>
      <c r="BT24" s="971"/>
      <c r="BU24" s="971"/>
      <c r="BV24" s="971"/>
      <c r="BW24" s="971"/>
      <c r="BX24" s="971"/>
      <c r="BY24" s="971"/>
      <c r="BZ24" s="971"/>
      <c r="CA24" s="971"/>
      <c r="CB24" s="971"/>
      <c r="CC24" s="971"/>
      <c r="CD24" s="971"/>
      <c r="CE24" s="971"/>
      <c r="CF24" s="971"/>
      <c r="CG24" s="971"/>
      <c r="CH24" s="971"/>
      <c r="CI24" s="971"/>
      <c r="CJ24" s="971"/>
      <c r="CK24" s="971"/>
      <c r="CL24" s="971"/>
      <c r="CM24" s="971"/>
      <c r="CN24" s="971"/>
      <c r="CO24" s="971"/>
      <c r="CP24" s="971"/>
      <c r="CQ24" s="971"/>
      <c r="CR24" s="971"/>
      <c r="CS24" s="971"/>
      <c r="CT24" s="971"/>
      <c r="CU24" s="971"/>
      <c r="CV24" s="971"/>
      <c r="CW24" s="971"/>
      <c r="CX24" s="971"/>
      <c r="CY24" s="971"/>
      <c r="CZ24" s="971"/>
      <c r="DA24" s="971"/>
      <c r="DB24" s="971"/>
      <c r="DC24" s="971"/>
      <c r="DD24" s="971"/>
      <c r="DE24" s="971"/>
      <c r="DF24" s="971"/>
      <c r="DG24" s="971"/>
      <c r="DH24" s="971"/>
      <c r="DI24" s="971"/>
      <c r="DJ24" s="971"/>
      <c r="DK24" s="971"/>
      <c r="DL24" s="971"/>
      <c r="DM24" s="971"/>
      <c r="DN24" s="971"/>
      <c r="DO24" s="971"/>
      <c r="DP24" s="971"/>
      <c r="DQ24" s="971"/>
      <c r="DR24" s="971"/>
      <c r="DS24" s="971"/>
      <c r="DT24" s="971"/>
      <c r="DU24" s="971"/>
      <c r="DV24" s="971"/>
      <c r="DW24" s="971"/>
      <c r="DX24" s="971"/>
      <c r="DY24" s="971"/>
      <c r="DZ24" s="971"/>
      <c r="EA24" s="971"/>
      <c r="EB24" s="971"/>
      <c r="EC24" s="971"/>
      <c r="ED24" s="971"/>
      <c r="EE24" s="971"/>
      <c r="EF24" s="971"/>
      <c r="EG24" s="971"/>
      <c r="EH24" s="971"/>
      <c r="EI24" s="971"/>
      <c r="EJ24" s="971"/>
      <c r="EK24" s="971"/>
      <c r="EL24" s="971"/>
      <c r="EM24" s="971"/>
      <c r="EN24" s="971"/>
      <c r="EO24" s="971"/>
      <c r="EP24" s="971"/>
      <c r="EQ24" s="971"/>
      <c r="ER24" s="971"/>
      <c r="ES24" s="971"/>
      <c r="ET24" s="971"/>
      <c r="EU24" s="971"/>
      <c r="EV24" s="971"/>
      <c r="EW24" s="971"/>
      <c r="EX24" s="971"/>
      <c r="EY24" s="971"/>
      <c r="EZ24" s="971"/>
      <c r="FA24" s="971"/>
      <c r="FB24" s="971"/>
      <c r="FC24" s="971"/>
      <c r="FD24" s="971"/>
      <c r="FE24" s="971"/>
      <c r="FF24" s="971"/>
      <c r="FG24" s="971"/>
      <c r="FH24" s="971"/>
      <c r="FI24" s="971"/>
      <c r="FJ24" s="971"/>
      <c r="FK24" s="971"/>
      <c r="FL24" s="971"/>
      <c r="FM24" s="971"/>
      <c r="FN24" s="971"/>
      <c r="FO24" s="971"/>
      <c r="FP24" s="971"/>
      <c r="FQ24" s="971"/>
      <c r="FR24" s="971"/>
      <c r="FS24" s="971"/>
      <c r="FT24" s="971"/>
      <c r="FU24" s="971"/>
      <c r="FV24" s="971"/>
      <c r="FW24" s="971"/>
      <c r="FX24" s="971"/>
      <c r="FY24" s="971"/>
      <c r="FZ24" s="971"/>
      <c r="GA24" s="971"/>
      <c r="GB24" s="971"/>
      <c r="GC24" s="971"/>
      <c r="GD24" s="971"/>
      <c r="GE24" s="971"/>
      <c r="GF24" s="971"/>
      <c r="GG24" s="971"/>
      <c r="GH24" s="971"/>
      <c r="GI24" s="971"/>
      <c r="GJ24" s="971"/>
      <c r="GK24" s="971"/>
      <c r="GL24" s="971"/>
      <c r="GM24" s="971"/>
      <c r="GN24" s="971"/>
      <c r="GO24" s="971"/>
      <c r="GP24" s="971"/>
      <c r="GQ24" s="971"/>
      <c r="GR24" s="971"/>
      <c r="GS24" s="971"/>
      <c r="GT24" s="971"/>
      <c r="GU24" s="971"/>
      <c r="GV24" s="971"/>
      <c r="GW24" s="971"/>
      <c r="GX24" s="971"/>
      <c r="GY24" s="971"/>
      <c r="GZ24" s="971"/>
      <c r="HA24" s="971"/>
      <c r="HB24" s="971"/>
      <c r="HC24" s="971"/>
      <c r="HD24" s="971"/>
      <c r="HE24" s="971"/>
      <c r="HF24" s="971"/>
      <c r="HG24" s="971"/>
      <c r="HH24" s="971"/>
      <c r="HI24" s="971"/>
      <c r="HJ24" s="971"/>
      <c r="HK24" s="971"/>
      <c r="HL24" s="971"/>
      <c r="HM24" s="971"/>
      <c r="HN24" s="971"/>
      <c r="HO24" s="971"/>
      <c r="HP24" s="971"/>
      <c r="HQ24" s="971"/>
      <c r="HR24" s="971"/>
      <c r="HS24" s="971"/>
      <c r="HT24" s="971"/>
      <c r="HU24" s="971"/>
      <c r="HV24" s="971"/>
      <c r="HW24" s="971"/>
      <c r="HX24" s="971"/>
      <c r="HY24" s="971"/>
      <c r="HZ24" s="971"/>
      <c r="IA24" s="971"/>
      <c r="IB24" s="971"/>
      <c r="IC24" s="971"/>
      <c r="ID24" s="971"/>
      <c r="IE24" s="971"/>
      <c r="IF24" s="971"/>
      <c r="IG24" s="971"/>
      <c r="IH24" s="971"/>
      <c r="II24" s="971"/>
      <c r="IJ24" s="971"/>
      <c r="IK24" s="971"/>
      <c r="IL24" s="971"/>
      <c r="IM24" s="971"/>
      <c r="IN24" s="971"/>
      <c r="IO24" s="971"/>
      <c r="IP24" s="971"/>
      <c r="IQ24" s="971"/>
      <c r="IR24" s="971"/>
      <c r="IS24" s="971"/>
      <c r="IT24" s="971"/>
      <c r="IU24" s="971"/>
      <c r="IV24" s="971"/>
      <c r="IW24" s="971"/>
      <c r="IX24" s="971"/>
      <c r="IY24" s="971"/>
      <c r="IZ24" s="971"/>
      <c r="JA24" s="971"/>
      <c r="JB24" s="971"/>
      <c r="JC24" s="971"/>
      <c r="JD24" s="971"/>
      <c r="JE24" s="971"/>
      <c r="JF24" s="971"/>
      <c r="JG24" s="971"/>
      <c r="JH24" s="971"/>
      <c r="JI24" s="971"/>
      <c r="JJ24" s="971"/>
      <c r="JK24" s="971"/>
      <c r="JL24" s="971"/>
      <c r="JM24" s="971"/>
      <c r="JN24" s="971"/>
      <c r="JO24" s="971"/>
      <c r="JP24" s="971"/>
      <c r="JQ24" s="971"/>
      <c r="JR24" s="971"/>
      <c r="JS24" s="971"/>
      <c r="JT24" s="971"/>
      <c r="JU24" s="971"/>
      <c r="JV24" s="971"/>
      <c r="JW24" s="971"/>
      <c r="JX24" s="971"/>
      <c r="JY24" s="971"/>
      <c r="JZ24" s="971"/>
      <c r="KA24" s="971"/>
      <c r="KB24" s="971"/>
      <c r="KC24" s="971"/>
      <c r="KD24" s="971"/>
      <c r="KE24" s="971"/>
      <c r="KF24" s="971"/>
      <c r="KG24" s="971"/>
      <c r="KH24" s="971"/>
      <c r="KI24" s="971"/>
      <c r="KJ24" s="971"/>
      <c r="KK24" s="971"/>
      <c r="KL24" s="971"/>
      <c r="KM24" s="971"/>
      <c r="KN24" s="971"/>
      <c r="KO24" s="971"/>
      <c r="KP24" s="971"/>
      <c r="KQ24" s="971"/>
      <c r="KR24" s="971"/>
      <c r="KS24" s="971"/>
      <c r="KT24" s="971"/>
      <c r="KU24" s="971"/>
      <c r="KV24" s="971"/>
      <c r="KW24" s="971"/>
      <c r="KX24" s="971"/>
      <c r="KY24" s="971"/>
      <c r="KZ24" s="971"/>
      <c r="LA24" s="971"/>
      <c r="LB24" s="971"/>
      <c r="LC24" s="971"/>
      <c r="LD24" s="971"/>
      <c r="LE24" s="971"/>
      <c r="LF24" s="971"/>
      <c r="LG24" s="971"/>
      <c r="LH24" s="971"/>
      <c r="LI24" s="971"/>
      <c r="LJ24" s="971"/>
      <c r="LK24" s="971"/>
      <c r="LL24" s="971"/>
      <c r="LM24" s="971"/>
      <c r="LN24" s="971"/>
      <c r="LO24" s="971"/>
      <c r="LP24" s="971"/>
      <c r="LQ24" s="971"/>
      <c r="LR24" s="971"/>
      <c r="LS24" s="971"/>
      <c r="LT24" s="971"/>
      <c r="LU24" s="971"/>
      <c r="LV24" s="971"/>
      <c r="LW24" s="971"/>
      <c r="LX24" s="971"/>
      <c r="LY24" s="971"/>
      <c r="LZ24" s="971"/>
      <c r="MA24" s="971"/>
      <c r="MB24" s="971"/>
      <c r="MC24" s="971"/>
      <c r="MD24" s="971"/>
      <c r="ME24" s="971"/>
      <c r="MF24" s="971"/>
      <c r="MG24" s="971"/>
      <c r="MH24" s="971"/>
      <c r="MI24" s="971"/>
      <c r="MJ24" s="971"/>
      <c r="MK24" s="971"/>
      <c r="ML24" s="971"/>
      <c r="MM24" s="971"/>
      <c r="MN24" s="971"/>
      <c r="MO24" s="971"/>
      <c r="MP24" s="971"/>
      <c r="MQ24" s="971"/>
      <c r="MR24" s="971"/>
      <c r="MS24" s="971"/>
      <c r="MT24" s="971"/>
      <c r="MU24" s="971"/>
      <c r="MV24" s="971"/>
      <c r="MW24" s="971"/>
      <c r="MX24" s="971"/>
      <c r="MY24" s="971"/>
      <c r="MZ24" s="971"/>
      <c r="NA24" s="971"/>
      <c r="NB24" s="971"/>
      <c r="NC24" s="971"/>
      <c r="ND24" s="971"/>
      <c r="NE24" s="971"/>
      <c r="NF24" s="971"/>
      <c r="NG24" s="971"/>
      <c r="NH24" s="971"/>
      <c r="NI24" s="971"/>
      <c r="NJ24" s="971"/>
      <c r="NK24" s="971"/>
      <c r="NL24" s="971"/>
      <c r="NM24" s="971"/>
      <c r="NN24" s="971"/>
      <c r="NO24" s="971"/>
      <c r="NP24" s="971"/>
      <c r="NQ24" s="971"/>
      <c r="NR24" s="971"/>
      <c r="NS24" s="971"/>
      <c r="NT24" s="971"/>
      <c r="NU24" s="971"/>
      <c r="NV24" s="971"/>
      <c r="NW24" s="971"/>
      <c r="NX24" s="971"/>
      <c r="NY24" s="971"/>
      <c r="NZ24" s="971"/>
      <c r="OA24" s="971"/>
      <c r="OB24" s="971"/>
      <c r="OC24" s="971"/>
      <c r="OD24" s="971"/>
      <c r="OE24" s="971"/>
      <c r="OF24" s="971"/>
      <c r="OG24" s="971"/>
      <c r="OH24" s="971"/>
      <c r="OI24" s="971"/>
      <c r="OJ24" s="971"/>
      <c r="OK24" s="971"/>
      <c r="OL24" s="971"/>
      <c r="OM24" s="971"/>
      <c r="ON24" s="971"/>
      <c r="OO24" s="971"/>
      <c r="OP24" s="971"/>
      <c r="OQ24" s="971"/>
      <c r="OR24" s="971"/>
      <c r="OS24" s="971"/>
      <c r="OT24" s="971"/>
      <c r="OU24" s="971"/>
      <c r="OV24" s="971"/>
      <c r="OW24" s="971"/>
      <c r="OX24" s="971"/>
      <c r="OY24" s="971"/>
      <c r="OZ24" s="971"/>
      <c r="PA24" s="971"/>
      <c r="PB24" s="971"/>
      <c r="PC24" s="971"/>
      <c r="PD24" s="971"/>
      <c r="PE24" s="971"/>
      <c r="PF24" s="971"/>
      <c r="PG24" s="971"/>
      <c r="PH24" s="971"/>
      <c r="PI24" s="971"/>
      <c r="PJ24" s="971"/>
      <c r="PK24" s="971"/>
      <c r="PL24" s="971"/>
      <c r="PM24" s="971"/>
      <c r="PN24" s="971"/>
      <c r="PO24" s="971"/>
      <c r="PP24" s="971"/>
      <c r="PQ24" s="971"/>
      <c r="PR24" s="971"/>
      <c r="PS24" s="971"/>
      <c r="PT24" s="971"/>
      <c r="PU24" s="971"/>
      <c r="PV24" s="971"/>
      <c r="PW24" s="971"/>
      <c r="PX24" s="971"/>
      <c r="PY24" s="971"/>
      <c r="PZ24" s="971"/>
      <c r="QA24" s="971"/>
      <c r="QB24" s="971"/>
      <c r="QC24" s="971"/>
      <c r="QD24" s="971"/>
      <c r="QE24" s="971"/>
      <c r="QF24" s="971"/>
      <c r="QG24" s="971"/>
      <c r="QH24" s="971"/>
      <c r="QI24" s="971"/>
      <c r="QJ24" s="971"/>
      <c r="QK24" s="971"/>
      <c r="QL24" s="971"/>
      <c r="QM24" s="971"/>
      <c r="QN24" s="971"/>
      <c r="QO24" s="971"/>
      <c r="QP24" s="971"/>
      <c r="QQ24" s="971"/>
      <c r="QR24" s="971"/>
      <c r="QS24" s="971"/>
      <c r="QT24" s="971"/>
      <c r="QU24" s="971"/>
      <c r="QV24" s="971"/>
      <c r="QW24" s="971"/>
      <c r="QX24" s="971"/>
      <c r="QY24" s="971"/>
      <c r="QZ24" s="971"/>
      <c r="RA24" s="971"/>
      <c r="RB24" s="971"/>
      <c r="RC24" s="971"/>
      <c r="RD24" s="971"/>
      <c r="RE24" s="971"/>
      <c r="RF24" s="971"/>
      <c r="RG24" s="971"/>
      <c r="RH24" s="971"/>
      <c r="RI24" s="971"/>
      <c r="RJ24" s="971"/>
      <c r="RK24" s="971"/>
      <c r="RL24" s="971"/>
      <c r="RM24" s="971"/>
      <c r="RN24" s="971"/>
      <c r="RO24" s="971"/>
      <c r="RP24" s="971"/>
      <c r="RQ24" s="971"/>
      <c r="RR24" s="971"/>
      <c r="RS24" s="971"/>
      <c r="RT24" s="971"/>
      <c r="RU24" s="971"/>
      <c r="RV24" s="971"/>
      <c r="RW24" s="971"/>
      <c r="RX24" s="971"/>
      <c r="RY24" s="971"/>
      <c r="RZ24" s="971"/>
      <c r="SA24" s="971"/>
      <c r="SB24" s="971"/>
      <c r="SC24" s="971"/>
      <c r="SD24" s="971"/>
      <c r="SE24" s="971"/>
      <c r="SF24" s="971"/>
      <c r="SG24" s="971"/>
      <c r="SH24" s="971"/>
      <c r="SI24" s="971"/>
      <c r="SJ24" s="971"/>
      <c r="SK24" s="971"/>
      <c r="SL24" s="971"/>
      <c r="SM24" s="971"/>
      <c r="SN24" s="971"/>
      <c r="SO24" s="971"/>
      <c r="SP24" s="971"/>
      <c r="SQ24" s="971"/>
      <c r="SR24" s="971"/>
      <c r="SS24" s="971"/>
      <c r="ST24" s="971"/>
      <c r="SU24" s="971"/>
      <c r="SV24" s="971"/>
      <c r="SW24" s="971"/>
      <c r="SX24" s="971"/>
      <c r="SY24" s="971"/>
      <c r="SZ24" s="971"/>
      <c r="TA24" s="971"/>
      <c r="TB24" s="971"/>
      <c r="TC24" s="971"/>
      <c r="TD24" s="971"/>
      <c r="TE24" s="971"/>
      <c r="TF24" s="971"/>
      <c r="TG24" s="971"/>
      <c r="TH24" s="971"/>
      <c r="TI24" s="971"/>
      <c r="TJ24" s="971"/>
      <c r="TK24" s="971"/>
      <c r="TL24" s="971"/>
      <c r="TM24" s="971"/>
      <c r="TN24" s="971"/>
      <c r="TO24" s="971"/>
      <c r="TP24" s="971"/>
      <c r="TQ24" s="971"/>
      <c r="TR24" s="971"/>
      <c r="TS24" s="971"/>
      <c r="TT24" s="971"/>
      <c r="TU24" s="971"/>
      <c r="TV24" s="971"/>
      <c r="TW24" s="971"/>
      <c r="TX24" s="971"/>
      <c r="TY24" s="971"/>
      <c r="TZ24" s="971"/>
      <c r="UA24" s="971"/>
      <c r="UB24" s="971"/>
      <c r="UC24" s="971"/>
      <c r="UD24" s="971"/>
      <c r="UE24" s="971"/>
      <c r="UF24" s="971"/>
      <c r="UG24" s="971"/>
      <c r="UH24" s="971"/>
      <c r="UI24" s="971"/>
      <c r="UJ24" s="971"/>
      <c r="UK24" s="971"/>
      <c r="UL24" s="971"/>
      <c r="UM24" s="971"/>
      <c r="UN24" s="971"/>
      <c r="UO24" s="971"/>
      <c r="UP24" s="971"/>
      <c r="UQ24" s="971"/>
      <c r="UR24" s="971"/>
      <c r="US24" s="971"/>
      <c r="UT24" s="971"/>
      <c r="UU24" s="971"/>
      <c r="UV24" s="971"/>
      <c r="UW24" s="971"/>
      <c r="UX24" s="971"/>
      <c r="UY24" s="971"/>
      <c r="UZ24" s="971"/>
      <c r="VA24" s="971"/>
      <c r="VB24" s="971"/>
      <c r="VC24" s="971"/>
      <c r="VD24" s="971"/>
      <c r="VE24" s="971"/>
      <c r="VF24" s="971"/>
      <c r="VG24" s="971"/>
      <c r="VH24" s="971"/>
      <c r="VI24" s="971"/>
      <c r="VJ24" s="971"/>
      <c r="VK24" s="971"/>
      <c r="VL24" s="971"/>
      <c r="VM24" s="971"/>
      <c r="VN24" s="971"/>
      <c r="VO24" s="971"/>
      <c r="VP24" s="971"/>
      <c r="VQ24" s="971"/>
      <c r="VR24" s="971"/>
      <c r="VS24" s="971"/>
      <c r="VT24" s="971"/>
      <c r="VU24" s="971"/>
      <c r="VV24" s="971"/>
      <c r="VW24" s="971"/>
      <c r="VX24" s="971"/>
      <c r="VY24" s="971"/>
      <c r="VZ24" s="971"/>
      <c r="WA24" s="971"/>
      <c r="WB24" s="971"/>
      <c r="WC24" s="971"/>
      <c r="WD24" s="971"/>
      <c r="WE24" s="971"/>
      <c r="WF24" s="971"/>
      <c r="WG24" s="971"/>
      <c r="WH24" s="971"/>
      <c r="WI24" s="971"/>
      <c r="WJ24" s="971"/>
      <c r="WK24" s="971"/>
      <c r="WL24" s="971"/>
      <c r="WM24" s="971"/>
      <c r="WN24" s="971"/>
      <c r="WO24" s="971"/>
      <c r="WP24" s="971"/>
      <c r="WQ24" s="971"/>
      <c r="WR24" s="971"/>
      <c r="WS24" s="971"/>
      <c r="WT24" s="971"/>
      <c r="WU24" s="971"/>
      <c r="WV24" s="971"/>
      <c r="WW24" s="971"/>
      <c r="WX24" s="971"/>
      <c r="WY24" s="971"/>
      <c r="WZ24" s="971"/>
      <c r="XA24" s="971"/>
      <c r="XB24" s="971"/>
      <c r="XC24" s="971"/>
      <c r="XD24" s="971"/>
      <c r="XE24" s="971"/>
      <c r="XF24" s="971"/>
      <c r="XG24" s="971"/>
      <c r="XH24" s="971"/>
      <c r="XI24" s="971"/>
      <c r="XJ24" s="971"/>
      <c r="XK24" s="971"/>
      <c r="XL24" s="971"/>
      <c r="XM24" s="971"/>
      <c r="XN24" s="971"/>
      <c r="XO24" s="971"/>
      <c r="XP24" s="971"/>
      <c r="XQ24" s="971"/>
      <c r="XR24" s="971"/>
      <c r="XS24" s="971"/>
      <c r="XT24" s="971"/>
      <c r="XU24" s="971"/>
      <c r="XV24" s="971"/>
      <c r="XW24" s="971"/>
      <c r="XX24" s="971"/>
      <c r="XY24" s="971"/>
      <c r="XZ24" s="971"/>
      <c r="YA24" s="971"/>
      <c r="YB24" s="971"/>
      <c r="YC24" s="971"/>
      <c r="YD24" s="971"/>
      <c r="YE24" s="971"/>
      <c r="YF24" s="971"/>
      <c r="YG24" s="971"/>
      <c r="YH24" s="971"/>
      <c r="YI24" s="971"/>
      <c r="YJ24" s="971"/>
      <c r="YK24" s="971"/>
      <c r="YL24" s="971"/>
      <c r="YM24" s="971"/>
      <c r="YN24" s="971"/>
      <c r="YO24" s="971"/>
      <c r="YP24" s="971"/>
      <c r="YQ24" s="971"/>
      <c r="YR24" s="971"/>
      <c r="YS24" s="971"/>
      <c r="YT24" s="971"/>
      <c r="YU24" s="971"/>
      <c r="YV24" s="971"/>
      <c r="YW24" s="971"/>
      <c r="YX24" s="971"/>
      <c r="YY24" s="971"/>
      <c r="YZ24" s="971"/>
      <c r="ZA24" s="971"/>
      <c r="ZB24" s="971"/>
      <c r="ZC24" s="971"/>
      <c r="ZD24" s="971"/>
      <c r="ZE24" s="971"/>
      <c r="ZF24" s="971"/>
      <c r="ZG24" s="971"/>
      <c r="ZH24" s="971"/>
      <c r="ZI24" s="971"/>
      <c r="ZJ24" s="971"/>
      <c r="ZK24" s="971"/>
      <c r="ZL24" s="971"/>
      <c r="ZM24" s="971"/>
      <c r="ZN24" s="971"/>
      <c r="ZO24" s="971"/>
      <c r="ZP24" s="971"/>
      <c r="ZQ24" s="971"/>
      <c r="ZR24" s="971"/>
      <c r="ZS24" s="971"/>
      <c r="ZT24" s="971"/>
      <c r="ZU24" s="971"/>
      <c r="ZV24" s="971"/>
      <c r="ZW24" s="971"/>
      <c r="ZX24" s="971"/>
      <c r="ZY24" s="971"/>
      <c r="ZZ24" s="971"/>
      <c r="AAA24" s="971"/>
      <c r="AAB24" s="971"/>
      <c r="AAC24" s="971"/>
      <c r="AAD24" s="971"/>
      <c r="AAE24" s="971"/>
      <c r="AAF24" s="971"/>
      <c r="AAG24" s="971"/>
      <c r="AAH24" s="971"/>
      <c r="AAI24" s="971"/>
      <c r="AAJ24" s="971"/>
      <c r="AAK24" s="971"/>
      <c r="AAL24" s="971"/>
      <c r="AAM24" s="971"/>
      <c r="AAN24" s="971"/>
      <c r="AAO24" s="971"/>
      <c r="AAP24" s="971"/>
      <c r="AAQ24" s="971"/>
      <c r="AAR24" s="971"/>
      <c r="AAS24" s="971"/>
      <c r="AAT24" s="971"/>
      <c r="AAU24" s="971"/>
      <c r="AAV24" s="971"/>
      <c r="AAW24" s="971"/>
      <c r="AAX24" s="971"/>
      <c r="AAY24" s="971"/>
      <c r="AAZ24" s="971"/>
      <c r="ABA24" s="971"/>
      <c r="ABB24" s="971"/>
      <c r="ABC24" s="971"/>
      <c r="ABD24" s="971"/>
      <c r="ABE24" s="971"/>
      <c r="ABF24" s="971"/>
      <c r="ABG24" s="971"/>
      <c r="ABH24" s="971"/>
      <c r="ABI24" s="971"/>
      <c r="ABJ24" s="971"/>
      <c r="ABK24" s="971"/>
      <c r="ABL24" s="971"/>
      <c r="ABM24" s="971"/>
      <c r="ABN24" s="971"/>
      <c r="ABO24" s="971"/>
      <c r="ABP24" s="971"/>
      <c r="ABQ24" s="971"/>
      <c r="ABR24" s="971"/>
      <c r="ABS24" s="971"/>
      <c r="ABT24" s="971"/>
      <c r="ABU24" s="971"/>
      <c r="ABV24" s="971"/>
      <c r="ABW24" s="971"/>
      <c r="ABX24" s="971"/>
      <c r="ABY24" s="971"/>
      <c r="ABZ24" s="971"/>
      <c r="ACA24" s="971"/>
      <c r="ACB24" s="971"/>
      <c r="ACC24" s="971"/>
      <c r="ACD24" s="971"/>
      <c r="ACE24" s="971"/>
      <c r="ACF24" s="971"/>
      <c r="ACG24" s="971"/>
      <c r="ACH24" s="971"/>
      <c r="ACI24" s="971"/>
      <c r="ACJ24" s="971"/>
      <c r="ACK24" s="971"/>
      <c r="ACL24" s="971"/>
      <c r="ACM24" s="971"/>
      <c r="ACN24" s="971"/>
      <c r="ACO24" s="971"/>
      <c r="ACP24" s="971"/>
      <c r="ACQ24" s="971"/>
      <c r="ACR24" s="971"/>
      <c r="ACS24" s="971"/>
      <c r="ACT24" s="971"/>
      <c r="ACU24" s="971"/>
      <c r="ACV24" s="971"/>
      <c r="ACW24" s="971"/>
      <c r="ACX24" s="971"/>
      <c r="ACY24" s="971"/>
      <c r="ACZ24" s="971"/>
      <c r="ADA24" s="971"/>
      <c r="ADB24" s="971"/>
      <c r="ADC24" s="971"/>
      <c r="ADD24" s="971"/>
      <c r="ADE24" s="971"/>
      <c r="ADF24" s="971"/>
      <c r="ADG24" s="971"/>
      <c r="ADH24" s="971"/>
      <c r="ADI24" s="971"/>
      <c r="ADJ24" s="971"/>
      <c r="ADK24" s="971"/>
      <c r="ADL24" s="971"/>
      <c r="ADM24" s="971"/>
      <c r="ADN24" s="971"/>
      <c r="ADO24" s="971"/>
      <c r="ADP24" s="971"/>
      <c r="ADQ24" s="971"/>
      <c r="ADR24" s="971"/>
      <c r="ADS24" s="971"/>
      <c r="ADT24" s="971"/>
      <c r="ADU24" s="971"/>
      <c r="ADV24" s="971"/>
      <c r="ADW24" s="971"/>
      <c r="ADX24" s="971"/>
      <c r="ADY24" s="971"/>
      <c r="ADZ24" s="971"/>
      <c r="AEA24" s="971"/>
      <c r="AEB24" s="971"/>
      <c r="AEC24" s="971"/>
      <c r="AED24" s="971"/>
      <c r="AEE24" s="971"/>
      <c r="AEF24" s="971"/>
      <c r="AEG24" s="971"/>
      <c r="AEH24" s="971"/>
      <c r="AEI24" s="971"/>
      <c r="AEJ24" s="971"/>
      <c r="AEK24" s="971"/>
      <c r="AEL24" s="971"/>
      <c r="AEM24" s="971"/>
      <c r="AEN24" s="971"/>
      <c r="AEO24" s="971"/>
      <c r="AEP24" s="971"/>
      <c r="AEQ24" s="971"/>
      <c r="AER24" s="971"/>
      <c r="AES24" s="971"/>
      <c r="AET24" s="971"/>
      <c r="AEU24" s="971"/>
      <c r="AEV24" s="971"/>
      <c r="AEW24" s="971"/>
      <c r="AEX24" s="971"/>
      <c r="AEY24" s="971"/>
      <c r="AEZ24" s="971"/>
      <c r="AFA24" s="971"/>
      <c r="AFB24" s="971"/>
      <c r="AFC24" s="971"/>
      <c r="AFD24" s="971"/>
      <c r="AFE24" s="971"/>
      <c r="AFF24" s="971"/>
      <c r="AFG24" s="971"/>
      <c r="AFH24" s="971"/>
      <c r="AFI24" s="971"/>
      <c r="AFJ24" s="971"/>
      <c r="AFK24" s="971"/>
      <c r="AFL24" s="971"/>
      <c r="AFM24" s="971"/>
      <c r="AFN24" s="971"/>
      <c r="AFO24" s="971"/>
      <c r="AFP24" s="971"/>
      <c r="AFQ24" s="971"/>
      <c r="AFR24" s="971"/>
      <c r="AFS24" s="971"/>
      <c r="AFT24" s="971"/>
      <c r="AFU24" s="971"/>
      <c r="AFV24" s="971"/>
      <c r="AFW24" s="971"/>
      <c r="AFX24" s="971"/>
      <c r="AFY24" s="971"/>
      <c r="AFZ24" s="971"/>
      <c r="AGA24" s="971"/>
      <c r="AGB24" s="971"/>
      <c r="AGC24" s="971"/>
      <c r="AGD24" s="971"/>
      <c r="AGE24" s="971"/>
      <c r="AGF24" s="971"/>
      <c r="AGG24" s="971"/>
      <c r="AGH24" s="971"/>
      <c r="AGI24" s="971"/>
      <c r="AGJ24" s="971"/>
      <c r="AGK24" s="971"/>
      <c r="AGL24" s="971"/>
      <c r="AGM24" s="971"/>
      <c r="AGN24" s="971"/>
      <c r="AGO24" s="971"/>
      <c r="AGP24" s="971"/>
      <c r="AGQ24" s="971"/>
      <c r="AGR24" s="971"/>
      <c r="AGS24" s="971"/>
      <c r="AGT24" s="971"/>
      <c r="AGU24" s="971"/>
      <c r="AGV24" s="971"/>
      <c r="AGW24" s="971"/>
      <c r="AGX24" s="971"/>
      <c r="AGY24" s="971"/>
      <c r="AGZ24" s="971"/>
      <c r="AHA24" s="971"/>
      <c r="AHB24" s="971"/>
      <c r="AHC24" s="971"/>
      <c r="AHD24" s="971"/>
      <c r="AHE24" s="971"/>
      <c r="AHF24" s="971"/>
      <c r="AHG24" s="971"/>
      <c r="AHH24" s="971"/>
      <c r="AHI24" s="971"/>
      <c r="AHJ24" s="971"/>
      <c r="AHK24" s="971"/>
      <c r="AHL24" s="971"/>
      <c r="AHM24" s="971"/>
      <c r="AHN24" s="971"/>
      <c r="AHO24" s="971"/>
      <c r="AHP24" s="971"/>
      <c r="AHQ24" s="971"/>
      <c r="AHR24" s="971"/>
      <c r="AHS24" s="971"/>
      <c r="AHT24" s="971"/>
      <c r="AHU24" s="971"/>
      <c r="AHV24" s="971"/>
      <c r="AHW24" s="971"/>
      <c r="AHX24" s="971"/>
      <c r="AHY24" s="971"/>
      <c r="AHZ24" s="971"/>
      <c r="AIA24" s="971"/>
      <c r="AIB24" s="971"/>
      <c r="AIC24" s="971"/>
      <c r="AID24" s="971"/>
      <c r="AIE24" s="971"/>
      <c r="AIF24" s="971"/>
      <c r="AIG24" s="971"/>
      <c r="AIH24" s="971"/>
      <c r="AII24" s="971"/>
      <c r="AIJ24" s="971"/>
      <c r="AIK24" s="971"/>
      <c r="AIL24" s="971"/>
      <c r="AIM24" s="971"/>
      <c r="AIN24" s="971"/>
      <c r="AIO24" s="971"/>
      <c r="AIP24" s="971"/>
      <c r="AIQ24" s="971"/>
      <c r="AIR24" s="971"/>
      <c r="AIS24" s="971"/>
      <c r="AIT24" s="971"/>
      <c r="AIU24" s="971"/>
      <c r="AIV24" s="971"/>
      <c r="AIW24" s="971"/>
      <c r="AIX24" s="971"/>
      <c r="AIY24" s="971"/>
      <c r="AIZ24" s="971"/>
      <c r="AJA24" s="971"/>
      <c r="AJB24" s="971"/>
      <c r="AJC24" s="971"/>
      <c r="AJD24" s="971"/>
      <c r="AJE24" s="971"/>
      <c r="AJF24" s="971"/>
      <c r="AJG24" s="971"/>
      <c r="AJH24" s="971"/>
      <c r="AJI24" s="971"/>
      <c r="AJJ24" s="971"/>
      <c r="AJK24" s="971"/>
      <c r="AJL24" s="971"/>
      <c r="AJM24" s="971"/>
      <c r="AJN24" s="971"/>
      <c r="AJO24" s="971"/>
      <c r="AJP24" s="971"/>
      <c r="AJQ24" s="971"/>
      <c r="AJR24" s="971"/>
      <c r="AJS24" s="971"/>
      <c r="AJT24" s="971"/>
      <c r="AJU24" s="971"/>
      <c r="AJV24" s="971"/>
      <c r="AJW24" s="971"/>
      <c r="AJX24" s="971"/>
      <c r="AJY24" s="971"/>
      <c r="AJZ24" s="971"/>
      <c r="AKA24" s="971"/>
      <c r="AKB24" s="971"/>
      <c r="AKC24" s="971"/>
      <c r="AKD24" s="971"/>
      <c r="AKE24" s="971"/>
      <c r="AKF24" s="971"/>
      <c r="AKG24" s="971"/>
      <c r="AKH24" s="971"/>
      <c r="AKI24" s="971"/>
      <c r="AKJ24" s="971"/>
      <c r="AKK24" s="971"/>
      <c r="AKL24" s="971"/>
      <c r="AKM24" s="971"/>
      <c r="AKN24" s="971"/>
      <c r="AKO24" s="971"/>
      <c r="AKP24" s="971"/>
      <c r="AKQ24" s="971"/>
      <c r="AKR24" s="971"/>
      <c r="AKS24" s="971"/>
      <c r="AKT24" s="971"/>
      <c r="AKU24" s="971"/>
      <c r="AKV24" s="971"/>
      <c r="AKW24" s="971"/>
      <c r="AKX24" s="971"/>
      <c r="AKY24" s="971"/>
      <c r="AKZ24" s="971"/>
      <c r="ALA24" s="971"/>
      <c r="ALB24" s="971"/>
      <c r="ALC24" s="971"/>
      <c r="ALD24" s="971"/>
      <c r="ALE24" s="971"/>
      <c r="ALF24" s="971"/>
      <c r="ALG24" s="971"/>
      <c r="ALH24" s="971"/>
      <c r="ALI24" s="971"/>
      <c r="ALJ24" s="971"/>
      <c r="ALK24" s="971"/>
      <c r="ALL24" s="971"/>
    </row>
    <row r="25" s="929" customFormat="1" ht="13.5" customHeight="1" hidden="1">
      <c r="A25" s="971"/>
      <c r="B25" s="971"/>
      <c r="C25" s="971"/>
      <c r="D25" s="971"/>
      <c r="E25" s="971"/>
      <c r="F25" s="971"/>
      <c r="G25" s="971"/>
      <c r="H25" s="971"/>
      <c r="I25" s="971"/>
      <c r="J25" s="971"/>
      <c r="K25" s="971"/>
      <c r="L25" s="971"/>
      <c r="M25" s="971"/>
      <c r="N25" s="971"/>
      <c r="O25" s="971"/>
      <c r="P25" s="971"/>
      <c r="Q25" s="971"/>
      <c r="R25" s="971"/>
      <c r="S25" s="971"/>
      <c r="T25" s="971"/>
      <c r="U25" s="971"/>
      <c r="V25" s="971"/>
      <c r="W25" s="971"/>
      <c r="X25" s="971"/>
      <c r="Y25" s="971"/>
      <c r="Z25" s="971"/>
      <c r="AA25" s="971"/>
      <c r="AB25" s="971"/>
      <c r="AC25" s="971"/>
      <c r="AD25" s="971"/>
      <c r="AE25" s="971"/>
      <c r="AF25" s="971"/>
      <c r="AG25" s="971"/>
      <c r="AH25" s="971"/>
      <c r="AI25" s="971"/>
      <c r="AJ25" s="971"/>
      <c r="AK25" s="971"/>
      <c r="AL25" s="971"/>
      <c r="AM25" s="971"/>
      <c r="AN25" s="971"/>
      <c r="AO25" s="971"/>
      <c r="AP25" s="971"/>
      <c r="AQ25" s="971"/>
      <c r="AR25" s="971"/>
      <c r="AS25" s="971"/>
      <c r="AT25" s="971"/>
      <c r="AU25" s="971"/>
      <c r="AV25" s="971"/>
      <c r="AW25" s="971"/>
      <c r="AX25" s="971"/>
      <c r="AY25" s="971"/>
      <c r="AZ25" s="971"/>
      <c r="BA25" s="971"/>
      <c r="BB25" s="971"/>
      <c r="BC25" s="971"/>
      <c r="BD25" s="971"/>
      <c r="BE25" s="971"/>
      <c r="BF25" s="971"/>
      <c r="BG25" s="971"/>
      <c r="BH25" s="971"/>
      <c r="BI25" s="971"/>
      <c r="BJ25" s="971"/>
      <c r="BK25" s="971"/>
      <c r="BL25" s="971"/>
      <c r="BM25" s="971"/>
      <c r="BN25" s="971"/>
      <c r="BO25" s="971"/>
      <c r="BP25" s="971"/>
      <c r="BQ25" s="971"/>
      <c r="BR25" s="971"/>
      <c r="BS25" s="971"/>
      <c r="BT25" s="971"/>
      <c r="BU25" s="971"/>
      <c r="BV25" s="971"/>
      <c r="BW25" s="971"/>
      <c r="BX25" s="971"/>
      <c r="BY25" s="971"/>
      <c r="BZ25" s="971"/>
      <c r="CA25" s="971"/>
      <c r="CB25" s="971"/>
      <c r="CC25" s="971"/>
      <c r="CD25" s="971"/>
      <c r="CE25" s="971"/>
      <c r="CF25" s="971"/>
      <c r="CG25" s="971"/>
      <c r="CH25" s="971"/>
      <c r="CI25" s="971"/>
      <c r="CJ25" s="971"/>
      <c r="CK25" s="971"/>
      <c r="CL25" s="971"/>
      <c r="CM25" s="971"/>
      <c r="CN25" s="971"/>
      <c r="CO25" s="971"/>
      <c r="CP25" s="971"/>
      <c r="CQ25" s="971"/>
      <c r="CR25" s="971"/>
      <c r="CS25" s="971"/>
      <c r="CT25" s="971"/>
      <c r="CU25" s="971"/>
      <c r="CV25" s="971"/>
      <c r="CW25" s="971"/>
      <c r="CX25" s="971"/>
      <c r="CY25" s="971"/>
      <c r="CZ25" s="971"/>
      <c r="DA25" s="971"/>
      <c r="DB25" s="971"/>
      <c r="DC25" s="971"/>
      <c r="DD25" s="971"/>
      <c r="DE25" s="971"/>
      <c r="DF25" s="971"/>
      <c r="DG25" s="971"/>
      <c r="DH25" s="971"/>
      <c r="DI25" s="971"/>
      <c r="DJ25" s="971"/>
      <c r="DK25" s="971"/>
      <c r="DL25" s="971"/>
      <c r="DM25" s="971"/>
      <c r="DN25" s="971"/>
      <c r="DO25" s="971"/>
      <c r="DP25" s="971"/>
      <c r="DQ25" s="971"/>
      <c r="DR25" s="971"/>
      <c r="DS25" s="971"/>
      <c r="DT25" s="971"/>
      <c r="DU25" s="971"/>
      <c r="DV25" s="971"/>
      <c r="DW25" s="971"/>
      <c r="DX25" s="971"/>
      <c r="DY25" s="971"/>
      <c r="DZ25" s="971"/>
      <c r="EA25" s="971"/>
      <c r="EB25" s="971"/>
      <c r="EC25" s="971"/>
      <c r="ED25" s="971"/>
      <c r="EE25" s="971"/>
      <c r="EF25" s="971"/>
      <c r="EG25" s="971"/>
      <c r="EH25" s="971"/>
      <c r="EI25" s="971"/>
      <c r="EJ25" s="971"/>
      <c r="EK25" s="971"/>
      <c r="EL25" s="971"/>
      <c r="EM25" s="971"/>
      <c r="EN25" s="971"/>
      <c r="EO25" s="971"/>
      <c r="EP25" s="971"/>
      <c r="EQ25" s="971"/>
      <c r="ER25" s="971"/>
      <c r="ES25" s="971"/>
      <c r="ET25" s="971"/>
      <c r="EU25" s="971"/>
      <c r="EV25" s="971"/>
      <c r="EW25" s="971"/>
      <c r="EX25" s="971"/>
      <c r="EY25" s="971"/>
      <c r="EZ25" s="971"/>
      <c r="FA25" s="971"/>
      <c r="FB25" s="971"/>
      <c r="FC25" s="971"/>
      <c r="FD25" s="971"/>
      <c r="FE25" s="971"/>
      <c r="FF25" s="971"/>
      <c r="FG25" s="971"/>
      <c r="FH25" s="971"/>
      <c r="FI25" s="971"/>
      <c r="FJ25" s="971"/>
      <c r="FK25" s="971"/>
      <c r="FL25" s="971"/>
      <c r="FM25" s="971"/>
      <c r="FN25" s="971"/>
      <c r="FO25" s="971"/>
      <c r="FP25" s="971"/>
      <c r="FQ25" s="971"/>
      <c r="FR25" s="971"/>
      <c r="FS25" s="971"/>
      <c r="FT25" s="971"/>
      <c r="FU25" s="971"/>
      <c r="FV25" s="971"/>
      <c r="FW25" s="971"/>
      <c r="FX25" s="971"/>
      <c r="FY25" s="971"/>
      <c r="FZ25" s="971"/>
      <c r="GA25" s="971"/>
      <c r="GB25" s="971"/>
      <c r="GC25" s="971"/>
      <c r="GD25" s="971"/>
      <c r="GE25" s="971"/>
      <c r="GF25" s="971"/>
      <c r="GG25" s="971"/>
      <c r="GH25" s="971"/>
      <c r="GI25" s="971"/>
      <c r="GJ25" s="971"/>
      <c r="GK25" s="971"/>
      <c r="GL25" s="971"/>
      <c r="GM25" s="971"/>
      <c r="GN25" s="971"/>
      <c r="GO25" s="971"/>
      <c r="GP25" s="971"/>
      <c r="GQ25" s="971"/>
      <c r="GR25" s="971"/>
      <c r="GS25" s="971"/>
      <c r="GT25" s="971"/>
      <c r="GU25" s="971"/>
      <c r="GV25" s="971"/>
      <c r="GW25" s="971"/>
      <c r="GX25" s="971"/>
      <c r="GY25" s="971"/>
      <c r="GZ25" s="971"/>
      <c r="HA25" s="971"/>
      <c r="HB25" s="971"/>
      <c r="HC25" s="971"/>
      <c r="HD25" s="971"/>
      <c r="HE25" s="971"/>
      <c r="HF25" s="971"/>
      <c r="HG25" s="971"/>
      <c r="HH25" s="971"/>
      <c r="HI25" s="971"/>
      <c r="HJ25" s="971"/>
      <c r="HK25" s="971"/>
      <c r="HL25" s="971"/>
      <c r="HM25" s="971"/>
      <c r="HN25" s="971"/>
      <c r="HO25" s="971"/>
      <c r="HP25" s="971"/>
      <c r="HQ25" s="971"/>
      <c r="HR25" s="971"/>
      <c r="HS25" s="971"/>
      <c r="HT25" s="971"/>
      <c r="HU25" s="971"/>
      <c r="HV25" s="971"/>
      <c r="HW25" s="971"/>
      <c r="HX25" s="971"/>
      <c r="HY25" s="971"/>
      <c r="HZ25" s="971"/>
      <c r="IA25" s="971"/>
      <c r="IB25" s="971"/>
      <c r="IC25" s="971"/>
      <c r="ID25" s="971"/>
      <c r="IE25" s="971"/>
      <c r="IF25" s="971"/>
      <c r="IG25" s="971"/>
      <c r="IH25" s="971"/>
      <c r="II25" s="971"/>
      <c r="IJ25" s="971"/>
      <c r="IK25" s="971"/>
      <c r="IL25" s="971"/>
      <c r="IM25" s="971"/>
      <c r="IN25" s="971"/>
      <c r="IO25" s="971"/>
      <c r="IP25" s="971"/>
      <c r="IQ25" s="971"/>
      <c r="IR25" s="971"/>
      <c r="IS25" s="971"/>
      <c r="IT25" s="971"/>
      <c r="IU25" s="971"/>
      <c r="IV25" s="971"/>
      <c r="IW25" s="971"/>
      <c r="IX25" s="971"/>
      <c r="IY25" s="971"/>
      <c r="IZ25" s="971"/>
      <c r="JA25" s="971"/>
      <c r="JB25" s="971"/>
      <c r="JC25" s="971"/>
      <c r="JD25" s="971"/>
      <c r="JE25" s="971"/>
      <c r="JF25" s="971"/>
      <c r="JG25" s="971"/>
      <c r="JH25" s="971"/>
      <c r="JI25" s="971"/>
      <c r="JJ25" s="971"/>
      <c r="JK25" s="971"/>
      <c r="JL25" s="971"/>
      <c r="JM25" s="971"/>
      <c r="JN25" s="971"/>
      <c r="JO25" s="971"/>
      <c r="JP25" s="971"/>
      <c r="JQ25" s="971"/>
      <c r="JR25" s="971"/>
      <c r="JS25" s="971"/>
      <c r="JT25" s="971"/>
      <c r="JU25" s="971"/>
      <c r="JV25" s="971"/>
      <c r="JW25" s="971"/>
      <c r="JX25" s="971"/>
      <c r="JY25" s="971"/>
      <c r="JZ25" s="971"/>
      <c r="KA25" s="971"/>
      <c r="KB25" s="971"/>
      <c r="KC25" s="971"/>
      <c r="KD25" s="971"/>
      <c r="KE25" s="971"/>
      <c r="KF25" s="971"/>
      <c r="KG25" s="971"/>
      <c r="KH25" s="971"/>
      <c r="KI25" s="971"/>
      <c r="KJ25" s="971"/>
      <c r="KK25" s="971"/>
      <c r="KL25" s="971"/>
      <c r="KM25" s="971"/>
      <c r="KN25" s="971"/>
      <c r="KO25" s="971"/>
      <c r="KP25" s="971"/>
      <c r="KQ25" s="971"/>
      <c r="KR25" s="971"/>
      <c r="KS25" s="971"/>
      <c r="KT25" s="971"/>
      <c r="KU25" s="971"/>
      <c r="KV25" s="971"/>
      <c r="KW25" s="971"/>
      <c r="KX25" s="971"/>
      <c r="KY25" s="971"/>
      <c r="KZ25" s="971"/>
      <c r="LA25" s="971"/>
      <c r="LB25" s="971"/>
      <c r="LC25" s="971"/>
      <c r="LD25" s="971"/>
      <c r="LE25" s="971"/>
      <c r="LF25" s="971"/>
      <c r="LG25" s="971"/>
      <c r="LH25" s="971"/>
      <c r="LI25" s="971"/>
      <c r="LJ25" s="971"/>
      <c r="LK25" s="971"/>
      <c r="LL25" s="971"/>
      <c r="LM25" s="971"/>
      <c r="LN25" s="971"/>
      <c r="LO25" s="971"/>
      <c r="LP25" s="971"/>
      <c r="LQ25" s="971"/>
      <c r="LR25" s="971"/>
      <c r="LS25" s="971"/>
      <c r="LT25" s="971"/>
      <c r="LU25" s="971"/>
      <c r="LV25" s="971"/>
      <c r="LW25" s="971"/>
      <c r="LX25" s="971"/>
      <c r="LY25" s="971"/>
      <c r="LZ25" s="971"/>
      <c r="MA25" s="971"/>
      <c r="MB25" s="971"/>
      <c r="MC25" s="971"/>
      <c r="MD25" s="971"/>
      <c r="ME25" s="971"/>
      <c r="MF25" s="971"/>
      <c r="MG25" s="971"/>
      <c r="MH25" s="971"/>
      <c r="MI25" s="971"/>
      <c r="MJ25" s="971"/>
      <c r="MK25" s="971"/>
      <c r="ML25" s="971"/>
      <c r="MM25" s="971"/>
      <c r="MN25" s="971"/>
      <c r="MO25" s="971"/>
      <c r="MP25" s="971"/>
      <c r="MQ25" s="971"/>
      <c r="MR25" s="971"/>
      <c r="MS25" s="971"/>
      <c r="MT25" s="971"/>
      <c r="MU25" s="971"/>
      <c r="MV25" s="971"/>
      <c r="MW25" s="971"/>
      <c r="MX25" s="971"/>
      <c r="MY25" s="971"/>
      <c r="MZ25" s="971"/>
      <c r="NA25" s="971"/>
      <c r="NB25" s="971"/>
      <c r="NC25" s="971"/>
      <c r="ND25" s="971"/>
      <c r="NE25" s="971"/>
      <c r="NF25" s="971"/>
      <c r="NG25" s="971"/>
      <c r="NH25" s="971"/>
      <c r="NI25" s="971"/>
      <c r="NJ25" s="971"/>
      <c r="NK25" s="971"/>
      <c r="NL25" s="971"/>
      <c r="NM25" s="971"/>
      <c r="NN25" s="971"/>
      <c r="NO25" s="971"/>
      <c r="NP25" s="971"/>
      <c r="NQ25" s="971"/>
      <c r="NR25" s="971"/>
      <c r="NS25" s="971"/>
      <c r="NT25" s="971"/>
      <c r="NU25" s="971"/>
      <c r="NV25" s="971"/>
      <c r="NW25" s="971"/>
      <c r="NX25" s="971"/>
      <c r="NY25" s="971"/>
      <c r="NZ25" s="971"/>
      <c r="OA25" s="971"/>
      <c r="OB25" s="971"/>
      <c r="OC25" s="971"/>
      <c r="OD25" s="971"/>
      <c r="OE25" s="971"/>
      <c r="OF25" s="971"/>
      <c r="OG25" s="971"/>
      <c r="OH25" s="971"/>
      <c r="OI25" s="971"/>
      <c r="OJ25" s="971"/>
      <c r="OK25" s="971"/>
      <c r="OL25" s="971"/>
      <c r="OM25" s="971"/>
      <c r="ON25" s="971"/>
      <c r="OO25" s="971"/>
      <c r="OP25" s="971"/>
      <c r="OQ25" s="971"/>
      <c r="OR25" s="971"/>
      <c r="OS25" s="971"/>
      <c r="OT25" s="971"/>
      <c r="OU25" s="971"/>
      <c r="OV25" s="971"/>
      <c r="OW25" s="971"/>
      <c r="OX25" s="971"/>
      <c r="OY25" s="971"/>
      <c r="OZ25" s="971"/>
      <c r="PA25" s="971"/>
      <c r="PB25" s="971"/>
      <c r="PC25" s="971"/>
      <c r="PD25" s="971"/>
      <c r="PE25" s="971"/>
      <c r="PF25" s="971"/>
      <c r="PG25" s="971"/>
      <c r="PH25" s="971"/>
      <c r="PI25" s="971"/>
      <c r="PJ25" s="971"/>
      <c r="PK25" s="971"/>
      <c r="PL25" s="971"/>
      <c r="PM25" s="971"/>
      <c r="PN25" s="971"/>
      <c r="PO25" s="971"/>
      <c r="PP25" s="971"/>
      <c r="PQ25" s="971"/>
      <c r="PR25" s="971"/>
      <c r="PS25" s="971"/>
      <c r="PT25" s="971"/>
      <c r="PU25" s="971"/>
      <c r="PV25" s="971"/>
      <c r="PW25" s="971"/>
      <c r="PX25" s="971"/>
      <c r="PY25" s="971"/>
      <c r="PZ25" s="971"/>
      <c r="QA25" s="971"/>
      <c r="QB25" s="971"/>
      <c r="QC25" s="971"/>
      <c r="QD25" s="971"/>
      <c r="QE25" s="971"/>
      <c r="QF25" s="971"/>
      <c r="QG25" s="971"/>
      <c r="QH25" s="971"/>
      <c r="QI25" s="971"/>
      <c r="QJ25" s="971"/>
      <c r="QK25" s="971"/>
      <c r="QL25" s="971"/>
      <c r="QM25" s="971"/>
      <c r="QN25" s="971"/>
      <c r="QO25" s="971"/>
      <c r="QP25" s="971"/>
      <c r="QQ25" s="971"/>
      <c r="QR25" s="971"/>
      <c r="QS25" s="971"/>
      <c r="QT25" s="971"/>
      <c r="QU25" s="971"/>
      <c r="QV25" s="971"/>
      <c r="QW25" s="971"/>
      <c r="QX25" s="971"/>
      <c r="QY25" s="971"/>
      <c r="QZ25" s="971"/>
      <c r="RA25" s="971"/>
      <c r="RB25" s="971"/>
      <c r="RC25" s="971"/>
      <c r="RD25" s="971"/>
      <c r="RE25" s="971"/>
      <c r="RF25" s="971"/>
      <c r="RG25" s="971"/>
      <c r="RH25" s="971"/>
      <c r="RI25" s="971"/>
      <c r="RJ25" s="971"/>
      <c r="RK25" s="971"/>
      <c r="RL25" s="971"/>
      <c r="RM25" s="971"/>
      <c r="RN25" s="971"/>
      <c r="RO25" s="971"/>
      <c r="RP25" s="971"/>
      <c r="RQ25" s="971"/>
      <c r="RR25" s="971"/>
      <c r="RS25" s="971"/>
      <c r="RT25" s="971"/>
      <c r="RU25" s="971"/>
      <c r="RV25" s="971"/>
      <c r="RW25" s="971"/>
      <c r="RX25" s="971"/>
      <c r="RY25" s="971"/>
      <c r="RZ25" s="971"/>
      <c r="SA25" s="971"/>
      <c r="SB25" s="971"/>
      <c r="SC25" s="971"/>
      <c r="SD25" s="971"/>
      <c r="SE25" s="971"/>
      <c r="SF25" s="971"/>
      <c r="SG25" s="971"/>
      <c r="SH25" s="971"/>
      <c r="SI25" s="971"/>
      <c r="SJ25" s="971"/>
      <c r="SK25" s="971"/>
      <c r="SL25" s="971"/>
      <c r="SM25" s="971"/>
      <c r="SN25" s="971"/>
      <c r="SO25" s="971"/>
      <c r="SP25" s="971"/>
      <c r="SQ25" s="971"/>
      <c r="SR25" s="971"/>
      <c r="SS25" s="971"/>
      <c r="ST25" s="971"/>
      <c r="SU25" s="971"/>
      <c r="SV25" s="971"/>
      <c r="SW25" s="971"/>
      <c r="SX25" s="971"/>
      <c r="SY25" s="971"/>
      <c r="SZ25" s="971"/>
      <c r="TA25" s="971"/>
      <c r="TB25" s="971"/>
      <c r="TC25" s="971"/>
      <c r="TD25" s="971"/>
      <c r="TE25" s="971"/>
      <c r="TF25" s="971"/>
      <c r="TG25" s="971"/>
      <c r="TH25" s="971"/>
      <c r="TI25" s="971"/>
      <c r="TJ25" s="971"/>
      <c r="TK25" s="971"/>
      <c r="TL25" s="971"/>
      <c r="TM25" s="971"/>
      <c r="TN25" s="971"/>
      <c r="TO25" s="971"/>
      <c r="TP25" s="971"/>
      <c r="TQ25" s="971"/>
      <c r="TR25" s="971"/>
      <c r="TS25" s="971"/>
      <c r="TT25" s="971"/>
      <c r="TU25" s="971"/>
      <c r="TV25" s="971"/>
      <c r="TW25" s="971"/>
      <c r="TX25" s="971"/>
      <c r="TY25" s="971"/>
      <c r="TZ25" s="971"/>
      <c r="UA25" s="971"/>
      <c r="UB25" s="971"/>
      <c r="UC25" s="971"/>
      <c r="UD25" s="971"/>
      <c r="UE25" s="971"/>
      <c r="UF25" s="971"/>
      <c r="UG25" s="971"/>
      <c r="UH25" s="971"/>
      <c r="UI25" s="971"/>
      <c r="UJ25" s="971"/>
      <c r="UK25" s="971"/>
      <c r="UL25" s="971"/>
      <c r="UM25" s="971"/>
      <c r="UN25" s="971"/>
      <c r="UO25" s="971"/>
      <c r="UP25" s="971"/>
      <c r="UQ25" s="971"/>
      <c r="UR25" s="971"/>
      <c r="US25" s="971"/>
      <c r="UT25" s="971"/>
      <c r="UU25" s="971"/>
      <c r="UV25" s="971"/>
      <c r="UW25" s="971"/>
      <c r="UX25" s="971"/>
      <c r="UY25" s="971"/>
      <c r="UZ25" s="971"/>
      <c r="VA25" s="971"/>
      <c r="VB25" s="971"/>
      <c r="VC25" s="971"/>
      <c r="VD25" s="971"/>
      <c r="VE25" s="971"/>
      <c r="VF25" s="971"/>
      <c r="VG25" s="971"/>
      <c r="VH25" s="971"/>
      <c r="VI25" s="971"/>
      <c r="VJ25" s="971"/>
      <c r="VK25" s="971"/>
      <c r="VL25" s="971"/>
      <c r="VM25" s="971"/>
      <c r="VN25" s="971"/>
      <c r="VO25" s="971"/>
      <c r="VP25" s="971"/>
      <c r="VQ25" s="971"/>
      <c r="VR25" s="971"/>
      <c r="VS25" s="971"/>
      <c r="VT25" s="971"/>
      <c r="VU25" s="971"/>
      <c r="VV25" s="971"/>
      <c r="VW25" s="971"/>
      <c r="VX25" s="971"/>
      <c r="VY25" s="971"/>
      <c r="VZ25" s="971"/>
      <c r="WA25" s="971"/>
      <c r="WB25" s="971"/>
      <c r="WC25" s="971"/>
      <c r="WD25" s="971"/>
      <c r="WE25" s="971"/>
      <c r="WF25" s="971"/>
      <c r="WG25" s="971"/>
      <c r="WH25" s="971"/>
      <c r="WI25" s="971"/>
      <c r="WJ25" s="971"/>
      <c r="WK25" s="971"/>
      <c r="WL25" s="971"/>
      <c r="WM25" s="971"/>
      <c r="WN25" s="971"/>
      <c r="WO25" s="971"/>
      <c r="WP25" s="971"/>
      <c r="WQ25" s="971"/>
      <c r="WR25" s="971"/>
      <c r="WS25" s="971"/>
      <c r="WT25" s="971"/>
      <c r="WU25" s="971"/>
      <c r="WV25" s="971"/>
      <c r="WW25" s="971"/>
      <c r="WX25" s="971"/>
      <c r="WY25" s="971"/>
      <c r="WZ25" s="971"/>
      <c r="XA25" s="971"/>
      <c r="XB25" s="971"/>
      <c r="XC25" s="971"/>
      <c r="XD25" s="971"/>
      <c r="XE25" s="971"/>
      <c r="XF25" s="971"/>
      <c r="XG25" s="971"/>
      <c r="XH25" s="971"/>
      <c r="XI25" s="971"/>
      <c r="XJ25" s="971"/>
      <c r="XK25" s="971"/>
      <c r="XL25" s="971"/>
      <c r="XM25" s="971"/>
      <c r="XN25" s="971"/>
      <c r="XO25" s="971"/>
      <c r="XP25" s="971"/>
      <c r="XQ25" s="971"/>
      <c r="XR25" s="971"/>
      <c r="XS25" s="971"/>
      <c r="XT25" s="971"/>
      <c r="XU25" s="971"/>
      <c r="XV25" s="971"/>
      <c r="XW25" s="971"/>
      <c r="XX25" s="971"/>
      <c r="XY25" s="971"/>
      <c r="XZ25" s="971"/>
      <c r="YA25" s="971"/>
      <c r="YB25" s="971"/>
      <c r="YC25" s="971"/>
      <c r="YD25" s="971"/>
      <c r="YE25" s="971"/>
      <c r="YF25" s="971"/>
      <c r="YG25" s="971"/>
      <c r="YH25" s="971"/>
      <c r="YI25" s="971"/>
      <c r="YJ25" s="971"/>
      <c r="YK25" s="971"/>
      <c r="YL25" s="971"/>
      <c r="YM25" s="971"/>
      <c r="YN25" s="971"/>
      <c r="YO25" s="971"/>
      <c r="YP25" s="971"/>
      <c r="YQ25" s="971"/>
      <c r="YR25" s="971"/>
      <c r="YS25" s="971"/>
      <c r="YT25" s="971"/>
      <c r="YU25" s="971"/>
      <c r="YV25" s="971"/>
      <c r="YW25" s="971"/>
      <c r="YX25" s="971"/>
      <c r="YY25" s="971"/>
      <c r="YZ25" s="971"/>
      <c r="ZA25" s="971"/>
      <c r="ZB25" s="971"/>
      <c r="ZC25" s="971"/>
      <c r="ZD25" s="971"/>
      <c r="ZE25" s="971"/>
      <c r="ZF25" s="971"/>
      <c r="ZG25" s="971"/>
      <c r="ZH25" s="971"/>
      <c r="ZI25" s="971"/>
      <c r="ZJ25" s="971"/>
      <c r="ZK25" s="971"/>
      <c r="ZL25" s="971"/>
      <c r="ZM25" s="971"/>
      <c r="ZN25" s="971"/>
      <c r="ZO25" s="971"/>
      <c r="ZP25" s="971"/>
      <c r="ZQ25" s="971"/>
      <c r="ZR25" s="971"/>
      <c r="ZS25" s="971"/>
      <c r="ZT25" s="971"/>
      <c r="ZU25" s="971"/>
      <c r="ZV25" s="971"/>
      <c r="ZW25" s="971"/>
      <c r="ZX25" s="971"/>
      <c r="ZY25" s="971"/>
      <c r="ZZ25" s="971"/>
      <c r="AAA25" s="971"/>
      <c r="AAB25" s="971"/>
      <c r="AAC25" s="971"/>
      <c r="AAD25" s="971"/>
      <c r="AAE25" s="971"/>
      <c r="AAF25" s="971"/>
      <c r="AAG25" s="971"/>
      <c r="AAH25" s="971"/>
      <c r="AAI25" s="971"/>
      <c r="AAJ25" s="971"/>
      <c r="AAK25" s="971"/>
      <c r="AAL25" s="971"/>
      <c r="AAM25" s="971"/>
      <c r="AAN25" s="971"/>
      <c r="AAO25" s="971"/>
      <c r="AAP25" s="971"/>
      <c r="AAQ25" s="971"/>
      <c r="AAR25" s="971"/>
      <c r="AAS25" s="971"/>
      <c r="AAT25" s="971"/>
      <c r="AAU25" s="971"/>
      <c r="AAV25" s="971"/>
      <c r="AAW25" s="971"/>
      <c r="AAX25" s="971"/>
      <c r="AAY25" s="971"/>
      <c r="AAZ25" s="971"/>
      <c r="ABA25" s="971"/>
      <c r="ABB25" s="971"/>
      <c r="ABC25" s="971"/>
      <c r="ABD25" s="971"/>
      <c r="ABE25" s="971"/>
      <c r="ABF25" s="971"/>
      <c r="ABG25" s="971"/>
      <c r="ABH25" s="971"/>
      <c r="ABI25" s="971"/>
      <c r="ABJ25" s="971"/>
      <c r="ABK25" s="971"/>
      <c r="ABL25" s="971"/>
      <c r="ABM25" s="971"/>
      <c r="ABN25" s="971"/>
      <c r="ABO25" s="971"/>
      <c r="ABP25" s="971"/>
      <c r="ABQ25" s="971"/>
      <c r="ABR25" s="971"/>
      <c r="ABS25" s="971"/>
      <c r="ABT25" s="971"/>
      <c r="ABU25" s="971"/>
      <c r="ABV25" s="971"/>
      <c r="ABW25" s="971"/>
      <c r="ABX25" s="971"/>
      <c r="ABY25" s="971"/>
      <c r="ABZ25" s="971"/>
      <c r="ACA25" s="971"/>
      <c r="ACB25" s="971"/>
      <c r="ACC25" s="971"/>
      <c r="ACD25" s="971"/>
      <c r="ACE25" s="971"/>
      <c r="ACF25" s="971"/>
      <c r="ACG25" s="971"/>
      <c r="ACH25" s="971"/>
      <c r="ACI25" s="971"/>
      <c r="ACJ25" s="971"/>
      <c r="ACK25" s="971"/>
      <c r="ACL25" s="971"/>
      <c r="ACM25" s="971"/>
      <c r="ACN25" s="971"/>
      <c r="ACO25" s="971"/>
      <c r="ACP25" s="971"/>
      <c r="ACQ25" s="971"/>
      <c r="ACR25" s="971"/>
      <c r="ACS25" s="971"/>
      <c r="ACT25" s="971"/>
      <c r="ACU25" s="971"/>
      <c r="ACV25" s="971"/>
      <c r="ACW25" s="971"/>
      <c r="ACX25" s="971"/>
      <c r="ACY25" s="971"/>
      <c r="ACZ25" s="971"/>
      <c r="ADA25" s="971"/>
      <c r="ADB25" s="971"/>
      <c r="ADC25" s="971"/>
      <c r="ADD25" s="971"/>
      <c r="ADE25" s="971"/>
      <c r="ADF25" s="971"/>
      <c r="ADG25" s="971"/>
      <c r="ADH25" s="971"/>
      <c r="ADI25" s="971"/>
      <c r="ADJ25" s="971"/>
      <c r="ADK25" s="971"/>
      <c r="ADL25" s="971"/>
      <c r="ADM25" s="971"/>
      <c r="ADN25" s="971"/>
      <c r="ADO25" s="971"/>
      <c r="ADP25" s="971"/>
      <c r="ADQ25" s="971"/>
      <c r="ADR25" s="971"/>
      <c r="ADS25" s="971"/>
      <c r="ADT25" s="971"/>
      <c r="ADU25" s="971"/>
      <c r="ADV25" s="971"/>
      <c r="ADW25" s="971"/>
      <c r="ADX25" s="971"/>
      <c r="ADY25" s="971"/>
      <c r="ADZ25" s="971"/>
      <c r="AEA25" s="971"/>
      <c r="AEB25" s="971"/>
      <c r="AEC25" s="971"/>
      <c r="AED25" s="971"/>
      <c r="AEE25" s="971"/>
      <c r="AEF25" s="971"/>
      <c r="AEG25" s="971"/>
      <c r="AEH25" s="971"/>
      <c r="AEI25" s="971"/>
      <c r="AEJ25" s="971"/>
      <c r="AEK25" s="971"/>
      <c r="AEL25" s="971"/>
      <c r="AEM25" s="971"/>
      <c r="AEN25" s="971"/>
      <c r="AEO25" s="971"/>
      <c r="AEP25" s="971"/>
      <c r="AEQ25" s="971"/>
      <c r="AER25" s="971"/>
      <c r="AES25" s="971"/>
      <c r="AET25" s="971"/>
      <c r="AEU25" s="971"/>
      <c r="AEV25" s="971"/>
      <c r="AEW25" s="971"/>
      <c r="AEX25" s="971"/>
      <c r="AEY25" s="971"/>
      <c r="AEZ25" s="971"/>
      <c r="AFA25" s="971"/>
      <c r="AFB25" s="971"/>
      <c r="AFC25" s="971"/>
      <c r="AFD25" s="971"/>
      <c r="AFE25" s="971"/>
      <c r="AFF25" s="971"/>
      <c r="AFG25" s="971"/>
      <c r="AFH25" s="971"/>
      <c r="AFI25" s="971"/>
      <c r="AFJ25" s="971"/>
      <c r="AFK25" s="971"/>
      <c r="AFL25" s="971"/>
      <c r="AFM25" s="971"/>
      <c r="AFN25" s="971"/>
      <c r="AFO25" s="971"/>
      <c r="AFP25" s="971"/>
      <c r="AFQ25" s="971"/>
      <c r="AFR25" s="971"/>
      <c r="AFS25" s="971"/>
      <c r="AFT25" s="971"/>
      <c r="AFU25" s="971"/>
      <c r="AFV25" s="971"/>
      <c r="AFW25" s="971"/>
      <c r="AFX25" s="971"/>
      <c r="AFY25" s="971"/>
      <c r="AFZ25" s="971"/>
      <c r="AGA25" s="971"/>
      <c r="AGB25" s="971"/>
      <c r="AGC25" s="971"/>
      <c r="AGD25" s="971"/>
      <c r="AGE25" s="971"/>
      <c r="AGF25" s="971"/>
      <c r="AGG25" s="971"/>
      <c r="AGH25" s="971"/>
      <c r="AGI25" s="971"/>
      <c r="AGJ25" s="971"/>
      <c r="AGK25" s="971"/>
      <c r="AGL25" s="971"/>
      <c r="AGM25" s="971"/>
      <c r="AGN25" s="971"/>
      <c r="AGO25" s="971"/>
      <c r="AGP25" s="971"/>
      <c r="AGQ25" s="971"/>
      <c r="AGR25" s="971"/>
      <c r="AGS25" s="971"/>
      <c r="AGT25" s="971"/>
      <c r="AGU25" s="971"/>
      <c r="AGV25" s="971"/>
      <c r="AGW25" s="971"/>
      <c r="AGX25" s="971"/>
      <c r="AGY25" s="971"/>
      <c r="AGZ25" s="971"/>
      <c r="AHA25" s="971"/>
      <c r="AHB25" s="971"/>
      <c r="AHC25" s="971"/>
      <c r="AHD25" s="971"/>
      <c r="AHE25" s="971"/>
      <c r="AHF25" s="971"/>
      <c r="AHG25" s="971"/>
      <c r="AHH25" s="971"/>
      <c r="AHI25" s="971"/>
      <c r="AHJ25" s="971"/>
      <c r="AHK25" s="971"/>
      <c r="AHL25" s="971"/>
      <c r="AHM25" s="971"/>
      <c r="AHN25" s="971"/>
      <c r="AHO25" s="971"/>
      <c r="AHP25" s="971"/>
      <c r="AHQ25" s="971"/>
      <c r="AHR25" s="971"/>
      <c r="AHS25" s="971"/>
      <c r="AHT25" s="971"/>
      <c r="AHU25" s="971"/>
      <c r="AHV25" s="971"/>
      <c r="AHW25" s="971"/>
      <c r="AHX25" s="971"/>
      <c r="AHY25" s="971"/>
      <c r="AHZ25" s="971"/>
      <c r="AIA25" s="971"/>
      <c r="AIB25" s="971"/>
      <c r="AIC25" s="971"/>
      <c r="AID25" s="971"/>
      <c r="AIE25" s="971"/>
      <c r="AIF25" s="971"/>
      <c r="AIG25" s="971"/>
      <c r="AIH25" s="971"/>
      <c r="AII25" s="971"/>
      <c r="AIJ25" s="971"/>
      <c r="AIK25" s="971"/>
      <c r="AIL25" s="971"/>
      <c r="AIM25" s="971"/>
      <c r="AIN25" s="971"/>
      <c r="AIO25" s="971"/>
      <c r="AIP25" s="971"/>
      <c r="AIQ25" s="971"/>
      <c r="AIR25" s="971"/>
      <c r="AIS25" s="971"/>
      <c r="AIT25" s="971"/>
      <c r="AIU25" s="971"/>
      <c r="AIV25" s="971"/>
      <c r="AIW25" s="971"/>
      <c r="AIX25" s="971"/>
      <c r="AIY25" s="971"/>
      <c r="AIZ25" s="971"/>
      <c r="AJA25" s="971"/>
      <c r="AJB25" s="971"/>
      <c r="AJC25" s="971"/>
      <c r="AJD25" s="971"/>
      <c r="AJE25" s="971"/>
      <c r="AJF25" s="971"/>
      <c r="AJG25" s="971"/>
      <c r="AJH25" s="971"/>
      <c r="AJI25" s="971"/>
      <c r="AJJ25" s="971"/>
      <c r="AJK25" s="971"/>
      <c r="AJL25" s="971"/>
      <c r="AJM25" s="971"/>
      <c r="AJN25" s="971"/>
      <c r="AJO25" s="971"/>
      <c r="AJP25" s="971"/>
      <c r="AJQ25" s="971"/>
      <c r="AJR25" s="971"/>
      <c r="AJS25" s="971"/>
      <c r="AJT25" s="971"/>
      <c r="AJU25" s="971"/>
      <c r="AJV25" s="971"/>
      <c r="AJW25" s="971"/>
      <c r="AJX25" s="971"/>
      <c r="AJY25" s="971"/>
      <c r="AJZ25" s="971"/>
      <c r="AKA25" s="971"/>
      <c r="AKB25" s="971"/>
      <c r="AKC25" s="971"/>
      <c r="AKD25" s="971"/>
      <c r="AKE25" s="971"/>
      <c r="AKF25" s="971"/>
      <c r="AKG25" s="971"/>
      <c r="AKH25" s="971"/>
      <c r="AKI25" s="971"/>
      <c r="AKJ25" s="971"/>
      <c r="AKK25" s="971"/>
      <c r="AKL25" s="971"/>
      <c r="AKM25" s="971"/>
      <c r="AKN25" s="971"/>
      <c r="AKO25" s="971"/>
      <c r="AKP25" s="971"/>
      <c r="AKQ25" s="971"/>
      <c r="AKR25" s="971"/>
      <c r="AKS25" s="971"/>
      <c r="AKT25" s="971"/>
      <c r="AKU25" s="971"/>
      <c r="AKV25" s="971"/>
      <c r="AKW25" s="971"/>
      <c r="AKX25" s="971"/>
      <c r="AKY25" s="971"/>
      <c r="AKZ25" s="971"/>
      <c r="ALA25" s="971"/>
      <c r="ALB25" s="971"/>
      <c r="ALC25" s="971"/>
      <c r="ALD25" s="971"/>
      <c r="ALE25" s="971"/>
      <c r="ALF25" s="971"/>
      <c r="ALG25" s="971"/>
      <c r="ALH25" s="971"/>
      <c r="ALI25" s="971"/>
      <c r="ALJ25" s="971"/>
      <c r="ALK25" s="971"/>
      <c r="ALL25" s="971"/>
    </row>
    <row r="26" s="929" customFormat="1" ht="13.5" customHeight="1" hidden="1">
      <c r="A26" s="971"/>
      <c r="B26" s="971"/>
      <c r="C26" s="971"/>
      <c r="D26" s="971"/>
      <c r="E26" s="971"/>
      <c r="F26" s="971"/>
      <c r="G26" s="971"/>
      <c r="H26" s="971"/>
      <c r="I26" s="971"/>
      <c r="J26" s="971"/>
      <c r="K26" s="971"/>
      <c r="L26" s="971"/>
      <c r="M26" s="971"/>
      <c r="N26" s="971"/>
      <c r="O26" s="971"/>
      <c r="P26" s="971"/>
      <c r="Q26" s="971"/>
      <c r="R26" s="971"/>
      <c r="S26" s="971"/>
      <c r="T26" s="971"/>
      <c r="U26" s="971"/>
      <c r="V26" s="971"/>
      <c r="W26" s="971"/>
      <c r="X26" s="971"/>
      <c r="Y26" s="971"/>
      <c r="Z26" s="971"/>
      <c r="AA26" s="971"/>
      <c r="AB26" s="971"/>
      <c r="AC26" s="971"/>
      <c r="AD26" s="971"/>
      <c r="AE26" s="971"/>
      <c r="AF26" s="971"/>
      <c r="AG26" s="971"/>
      <c r="AH26" s="971"/>
      <c r="AI26" s="971"/>
      <c r="AJ26" s="971"/>
      <c r="AK26" s="971"/>
      <c r="AL26" s="971"/>
      <c r="AM26" s="971"/>
      <c r="AN26" s="971"/>
      <c r="AO26" s="971"/>
      <c r="AP26" s="971"/>
      <c r="AQ26" s="971"/>
      <c r="AR26" s="971"/>
      <c r="AS26" s="971"/>
      <c r="AT26" s="971"/>
      <c r="AU26" s="971"/>
      <c r="AV26" s="971"/>
      <c r="AW26" s="971"/>
      <c r="AX26" s="971"/>
      <c r="AY26" s="971"/>
      <c r="AZ26" s="971"/>
      <c r="BA26" s="971"/>
      <c r="BB26" s="971"/>
      <c r="BC26" s="971"/>
      <c r="BD26" s="971"/>
      <c r="BE26" s="971"/>
      <c r="BF26" s="971"/>
      <c r="BG26" s="971"/>
      <c r="BH26" s="971"/>
      <c r="BI26" s="971"/>
      <c r="BJ26" s="971"/>
      <c r="BK26" s="971"/>
      <c r="BL26" s="971"/>
      <c r="BM26" s="971"/>
      <c r="BN26" s="971"/>
      <c r="BO26" s="971"/>
      <c r="BP26" s="971"/>
      <c r="BQ26" s="971"/>
      <c r="BR26" s="971"/>
      <c r="BS26" s="971"/>
      <c r="BT26" s="971"/>
      <c r="BU26" s="971"/>
      <c r="BV26" s="971"/>
      <c r="BW26" s="971"/>
      <c r="BX26" s="971"/>
      <c r="BY26" s="971"/>
      <c r="BZ26" s="971"/>
      <c r="CA26" s="971"/>
      <c r="CB26" s="971"/>
      <c r="CC26" s="971"/>
      <c r="CD26" s="971"/>
      <c r="CE26" s="971"/>
      <c r="CF26" s="971"/>
      <c r="CG26" s="971"/>
      <c r="CH26" s="971"/>
      <c r="CI26" s="971"/>
      <c r="CJ26" s="971"/>
      <c r="CK26" s="971"/>
      <c r="CL26" s="971"/>
      <c r="CM26" s="971"/>
      <c r="CN26" s="971"/>
      <c r="CO26" s="971"/>
      <c r="CP26" s="971"/>
      <c r="CQ26" s="971"/>
      <c r="CR26" s="971"/>
      <c r="CS26" s="971"/>
      <c r="CT26" s="971"/>
      <c r="CU26" s="971"/>
      <c r="CV26" s="971"/>
      <c r="CW26" s="971"/>
      <c r="CX26" s="971"/>
      <c r="CY26" s="971"/>
      <c r="CZ26" s="971"/>
      <c r="DA26" s="971"/>
      <c r="DB26" s="971"/>
      <c r="DC26" s="971"/>
      <c r="DD26" s="971"/>
      <c r="DE26" s="971"/>
      <c r="DF26" s="971"/>
      <c r="DG26" s="971"/>
      <c r="DH26" s="971"/>
      <c r="DI26" s="971"/>
      <c r="DJ26" s="971"/>
      <c r="DK26" s="971"/>
      <c r="DL26" s="971"/>
      <c r="DM26" s="971"/>
      <c r="DN26" s="971"/>
      <c r="DO26" s="971"/>
      <c r="DP26" s="971"/>
      <c r="DQ26" s="971"/>
      <c r="DR26" s="971"/>
      <c r="DS26" s="971"/>
      <c r="DT26" s="971"/>
      <c r="DU26" s="971"/>
      <c r="DV26" s="971"/>
      <c r="DW26" s="971"/>
      <c r="DX26" s="971"/>
      <c r="DY26" s="971"/>
      <c r="DZ26" s="971"/>
      <c r="EA26" s="971"/>
      <c r="EB26" s="971"/>
      <c r="EC26" s="971"/>
      <c r="ED26" s="971"/>
      <c r="EE26" s="971"/>
      <c r="EF26" s="971"/>
      <c r="EG26" s="971"/>
      <c r="EH26" s="971"/>
      <c r="EI26" s="971"/>
      <c r="EJ26" s="971"/>
      <c r="EK26" s="971"/>
      <c r="EL26" s="971"/>
      <c r="EM26" s="971"/>
      <c r="EN26" s="971"/>
      <c r="EO26" s="971"/>
      <c r="EP26" s="971"/>
      <c r="EQ26" s="971"/>
      <c r="ER26" s="971"/>
      <c r="ES26" s="971"/>
      <c r="ET26" s="971"/>
      <c r="EU26" s="971"/>
      <c r="EV26" s="971"/>
      <c r="EW26" s="971"/>
      <c r="EX26" s="971"/>
      <c r="EY26" s="971"/>
      <c r="EZ26" s="971"/>
      <c r="FA26" s="971"/>
      <c r="FB26" s="971"/>
      <c r="FC26" s="971"/>
      <c r="FD26" s="971"/>
      <c r="FE26" s="971"/>
      <c r="FF26" s="971"/>
      <c r="FG26" s="971"/>
      <c r="FH26" s="971"/>
      <c r="FI26" s="971"/>
      <c r="FJ26" s="971"/>
      <c r="FK26" s="971"/>
      <c r="FL26" s="971"/>
      <c r="FM26" s="971"/>
      <c r="FN26" s="971"/>
      <c r="FO26" s="971"/>
      <c r="FP26" s="971"/>
      <c r="FQ26" s="971"/>
      <c r="FR26" s="971"/>
      <c r="FS26" s="971"/>
      <c r="FT26" s="971"/>
      <c r="FU26" s="971"/>
      <c r="FV26" s="971"/>
      <c r="FW26" s="971"/>
      <c r="FX26" s="971"/>
      <c r="FY26" s="971"/>
      <c r="FZ26" s="971"/>
      <c r="GA26" s="971"/>
      <c r="GB26" s="971"/>
      <c r="GC26" s="971"/>
      <c r="GD26" s="971"/>
      <c r="GE26" s="971"/>
      <c r="GF26" s="971"/>
      <c r="GG26" s="971"/>
      <c r="GH26" s="971"/>
      <c r="GI26" s="971"/>
      <c r="GJ26" s="971"/>
      <c r="GK26" s="971"/>
      <c r="GL26" s="971"/>
      <c r="GM26" s="971"/>
      <c r="GN26" s="971"/>
      <c r="GO26" s="971"/>
      <c r="GP26" s="971"/>
      <c r="GQ26" s="971"/>
      <c r="GR26" s="971"/>
      <c r="GS26" s="971"/>
      <c r="GT26" s="971"/>
      <c r="GU26" s="971"/>
      <c r="GV26" s="971"/>
      <c r="GW26" s="971"/>
      <c r="GX26" s="971"/>
      <c r="GY26" s="971"/>
      <c r="GZ26" s="971"/>
      <c r="HA26" s="971"/>
      <c r="HB26" s="971"/>
      <c r="HC26" s="971"/>
      <c r="HD26" s="971"/>
      <c r="HE26" s="971"/>
      <c r="HF26" s="971"/>
      <c r="HG26" s="971"/>
      <c r="HH26" s="971"/>
      <c r="HI26" s="971"/>
      <c r="HJ26" s="971"/>
      <c r="HK26" s="971"/>
      <c r="HL26" s="971"/>
      <c r="HM26" s="971"/>
      <c r="HN26" s="971"/>
      <c r="HO26" s="971"/>
      <c r="HP26" s="971"/>
      <c r="HQ26" s="971"/>
      <c r="HR26" s="971"/>
      <c r="HS26" s="971"/>
      <c r="HT26" s="971"/>
      <c r="HU26" s="971"/>
      <c r="HV26" s="971"/>
      <c r="HW26" s="971"/>
      <c r="HX26" s="971"/>
      <c r="HY26" s="971"/>
      <c r="HZ26" s="971"/>
      <c r="IA26" s="971"/>
      <c r="IB26" s="971"/>
      <c r="IC26" s="971"/>
      <c r="ID26" s="971"/>
      <c r="IE26" s="971"/>
      <c r="IF26" s="971"/>
      <c r="IG26" s="971"/>
      <c r="IH26" s="971"/>
      <c r="II26" s="971"/>
      <c r="IJ26" s="971"/>
      <c r="IK26" s="971"/>
      <c r="IL26" s="971"/>
      <c r="IM26" s="971"/>
      <c r="IN26" s="971"/>
      <c r="IO26" s="971"/>
      <c r="IP26" s="971"/>
      <c r="IQ26" s="971"/>
      <c r="IR26" s="971"/>
      <c r="IS26" s="971"/>
      <c r="IT26" s="971"/>
      <c r="IU26" s="971"/>
      <c r="IV26" s="971"/>
      <c r="IW26" s="971"/>
      <c r="IX26" s="971"/>
      <c r="IY26" s="971"/>
      <c r="IZ26" s="971"/>
      <c r="JA26" s="971"/>
      <c r="JB26" s="971"/>
      <c r="JC26" s="971"/>
      <c r="JD26" s="971"/>
      <c r="JE26" s="971"/>
      <c r="JF26" s="971"/>
      <c r="JG26" s="971"/>
      <c r="JH26" s="971"/>
      <c r="JI26" s="971"/>
      <c r="JJ26" s="971"/>
      <c r="JK26" s="971"/>
      <c r="JL26" s="971"/>
      <c r="JM26" s="971"/>
      <c r="JN26" s="971"/>
      <c r="JO26" s="971"/>
      <c r="JP26" s="971"/>
      <c r="JQ26" s="971"/>
      <c r="JR26" s="971"/>
      <c r="JS26" s="971"/>
      <c r="JT26" s="971"/>
      <c r="JU26" s="971"/>
      <c r="JV26" s="971"/>
      <c r="JW26" s="971"/>
      <c r="JX26" s="971"/>
      <c r="JY26" s="971"/>
      <c r="JZ26" s="971"/>
      <c r="KA26" s="971"/>
      <c r="KB26" s="971"/>
      <c r="KC26" s="971"/>
      <c r="KD26" s="971"/>
      <c r="KE26" s="971"/>
      <c r="KF26" s="971"/>
      <c r="KG26" s="971"/>
      <c r="KH26" s="971"/>
      <c r="KI26" s="971"/>
      <c r="KJ26" s="971"/>
      <c r="KK26" s="971"/>
      <c r="KL26" s="971"/>
      <c r="KM26" s="971"/>
      <c r="KN26" s="971"/>
      <c r="KO26" s="971"/>
      <c r="KP26" s="971"/>
      <c r="KQ26" s="971"/>
      <c r="KR26" s="971"/>
      <c r="KS26" s="971"/>
      <c r="KT26" s="971"/>
      <c r="KU26" s="971"/>
      <c r="KV26" s="971"/>
      <c r="KW26" s="971"/>
      <c r="KX26" s="971"/>
      <c r="KY26" s="971"/>
      <c r="KZ26" s="971"/>
      <c r="LA26" s="971"/>
      <c r="LB26" s="971"/>
      <c r="LC26" s="971"/>
      <c r="LD26" s="971"/>
      <c r="LE26" s="971"/>
      <c r="LF26" s="971"/>
      <c r="LG26" s="971"/>
      <c r="LH26" s="971"/>
      <c r="LI26" s="971"/>
      <c r="LJ26" s="971"/>
      <c r="LK26" s="971"/>
      <c r="LL26" s="971"/>
      <c r="LM26" s="971"/>
      <c r="LN26" s="971"/>
      <c r="LO26" s="971"/>
      <c r="LP26" s="971"/>
      <c r="LQ26" s="971"/>
      <c r="LR26" s="971"/>
      <c r="LS26" s="971"/>
      <c r="LT26" s="971"/>
      <c r="LU26" s="971"/>
      <c r="LV26" s="971"/>
      <c r="LW26" s="971"/>
      <c r="LX26" s="971"/>
      <c r="LY26" s="971"/>
      <c r="LZ26" s="971"/>
      <c r="MA26" s="971"/>
      <c r="MB26" s="971"/>
      <c r="MC26" s="971"/>
      <c r="MD26" s="971"/>
      <c r="ME26" s="971"/>
      <c r="MF26" s="971"/>
      <c r="MG26" s="971"/>
      <c r="MH26" s="971"/>
      <c r="MI26" s="971"/>
      <c r="MJ26" s="971"/>
      <c r="MK26" s="971"/>
      <c r="ML26" s="971"/>
      <c r="MM26" s="971"/>
      <c r="MN26" s="971"/>
      <c r="MO26" s="971"/>
      <c r="MP26" s="971"/>
      <c r="MQ26" s="971"/>
      <c r="MR26" s="971"/>
      <c r="MS26" s="971"/>
      <c r="MT26" s="971"/>
      <c r="MU26" s="971"/>
      <c r="MV26" s="971"/>
      <c r="MW26" s="971"/>
      <c r="MX26" s="971"/>
      <c r="MY26" s="971"/>
      <c r="MZ26" s="971"/>
      <c r="NA26" s="971"/>
      <c r="NB26" s="971"/>
      <c r="NC26" s="971"/>
      <c r="ND26" s="971"/>
      <c r="NE26" s="971"/>
      <c r="NF26" s="971"/>
      <c r="NG26" s="971"/>
      <c r="NH26" s="971"/>
      <c r="NI26" s="971"/>
      <c r="NJ26" s="971"/>
      <c r="NK26" s="971"/>
      <c r="NL26" s="971"/>
      <c r="NM26" s="971"/>
      <c r="NN26" s="971"/>
      <c r="NO26" s="971"/>
      <c r="NP26" s="971"/>
      <c r="NQ26" s="971"/>
      <c r="NR26" s="971"/>
      <c r="NS26" s="971"/>
      <c r="NT26" s="971"/>
      <c r="NU26" s="971"/>
      <c r="NV26" s="971"/>
      <c r="NW26" s="971"/>
      <c r="NX26" s="971"/>
      <c r="NY26" s="971"/>
      <c r="NZ26" s="971"/>
      <c r="OA26" s="971"/>
      <c r="OB26" s="971"/>
      <c r="OC26" s="971"/>
      <c r="OD26" s="971"/>
      <c r="OE26" s="971"/>
      <c r="OF26" s="971"/>
      <c r="OG26" s="971"/>
      <c r="OH26" s="971"/>
      <c r="OI26" s="971"/>
      <c r="OJ26" s="971"/>
      <c r="OK26" s="971"/>
      <c r="OL26" s="971"/>
      <c r="OM26" s="971"/>
      <c r="ON26" s="971"/>
      <c r="OO26" s="971"/>
      <c r="OP26" s="971"/>
      <c r="OQ26" s="971"/>
      <c r="OR26" s="971"/>
      <c r="OS26" s="971"/>
      <c r="OT26" s="971"/>
      <c r="OU26" s="971"/>
      <c r="OV26" s="971"/>
      <c r="OW26" s="971"/>
      <c r="OX26" s="971"/>
      <c r="OY26" s="971"/>
      <c r="OZ26" s="971"/>
      <c r="PA26" s="971"/>
      <c r="PB26" s="971"/>
      <c r="PC26" s="971"/>
      <c r="PD26" s="971"/>
      <c r="PE26" s="971"/>
      <c r="PF26" s="971"/>
      <c r="PG26" s="971"/>
      <c r="PH26" s="971"/>
      <c r="PI26" s="971"/>
      <c r="PJ26" s="971"/>
      <c r="PK26" s="971"/>
      <c r="PL26" s="971"/>
      <c r="PM26" s="971"/>
      <c r="PN26" s="971"/>
      <c r="PO26" s="971"/>
      <c r="PP26" s="971"/>
      <c r="PQ26" s="971"/>
      <c r="PR26" s="971"/>
      <c r="PS26" s="971"/>
      <c r="PT26" s="971"/>
      <c r="PU26" s="971"/>
      <c r="PV26" s="971"/>
      <c r="PW26" s="971"/>
      <c r="PX26" s="971"/>
      <c r="PY26" s="971"/>
      <c r="PZ26" s="971"/>
      <c r="QA26" s="971"/>
      <c r="QB26" s="971"/>
      <c r="QC26" s="971"/>
      <c r="QD26" s="971"/>
      <c r="QE26" s="971"/>
      <c r="QF26" s="971"/>
      <c r="QG26" s="971"/>
      <c r="QH26" s="971"/>
      <c r="QI26" s="971"/>
      <c r="QJ26" s="971"/>
      <c r="QK26" s="971"/>
      <c r="QL26" s="971"/>
      <c r="QM26" s="971"/>
      <c r="QN26" s="971"/>
      <c r="QO26" s="971"/>
      <c r="QP26" s="971"/>
      <c r="QQ26" s="971"/>
      <c r="QR26" s="971"/>
      <c r="QS26" s="971"/>
      <c r="QT26" s="971"/>
      <c r="QU26" s="971"/>
      <c r="QV26" s="971"/>
      <c r="QW26" s="971"/>
      <c r="QX26" s="971"/>
      <c r="QY26" s="971"/>
      <c r="QZ26" s="971"/>
      <c r="RA26" s="971"/>
      <c r="RB26" s="971"/>
      <c r="RC26" s="971"/>
      <c r="RD26" s="971"/>
      <c r="RE26" s="971"/>
      <c r="RF26" s="971"/>
      <c r="RG26" s="971"/>
      <c r="RH26" s="971"/>
      <c r="RI26" s="971"/>
      <c r="RJ26" s="971"/>
      <c r="RK26" s="971"/>
      <c r="RL26" s="971"/>
      <c r="RM26" s="971"/>
      <c r="RN26" s="971"/>
      <c r="RO26" s="971"/>
      <c r="RP26" s="971"/>
      <c r="RQ26" s="971"/>
      <c r="RR26" s="971"/>
      <c r="RS26" s="971"/>
      <c r="RT26" s="971"/>
      <c r="RU26" s="971"/>
      <c r="RV26" s="971"/>
      <c r="RW26" s="971"/>
      <c r="RX26" s="971"/>
      <c r="RY26" s="971"/>
      <c r="RZ26" s="971"/>
      <c r="SA26" s="971"/>
      <c r="SB26" s="971"/>
      <c r="SC26" s="971"/>
      <c r="SD26" s="971"/>
      <c r="SE26" s="971"/>
      <c r="SF26" s="971"/>
      <c r="SG26" s="971"/>
      <c r="SH26" s="971"/>
      <c r="SI26" s="971"/>
      <c r="SJ26" s="971"/>
      <c r="SK26" s="971"/>
      <c r="SL26" s="971"/>
      <c r="SM26" s="971"/>
      <c r="SN26" s="971"/>
      <c r="SO26" s="971"/>
      <c r="SP26" s="971"/>
      <c r="SQ26" s="971"/>
      <c r="SR26" s="971"/>
      <c r="SS26" s="971"/>
      <c r="ST26" s="971"/>
      <c r="SU26" s="971"/>
      <c r="SV26" s="971"/>
      <c r="SW26" s="971"/>
      <c r="SX26" s="971"/>
      <c r="SY26" s="971"/>
      <c r="SZ26" s="971"/>
      <c r="TA26" s="971"/>
      <c r="TB26" s="971"/>
      <c r="TC26" s="971"/>
      <c r="TD26" s="971"/>
      <c r="TE26" s="971"/>
      <c r="TF26" s="971"/>
      <c r="TG26" s="971"/>
      <c r="TH26" s="971"/>
      <c r="TI26" s="971"/>
      <c r="TJ26" s="971"/>
      <c r="TK26" s="971"/>
      <c r="TL26" s="971"/>
      <c r="TM26" s="971"/>
      <c r="TN26" s="971"/>
      <c r="TO26" s="971"/>
      <c r="TP26" s="971"/>
      <c r="TQ26" s="971"/>
      <c r="TR26" s="971"/>
      <c r="TS26" s="971"/>
      <c r="TT26" s="971"/>
      <c r="TU26" s="971"/>
      <c r="TV26" s="971"/>
      <c r="TW26" s="971"/>
      <c r="TX26" s="971"/>
      <c r="TY26" s="971"/>
      <c r="TZ26" s="971"/>
      <c r="UA26" s="971"/>
      <c r="UB26" s="971"/>
      <c r="UC26" s="971"/>
      <c r="UD26" s="971"/>
      <c r="UE26" s="971"/>
      <c r="UF26" s="971"/>
      <c r="UG26" s="971"/>
      <c r="UH26" s="971"/>
      <c r="UI26" s="971"/>
      <c r="UJ26" s="971"/>
      <c r="UK26" s="971"/>
      <c r="UL26" s="971"/>
      <c r="UM26" s="971"/>
      <c r="UN26" s="971"/>
      <c r="UO26" s="971"/>
      <c r="UP26" s="971"/>
      <c r="UQ26" s="971"/>
      <c r="UR26" s="971"/>
      <c r="US26" s="971"/>
      <c r="UT26" s="971"/>
      <c r="UU26" s="971"/>
      <c r="UV26" s="971"/>
      <c r="UW26" s="971"/>
      <c r="UX26" s="971"/>
      <c r="UY26" s="971"/>
      <c r="UZ26" s="971"/>
      <c r="VA26" s="971"/>
      <c r="VB26" s="971"/>
      <c r="VC26" s="971"/>
      <c r="VD26" s="971"/>
      <c r="VE26" s="971"/>
      <c r="VF26" s="971"/>
      <c r="VG26" s="971"/>
      <c r="VH26" s="971"/>
      <c r="VI26" s="971"/>
      <c r="VJ26" s="971"/>
      <c r="VK26" s="971"/>
      <c r="VL26" s="971"/>
      <c r="VM26" s="971"/>
      <c r="VN26" s="971"/>
      <c r="VO26" s="971"/>
      <c r="VP26" s="971"/>
      <c r="VQ26" s="971"/>
      <c r="VR26" s="971"/>
      <c r="VS26" s="971"/>
      <c r="VT26" s="971"/>
      <c r="VU26" s="971"/>
      <c r="VV26" s="971"/>
      <c r="VW26" s="971"/>
      <c r="VX26" s="971"/>
      <c r="VY26" s="971"/>
      <c r="VZ26" s="971"/>
      <c r="WA26" s="971"/>
      <c r="WB26" s="971"/>
      <c r="WC26" s="971"/>
      <c r="WD26" s="971"/>
      <c r="WE26" s="971"/>
      <c r="WF26" s="971"/>
      <c r="WG26" s="971"/>
      <c r="WH26" s="971"/>
      <c r="WI26" s="971"/>
      <c r="WJ26" s="971"/>
      <c r="WK26" s="971"/>
      <c r="WL26" s="971"/>
      <c r="WM26" s="971"/>
      <c r="WN26" s="971"/>
      <c r="WO26" s="971"/>
      <c r="WP26" s="971"/>
      <c r="WQ26" s="971"/>
      <c r="WR26" s="971"/>
      <c r="WS26" s="971"/>
      <c r="WT26" s="971"/>
      <c r="WU26" s="971"/>
      <c r="WV26" s="971"/>
      <c r="WW26" s="971"/>
      <c r="WX26" s="971"/>
      <c r="WY26" s="971"/>
      <c r="WZ26" s="971"/>
      <c r="XA26" s="971"/>
      <c r="XB26" s="971"/>
      <c r="XC26" s="971"/>
      <c r="XD26" s="971"/>
      <c r="XE26" s="971"/>
      <c r="XF26" s="971"/>
      <c r="XG26" s="971"/>
      <c r="XH26" s="971"/>
      <c r="XI26" s="971"/>
      <c r="XJ26" s="971"/>
      <c r="XK26" s="971"/>
      <c r="XL26" s="971"/>
      <c r="XM26" s="971"/>
      <c r="XN26" s="971"/>
      <c r="XO26" s="971"/>
      <c r="XP26" s="971"/>
      <c r="XQ26" s="971"/>
      <c r="XR26" s="971"/>
      <c r="XS26" s="971"/>
      <c r="XT26" s="971"/>
      <c r="XU26" s="971"/>
      <c r="XV26" s="971"/>
      <c r="XW26" s="971"/>
      <c r="XX26" s="971"/>
      <c r="XY26" s="971"/>
      <c r="XZ26" s="971"/>
      <c r="YA26" s="971"/>
      <c r="YB26" s="971"/>
      <c r="YC26" s="971"/>
      <c r="YD26" s="971"/>
      <c r="YE26" s="971"/>
      <c r="YF26" s="971"/>
      <c r="YG26" s="971"/>
      <c r="YH26" s="971"/>
      <c r="YI26" s="971"/>
      <c r="YJ26" s="971"/>
      <c r="YK26" s="971"/>
      <c r="YL26" s="971"/>
      <c r="YM26" s="971"/>
      <c r="YN26" s="971"/>
      <c r="YO26" s="971"/>
      <c r="YP26" s="971"/>
      <c r="YQ26" s="971"/>
      <c r="YR26" s="971"/>
      <c r="YS26" s="971"/>
      <c r="YT26" s="971"/>
      <c r="YU26" s="971"/>
      <c r="YV26" s="971"/>
      <c r="YW26" s="971"/>
      <c r="YX26" s="971"/>
      <c r="YY26" s="971"/>
      <c r="YZ26" s="971"/>
      <c r="ZA26" s="971"/>
      <c r="ZB26" s="971"/>
      <c r="ZC26" s="971"/>
      <c r="ZD26" s="971"/>
      <c r="ZE26" s="971"/>
      <c r="ZF26" s="971"/>
      <c r="ZG26" s="971"/>
      <c r="ZH26" s="971"/>
      <c r="ZI26" s="971"/>
      <c r="ZJ26" s="971"/>
      <c r="ZK26" s="971"/>
      <c r="ZL26" s="971"/>
      <c r="ZM26" s="971"/>
      <c r="ZN26" s="971"/>
      <c r="ZO26" s="971"/>
      <c r="ZP26" s="971"/>
      <c r="ZQ26" s="971"/>
      <c r="ZR26" s="971"/>
      <c r="ZS26" s="971"/>
      <c r="ZT26" s="971"/>
      <c r="ZU26" s="971"/>
      <c r="ZV26" s="971"/>
      <c r="ZW26" s="971"/>
      <c r="ZX26" s="971"/>
      <c r="ZY26" s="971"/>
      <c r="ZZ26" s="971"/>
      <c r="AAA26" s="971"/>
      <c r="AAB26" s="971"/>
      <c r="AAC26" s="971"/>
      <c r="AAD26" s="971"/>
      <c r="AAE26" s="971"/>
      <c r="AAF26" s="971"/>
      <c r="AAG26" s="971"/>
      <c r="AAH26" s="971"/>
      <c r="AAI26" s="971"/>
      <c r="AAJ26" s="971"/>
      <c r="AAK26" s="971"/>
      <c r="AAL26" s="971"/>
      <c r="AAM26" s="971"/>
      <c r="AAN26" s="971"/>
      <c r="AAO26" s="971"/>
      <c r="AAP26" s="971"/>
      <c r="AAQ26" s="971"/>
      <c r="AAR26" s="971"/>
      <c r="AAS26" s="971"/>
      <c r="AAT26" s="971"/>
      <c r="AAU26" s="971"/>
      <c r="AAV26" s="971"/>
      <c r="AAW26" s="971"/>
      <c r="AAX26" s="971"/>
      <c r="AAY26" s="971"/>
      <c r="AAZ26" s="971"/>
      <c r="ABA26" s="971"/>
      <c r="ABB26" s="971"/>
      <c r="ABC26" s="971"/>
      <c r="ABD26" s="971"/>
      <c r="ABE26" s="971"/>
      <c r="ABF26" s="971"/>
      <c r="ABG26" s="971"/>
      <c r="ABH26" s="971"/>
      <c r="ABI26" s="971"/>
      <c r="ABJ26" s="971"/>
      <c r="ABK26" s="971"/>
      <c r="ABL26" s="971"/>
      <c r="ABM26" s="971"/>
      <c r="ABN26" s="971"/>
      <c r="ABO26" s="971"/>
      <c r="ABP26" s="971"/>
      <c r="ABQ26" s="971"/>
      <c r="ABR26" s="971"/>
      <c r="ABS26" s="971"/>
      <c r="ABT26" s="971"/>
      <c r="ABU26" s="971"/>
      <c r="ABV26" s="971"/>
      <c r="ABW26" s="971"/>
      <c r="ABX26" s="971"/>
      <c r="ABY26" s="971"/>
      <c r="ABZ26" s="971"/>
      <c r="ACA26" s="971"/>
      <c r="ACB26" s="971"/>
      <c r="ACC26" s="971"/>
      <c r="ACD26" s="971"/>
      <c r="ACE26" s="971"/>
      <c r="ACF26" s="971"/>
      <c r="ACG26" s="971"/>
      <c r="ACH26" s="971"/>
      <c r="ACI26" s="971"/>
      <c r="ACJ26" s="971"/>
      <c r="ACK26" s="971"/>
      <c r="ACL26" s="971"/>
      <c r="ACM26" s="971"/>
      <c r="ACN26" s="971"/>
      <c r="ACO26" s="971"/>
      <c r="ACP26" s="971"/>
      <c r="ACQ26" s="971"/>
      <c r="ACR26" s="971"/>
      <c r="ACS26" s="971"/>
      <c r="ACT26" s="971"/>
      <c r="ACU26" s="971"/>
      <c r="ACV26" s="971"/>
      <c r="ACW26" s="971"/>
      <c r="ACX26" s="971"/>
      <c r="ACY26" s="971"/>
      <c r="ACZ26" s="971"/>
      <c r="ADA26" s="971"/>
      <c r="ADB26" s="971"/>
      <c r="ADC26" s="971"/>
      <c r="ADD26" s="971"/>
      <c r="ADE26" s="971"/>
      <c r="ADF26" s="971"/>
      <c r="ADG26" s="971"/>
      <c r="ADH26" s="971"/>
      <c r="ADI26" s="971"/>
      <c r="ADJ26" s="971"/>
      <c r="ADK26" s="971"/>
      <c r="ADL26" s="971"/>
      <c r="ADM26" s="971"/>
      <c r="ADN26" s="971"/>
      <c r="ADO26" s="971"/>
      <c r="ADP26" s="971"/>
      <c r="ADQ26" s="971"/>
      <c r="ADR26" s="971"/>
      <c r="ADS26" s="971"/>
      <c r="ADT26" s="971"/>
      <c r="ADU26" s="971"/>
      <c r="ADV26" s="971"/>
      <c r="ADW26" s="971"/>
      <c r="ADX26" s="971"/>
      <c r="ADY26" s="971"/>
      <c r="ADZ26" s="971"/>
      <c r="AEA26" s="971"/>
      <c r="AEB26" s="971"/>
      <c r="AEC26" s="971"/>
      <c r="AED26" s="971"/>
      <c r="AEE26" s="971"/>
      <c r="AEF26" s="971"/>
      <c r="AEG26" s="971"/>
      <c r="AEH26" s="971"/>
      <c r="AEI26" s="971"/>
      <c r="AEJ26" s="971"/>
      <c r="AEK26" s="971"/>
      <c r="AEL26" s="971"/>
      <c r="AEM26" s="971"/>
      <c r="AEN26" s="971"/>
      <c r="AEO26" s="971"/>
      <c r="AEP26" s="971"/>
      <c r="AEQ26" s="971"/>
      <c r="AER26" s="971"/>
      <c r="AES26" s="971"/>
      <c r="AET26" s="971"/>
      <c r="AEU26" s="971"/>
      <c r="AEV26" s="971"/>
      <c r="AEW26" s="971"/>
      <c r="AEX26" s="971"/>
      <c r="AEY26" s="971"/>
      <c r="AEZ26" s="971"/>
      <c r="AFA26" s="971"/>
      <c r="AFB26" s="971"/>
      <c r="AFC26" s="971"/>
      <c r="AFD26" s="971"/>
      <c r="AFE26" s="971"/>
      <c r="AFF26" s="971"/>
      <c r="AFG26" s="971"/>
      <c r="AFH26" s="971"/>
      <c r="AFI26" s="971"/>
      <c r="AFJ26" s="971"/>
      <c r="AFK26" s="971"/>
      <c r="AFL26" s="971"/>
      <c r="AFM26" s="971"/>
      <c r="AFN26" s="971"/>
      <c r="AFO26" s="971"/>
      <c r="AFP26" s="971"/>
      <c r="AFQ26" s="971"/>
      <c r="AFR26" s="971"/>
      <c r="AFS26" s="971"/>
      <c r="AFT26" s="971"/>
      <c r="AFU26" s="971"/>
      <c r="AFV26" s="971"/>
      <c r="AFW26" s="971"/>
      <c r="AFX26" s="971"/>
      <c r="AFY26" s="971"/>
      <c r="AFZ26" s="971"/>
      <c r="AGA26" s="971"/>
      <c r="AGB26" s="971"/>
      <c r="AGC26" s="971"/>
      <c r="AGD26" s="971"/>
      <c r="AGE26" s="971"/>
      <c r="AGF26" s="971"/>
      <c r="AGG26" s="971"/>
      <c r="AGH26" s="971"/>
      <c r="AGI26" s="971"/>
      <c r="AGJ26" s="971"/>
      <c r="AGK26" s="971"/>
      <c r="AGL26" s="971"/>
      <c r="AGM26" s="971"/>
      <c r="AGN26" s="971"/>
      <c r="AGO26" s="971"/>
      <c r="AGP26" s="971"/>
      <c r="AGQ26" s="971"/>
      <c r="AGR26" s="971"/>
      <c r="AGS26" s="971"/>
      <c r="AGT26" s="971"/>
      <c r="AGU26" s="971"/>
      <c r="AGV26" s="971"/>
      <c r="AGW26" s="971"/>
      <c r="AGX26" s="971"/>
      <c r="AGY26" s="971"/>
      <c r="AGZ26" s="971"/>
      <c r="AHA26" s="971"/>
      <c r="AHB26" s="971"/>
      <c r="AHC26" s="971"/>
      <c r="AHD26" s="971"/>
      <c r="AHE26" s="971"/>
      <c r="AHF26" s="971"/>
      <c r="AHG26" s="971"/>
      <c r="AHH26" s="971"/>
      <c r="AHI26" s="971"/>
      <c r="AHJ26" s="971"/>
      <c r="AHK26" s="971"/>
      <c r="AHL26" s="971"/>
      <c r="AHM26" s="971"/>
      <c r="AHN26" s="971"/>
      <c r="AHO26" s="971"/>
      <c r="AHP26" s="971"/>
      <c r="AHQ26" s="971"/>
      <c r="AHR26" s="971"/>
      <c r="AHS26" s="971"/>
      <c r="AHT26" s="971"/>
      <c r="AHU26" s="971"/>
      <c r="AHV26" s="971"/>
      <c r="AHW26" s="971"/>
      <c r="AHX26" s="971"/>
      <c r="AHY26" s="971"/>
      <c r="AHZ26" s="971"/>
      <c r="AIA26" s="971"/>
      <c r="AIB26" s="971"/>
      <c r="AIC26" s="971"/>
      <c r="AID26" s="971"/>
      <c r="AIE26" s="971"/>
      <c r="AIF26" s="971"/>
      <c r="AIG26" s="971"/>
      <c r="AIH26" s="971"/>
      <c r="AII26" s="971"/>
      <c r="AIJ26" s="971"/>
      <c r="AIK26" s="971"/>
      <c r="AIL26" s="971"/>
      <c r="AIM26" s="971"/>
      <c r="AIN26" s="971"/>
      <c r="AIO26" s="971"/>
      <c r="AIP26" s="971"/>
      <c r="AIQ26" s="971"/>
      <c r="AIR26" s="971"/>
      <c r="AIS26" s="971"/>
      <c r="AIT26" s="971"/>
      <c r="AIU26" s="971"/>
      <c r="AIV26" s="971"/>
      <c r="AIW26" s="971"/>
      <c r="AIX26" s="971"/>
      <c r="AIY26" s="971"/>
      <c r="AIZ26" s="971"/>
      <c r="AJA26" s="971"/>
      <c r="AJB26" s="971"/>
      <c r="AJC26" s="971"/>
      <c r="AJD26" s="971"/>
      <c r="AJE26" s="971"/>
      <c r="AJF26" s="971"/>
      <c r="AJG26" s="971"/>
      <c r="AJH26" s="971"/>
      <c r="AJI26" s="971"/>
      <c r="AJJ26" s="971"/>
      <c r="AJK26" s="971"/>
      <c r="AJL26" s="971"/>
      <c r="AJM26" s="971"/>
      <c r="AJN26" s="971"/>
      <c r="AJO26" s="971"/>
      <c r="AJP26" s="971"/>
      <c r="AJQ26" s="971"/>
      <c r="AJR26" s="971"/>
      <c r="AJS26" s="971"/>
      <c r="AJT26" s="971"/>
      <c r="AJU26" s="971"/>
      <c r="AJV26" s="971"/>
      <c r="AJW26" s="971"/>
      <c r="AJX26" s="971"/>
      <c r="AJY26" s="971"/>
      <c r="AJZ26" s="971"/>
      <c r="AKA26" s="971"/>
      <c r="AKB26" s="971"/>
      <c r="AKC26" s="971"/>
      <c r="AKD26" s="971"/>
      <c r="AKE26" s="971"/>
      <c r="AKF26" s="971"/>
      <c r="AKG26" s="971"/>
      <c r="AKH26" s="971"/>
      <c r="AKI26" s="971"/>
      <c r="AKJ26" s="971"/>
      <c r="AKK26" s="971"/>
      <c r="AKL26" s="971"/>
      <c r="AKM26" s="971"/>
      <c r="AKN26" s="971"/>
      <c r="AKO26" s="971"/>
      <c r="AKP26" s="971"/>
      <c r="AKQ26" s="971"/>
      <c r="AKR26" s="971"/>
      <c r="AKS26" s="971"/>
      <c r="AKT26" s="971"/>
      <c r="AKU26" s="971"/>
      <c r="AKV26" s="971"/>
      <c r="AKW26" s="971"/>
      <c r="AKX26" s="971"/>
      <c r="AKY26" s="971"/>
      <c r="AKZ26" s="971"/>
      <c r="ALA26" s="971"/>
      <c r="ALB26" s="971"/>
      <c r="ALC26" s="971"/>
      <c r="ALD26" s="971"/>
      <c r="ALE26" s="971"/>
      <c r="ALF26" s="971"/>
      <c r="ALG26" s="971"/>
      <c r="ALH26" s="971"/>
      <c r="ALI26" s="971"/>
      <c r="ALJ26" s="971"/>
      <c r="ALK26" s="971"/>
      <c r="ALL26" s="971"/>
    </row>
    <row r="27" s="929" customFormat="1" ht="13.5" customHeight="1" hidden="1">
      <c r="A27" s="971"/>
      <c r="B27" s="971"/>
      <c r="C27" s="971"/>
      <c r="D27" s="971"/>
      <c r="E27" s="971"/>
      <c r="F27" s="971"/>
      <c r="G27" s="971"/>
      <c r="H27" s="971"/>
      <c r="I27" s="971"/>
      <c r="J27" s="971"/>
      <c r="K27" s="971"/>
      <c r="L27" s="971"/>
      <c r="M27" s="971"/>
      <c r="N27" s="971"/>
      <c r="O27" s="971"/>
      <c r="P27" s="971"/>
      <c r="Q27" s="971"/>
      <c r="R27" s="971"/>
      <c r="S27" s="971"/>
      <c r="T27" s="971"/>
      <c r="U27" s="971"/>
      <c r="V27" s="971"/>
      <c r="W27" s="971"/>
      <c r="X27" s="971"/>
      <c r="Y27" s="971"/>
      <c r="Z27" s="971"/>
      <c r="AA27" s="971"/>
      <c r="AB27" s="971"/>
      <c r="AC27" s="971"/>
      <c r="AD27" s="971"/>
      <c r="AE27" s="971"/>
      <c r="AF27" s="971"/>
      <c r="AG27" s="971"/>
      <c r="AH27" s="971"/>
      <c r="AI27" s="971"/>
      <c r="AJ27" s="971"/>
      <c r="AK27" s="971"/>
      <c r="AL27" s="971"/>
      <c r="AM27" s="971"/>
      <c r="AN27" s="971"/>
      <c r="AO27" s="971"/>
      <c r="AP27" s="971"/>
      <c r="AQ27" s="971"/>
      <c r="AR27" s="971"/>
      <c r="AS27" s="971"/>
      <c r="AT27" s="971"/>
      <c r="AU27" s="971"/>
      <c r="AV27" s="971"/>
      <c r="AW27" s="971"/>
      <c r="AX27" s="971"/>
      <c r="AY27" s="971"/>
      <c r="AZ27" s="971"/>
      <c r="BA27" s="971"/>
      <c r="BB27" s="971"/>
      <c r="BC27" s="971"/>
      <c r="BD27" s="971"/>
      <c r="BE27" s="971"/>
      <c r="BF27" s="971"/>
      <c r="BG27" s="971"/>
      <c r="BH27" s="971"/>
      <c r="BI27" s="971"/>
      <c r="BJ27" s="971"/>
      <c r="BK27" s="971"/>
      <c r="BL27" s="971"/>
      <c r="BM27" s="971"/>
      <c r="BN27" s="971"/>
      <c r="BO27" s="971"/>
      <c r="BP27" s="971"/>
      <c r="BQ27" s="971"/>
      <c r="BR27" s="971"/>
      <c r="BS27" s="971"/>
      <c r="BT27" s="971"/>
      <c r="BU27" s="971"/>
      <c r="BV27" s="971"/>
      <c r="BW27" s="971"/>
      <c r="BX27" s="971"/>
      <c r="BY27" s="971"/>
      <c r="BZ27" s="971"/>
      <c r="CA27" s="971"/>
      <c r="CB27" s="971"/>
      <c r="CC27" s="971"/>
      <c r="CD27" s="971"/>
      <c r="CE27" s="971"/>
      <c r="CF27" s="971"/>
      <c r="CG27" s="971"/>
      <c r="CH27" s="971"/>
      <c r="CI27" s="971"/>
      <c r="CJ27" s="971"/>
      <c r="CK27" s="971"/>
      <c r="CL27" s="971"/>
      <c r="CM27" s="971"/>
      <c r="CN27" s="971"/>
      <c r="CO27" s="971"/>
      <c r="CP27" s="971"/>
      <c r="CQ27" s="971"/>
      <c r="CR27" s="971"/>
      <c r="CS27" s="971"/>
      <c r="CT27" s="971"/>
      <c r="CU27" s="971"/>
      <c r="CV27" s="971"/>
      <c r="CW27" s="971"/>
      <c r="CX27" s="971"/>
      <c r="CY27" s="971"/>
      <c r="CZ27" s="971"/>
      <c r="DA27" s="971"/>
      <c r="DB27" s="971"/>
      <c r="DC27" s="971"/>
      <c r="DD27" s="971"/>
      <c r="DE27" s="971"/>
      <c r="DF27" s="971"/>
      <c r="DG27" s="971"/>
      <c r="DH27" s="971"/>
      <c r="DI27" s="971"/>
      <c r="DJ27" s="971"/>
      <c r="DK27" s="971"/>
      <c r="DL27" s="971"/>
      <c r="DM27" s="971"/>
      <c r="DN27" s="971"/>
      <c r="DO27" s="971"/>
      <c r="DP27" s="971"/>
      <c r="DQ27" s="971"/>
      <c r="DR27" s="971"/>
      <c r="DS27" s="971"/>
      <c r="DT27" s="971"/>
      <c r="DU27" s="971"/>
      <c r="DV27" s="971"/>
      <c r="DW27" s="971"/>
      <c r="DX27" s="971"/>
      <c r="DY27" s="971"/>
      <c r="DZ27" s="971"/>
      <c r="EA27" s="971"/>
      <c r="EB27" s="971"/>
      <c r="EC27" s="971"/>
      <c r="ED27" s="971"/>
      <c r="EE27" s="971"/>
      <c r="EF27" s="971"/>
      <c r="EG27" s="971"/>
      <c r="EH27" s="971"/>
      <c r="EI27" s="971"/>
      <c r="EJ27" s="971"/>
      <c r="EK27" s="971"/>
      <c r="EL27" s="971"/>
      <c r="EM27" s="971"/>
      <c r="EN27" s="971"/>
      <c r="EO27" s="971"/>
      <c r="EP27" s="971"/>
      <c r="EQ27" s="971"/>
      <c r="ER27" s="971"/>
      <c r="ES27" s="971"/>
      <c r="ET27" s="971"/>
      <c r="EU27" s="971"/>
      <c r="EV27" s="971"/>
      <c r="EW27" s="971"/>
      <c r="EX27" s="971"/>
      <c r="EY27" s="971"/>
      <c r="EZ27" s="971"/>
      <c r="FA27" s="971"/>
      <c r="FB27" s="971"/>
      <c r="FC27" s="971"/>
      <c r="FD27" s="971"/>
      <c r="FE27" s="971"/>
      <c r="FF27" s="971"/>
      <c r="FG27" s="971"/>
      <c r="FH27" s="971"/>
      <c r="FI27" s="971"/>
      <c r="FJ27" s="971"/>
      <c r="FK27" s="971"/>
      <c r="FL27" s="971"/>
      <c r="FM27" s="971"/>
      <c r="FN27" s="971"/>
      <c r="FO27" s="971"/>
      <c r="FP27" s="971"/>
      <c r="FQ27" s="971"/>
      <c r="FR27" s="971"/>
      <c r="FS27" s="971"/>
      <c r="FT27" s="971"/>
      <c r="FU27" s="971"/>
      <c r="FV27" s="971"/>
      <c r="FW27" s="971"/>
      <c r="FX27" s="971"/>
      <c r="FY27" s="971"/>
      <c r="FZ27" s="971"/>
      <c r="GA27" s="971"/>
      <c r="GB27" s="971"/>
      <c r="GC27" s="971"/>
      <c r="GD27" s="971"/>
      <c r="GE27" s="971"/>
      <c r="GF27" s="971"/>
      <c r="GG27" s="971"/>
      <c r="GH27" s="971"/>
      <c r="GI27" s="971"/>
      <c r="GJ27" s="971"/>
      <c r="GK27" s="971"/>
      <c r="GL27" s="971"/>
      <c r="GM27" s="971"/>
      <c r="GN27" s="971"/>
      <c r="GO27" s="971"/>
      <c r="GP27" s="971"/>
      <c r="GQ27" s="971"/>
      <c r="GR27" s="971"/>
      <c r="GS27" s="971"/>
      <c r="GT27" s="971"/>
      <c r="GU27" s="971"/>
      <c r="GV27" s="971"/>
      <c r="GW27" s="971"/>
      <c r="GX27" s="971"/>
      <c r="GY27" s="971"/>
      <c r="GZ27" s="971"/>
      <c r="HA27" s="971"/>
      <c r="HB27" s="971"/>
      <c r="HC27" s="971"/>
      <c r="HD27" s="971"/>
      <c r="HE27" s="971"/>
      <c r="HF27" s="971"/>
      <c r="HG27" s="971"/>
      <c r="HH27" s="971"/>
      <c r="HI27" s="971"/>
      <c r="HJ27" s="971"/>
      <c r="HK27" s="971"/>
      <c r="HL27" s="971"/>
      <c r="HM27" s="971"/>
      <c r="HN27" s="971"/>
      <c r="HO27" s="971"/>
      <c r="HP27" s="971"/>
      <c r="HQ27" s="971"/>
      <c r="HR27" s="971"/>
      <c r="HS27" s="971"/>
      <c r="HT27" s="971"/>
      <c r="HU27" s="971"/>
      <c r="HV27" s="971"/>
      <c r="HW27" s="971"/>
      <c r="HX27" s="971"/>
      <c r="HY27" s="971"/>
      <c r="HZ27" s="971"/>
      <c r="IA27" s="971"/>
      <c r="IB27" s="971"/>
      <c r="IC27" s="971"/>
      <c r="ID27" s="971"/>
      <c r="IE27" s="971"/>
      <c r="IF27" s="971"/>
      <c r="IG27" s="971"/>
      <c r="IH27" s="971"/>
      <c r="II27" s="971"/>
      <c r="IJ27" s="971"/>
      <c r="IK27" s="971"/>
      <c r="IL27" s="971"/>
      <c r="IM27" s="971"/>
      <c r="IN27" s="971"/>
      <c r="IO27" s="971"/>
      <c r="IP27" s="971"/>
      <c r="IQ27" s="971"/>
      <c r="IR27" s="971"/>
      <c r="IS27" s="971"/>
      <c r="IT27" s="971"/>
      <c r="IU27" s="971"/>
      <c r="IV27" s="971"/>
      <c r="IW27" s="971"/>
      <c r="IX27" s="971"/>
      <c r="IY27" s="971"/>
      <c r="IZ27" s="971"/>
      <c r="JA27" s="971"/>
      <c r="JB27" s="971"/>
      <c r="JC27" s="971"/>
      <c r="JD27" s="971"/>
      <c r="JE27" s="971"/>
      <c r="JF27" s="971"/>
      <c r="JG27" s="971"/>
      <c r="JH27" s="971"/>
      <c r="JI27" s="971"/>
      <c r="JJ27" s="971"/>
      <c r="JK27" s="971"/>
      <c r="JL27" s="971"/>
      <c r="JM27" s="971"/>
      <c r="JN27" s="971"/>
      <c r="JO27" s="971"/>
      <c r="JP27" s="971"/>
      <c r="JQ27" s="971"/>
      <c r="JR27" s="971"/>
      <c r="JS27" s="971"/>
      <c r="JT27" s="971"/>
      <c r="JU27" s="971"/>
      <c r="JV27" s="971"/>
      <c r="JW27" s="971"/>
      <c r="JX27" s="971"/>
      <c r="JY27" s="971"/>
      <c r="JZ27" s="971"/>
      <c r="KA27" s="971"/>
      <c r="KB27" s="971"/>
      <c r="KC27" s="971"/>
      <c r="KD27" s="971"/>
      <c r="KE27" s="971"/>
      <c r="KF27" s="971"/>
      <c r="KG27" s="971"/>
      <c r="KH27" s="971"/>
      <c r="KI27" s="971"/>
      <c r="KJ27" s="971"/>
      <c r="KK27" s="971"/>
      <c r="KL27" s="971"/>
      <c r="KM27" s="971"/>
      <c r="KN27" s="971"/>
      <c r="KO27" s="971"/>
      <c r="KP27" s="971"/>
      <c r="KQ27" s="971"/>
      <c r="KR27" s="971"/>
      <c r="KS27" s="971"/>
      <c r="KT27" s="971"/>
      <c r="KU27" s="971"/>
      <c r="KV27" s="971"/>
      <c r="KW27" s="971"/>
      <c r="KX27" s="971"/>
      <c r="KY27" s="971"/>
      <c r="KZ27" s="971"/>
      <c r="LA27" s="971"/>
      <c r="LB27" s="971"/>
      <c r="LC27" s="971"/>
      <c r="LD27" s="971"/>
      <c r="LE27" s="971"/>
      <c r="LF27" s="971"/>
      <c r="LG27" s="971"/>
      <c r="LH27" s="971"/>
      <c r="LI27" s="971"/>
      <c r="LJ27" s="971"/>
      <c r="LK27" s="971"/>
      <c r="LL27" s="971"/>
      <c r="LM27" s="971"/>
      <c r="LN27" s="971"/>
      <c r="LO27" s="971"/>
      <c r="LP27" s="971"/>
      <c r="LQ27" s="971"/>
      <c r="LR27" s="971"/>
      <c r="LS27" s="971"/>
      <c r="LT27" s="971"/>
      <c r="LU27" s="971"/>
      <c r="LV27" s="971"/>
      <c r="LW27" s="971"/>
      <c r="LX27" s="971"/>
      <c r="LY27" s="971"/>
      <c r="LZ27" s="971"/>
      <c r="MA27" s="971"/>
      <c r="MB27" s="971"/>
      <c r="MC27" s="971"/>
      <c r="MD27" s="971"/>
      <c r="ME27" s="971"/>
      <c r="MF27" s="971"/>
      <c r="MG27" s="971"/>
      <c r="MH27" s="971"/>
      <c r="MI27" s="971"/>
      <c r="MJ27" s="971"/>
      <c r="MK27" s="971"/>
      <c r="ML27" s="971"/>
      <c r="MM27" s="971"/>
      <c r="MN27" s="971"/>
      <c r="MO27" s="971"/>
      <c r="MP27" s="971"/>
      <c r="MQ27" s="971"/>
      <c r="MR27" s="971"/>
      <c r="MS27" s="971"/>
      <c r="MT27" s="971"/>
      <c r="MU27" s="971"/>
      <c r="MV27" s="971"/>
      <c r="MW27" s="971"/>
      <c r="MX27" s="971"/>
      <c r="MY27" s="971"/>
      <c r="MZ27" s="971"/>
      <c r="NA27" s="971"/>
      <c r="NB27" s="971"/>
      <c r="NC27" s="971"/>
      <c r="ND27" s="971"/>
      <c r="NE27" s="971"/>
      <c r="NF27" s="971"/>
      <c r="NG27" s="971"/>
      <c r="NH27" s="971"/>
      <c r="NI27" s="971"/>
      <c r="NJ27" s="971"/>
      <c r="NK27" s="971"/>
      <c r="NL27" s="971"/>
      <c r="NM27" s="971"/>
      <c r="NN27" s="971"/>
      <c r="NO27" s="971"/>
      <c r="NP27" s="971"/>
      <c r="NQ27" s="971"/>
      <c r="NR27" s="971"/>
      <c r="NS27" s="971"/>
      <c r="NT27" s="971"/>
      <c r="NU27" s="971"/>
      <c r="NV27" s="971"/>
      <c r="NW27" s="971"/>
      <c r="NX27" s="971"/>
      <c r="NY27" s="971"/>
      <c r="NZ27" s="971"/>
      <c r="OA27" s="971"/>
      <c r="OB27" s="971"/>
      <c r="OC27" s="971"/>
      <c r="OD27" s="971"/>
      <c r="OE27" s="971"/>
      <c r="OF27" s="971"/>
      <c r="OG27" s="971"/>
      <c r="OH27" s="971"/>
      <c r="OI27" s="971"/>
      <c r="OJ27" s="971"/>
      <c r="OK27" s="971"/>
      <c r="OL27" s="971"/>
      <c r="OM27" s="971"/>
      <c r="ON27" s="971"/>
      <c r="OO27" s="971"/>
      <c r="OP27" s="971"/>
      <c r="OQ27" s="971"/>
      <c r="OR27" s="971"/>
      <c r="OS27" s="971"/>
      <c r="OT27" s="971"/>
      <c r="OU27" s="971"/>
      <c r="OV27" s="971"/>
      <c r="OW27" s="971"/>
      <c r="OX27" s="971"/>
      <c r="OY27" s="971"/>
      <c r="OZ27" s="971"/>
      <c r="PA27" s="971"/>
      <c r="PB27" s="971"/>
      <c r="PC27" s="971"/>
      <c r="PD27" s="971"/>
      <c r="PE27" s="971"/>
      <c r="PF27" s="971"/>
      <c r="PG27" s="971"/>
      <c r="PH27" s="971"/>
      <c r="PI27" s="971"/>
      <c r="PJ27" s="971"/>
      <c r="PK27" s="971"/>
      <c r="PL27" s="971"/>
      <c r="PM27" s="971"/>
      <c r="PN27" s="971"/>
      <c r="PO27" s="971"/>
      <c r="PP27" s="971"/>
      <c r="PQ27" s="971"/>
      <c r="PR27" s="971"/>
      <c r="PS27" s="971"/>
      <c r="PT27" s="971"/>
      <c r="PU27" s="971"/>
      <c r="PV27" s="971"/>
      <c r="PW27" s="971"/>
      <c r="PX27" s="971"/>
      <c r="PY27" s="971"/>
      <c r="PZ27" s="971"/>
      <c r="QA27" s="971"/>
      <c r="QB27" s="971"/>
      <c r="QC27" s="971"/>
      <c r="QD27" s="971"/>
      <c r="QE27" s="971"/>
      <c r="QF27" s="971"/>
      <c r="QG27" s="971"/>
      <c r="QH27" s="971"/>
      <c r="QI27" s="971"/>
      <c r="QJ27" s="971"/>
      <c r="QK27" s="971"/>
      <c r="QL27" s="971"/>
      <c r="QM27" s="971"/>
      <c r="QN27" s="971"/>
      <c r="QO27" s="971"/>
      <c r="QP27" s="971"/>
      <c r="QQ27" s="971"/>
      <c r="QR27" s="971"/>
      <c r="QS27" s="971"/>
      <c r="QT27" s="971"/>
      <c r="QU27" s="971"/>
      <c r="QV27" s="971"/>
      <c r="QW27" s="971"/>
      <c r="QX27" s="971"/>
      <c r="QY27" s="971"/>
      <c r="QZ27" s="971"/>
      <c r="RA27" s="971"/>
      <c r="RB27" s="971"/>
      <c r="RC27" s="971"/>
      <c r="RD27" s="971"/>
      <c r="RE27" s="971"/>
      <c r="RF27" s="971"/>
      <c r="RG27" s="971"/>
      <c r="RH27" s="971"/>
      <c r="RI27" s="971"/>
      <c r="RJ27" s="971"/>
      <c r="RK27" s="971"/>
      <c r="RL27" s="971"/>
      <c r="RM27" s="971"/>
      <c r="RN27" s="971"/>
      <c r="RO27" s="971"/>
      <c r="RP27" s="971"/>
      <c r="RQ27" s="971"/>
      <c r="RR27" s="971"/>
      <c r="RS27" s="971"/>
      <c r="RT27" s="971"/>
      <c r="RU27" s="971"/>
      <c r="RV27" s="971"/>
      <c r="RW27" s="971"/>
      <c r="RX27" s="971"/>
      <c r="RY27" s="971"/>
      <c r="RZ27" s="971"/>
      <c r="SA27" s="971"/>
      <c r="SB27" s="971"/>
      <c r="SC27" s="971"/>
      <c r="SD27" s="971"/>
      <c r="SE27" s="971"/>
      <c r="SF27" s="971"/>
      <c r="SG27" s="971"/>
      <c r="SH27" s="971"/>
      <c r="SI27" s="971"/>
      <c r="SJ27" s="971"/>
      <c r="SK27" s="971"/>
      <c r="SL27" s="971"/>
      <c r="SM27" s="971"/>
      <c r="SN27" s="971"/>
      <c r="SO27" s="971"/>
      <c r="SP27" s="971"/>
      <c r="SQ27" s="971"/>
      <c r="SR27" s="971"/>
      <c r="SS27" s="971"/>
      <c r="ST27" s="971"/>
      <c r="SU27" s="971"/>
      <c r="SV27" s="971"/>
      <c r="SW27" s="971"/>
      <c r="SX27" s="971"/>
      <c r="SY27" s="971"/>
      <c r="SZ27" s="971"/>
      <c r="TA27" s="971"/>
      <c r="TB27" s="971"/>
      <c r="TC27" s="971"/>
      <c r="TD27" s="971"/>
      <c r="TE27" s="971"/>
      <c r="TF27" s="971"/>
      <c r="TG27" s="971"/>
      <c r="TH27" s="971"/>
      <c r="TI27" s="971"/>
      <c r="TJ27" s="971"/>
      <c r="TK27" s="971"/>
      <c r="TL27" s="971"/>
      <c r="TM27" s="971"/>
      <c r="TN27" s="971"/>
      <c r="TO27" s="971"/>
      <c r="TP27" s="971"/>
      <c r="TQ27" s="971"/>
      <c r="TR27" s="971"/>
      <c r="TS27" s="971"/>
      <c r="TT27" s="971"/>
      <c r="TU27" s="971"/>
      <c r="TV27" s="971"/>
      <c r="TW27" s="971"/>
      <c r="TX27" s="971"/>
      <c r="TY27" s="971"/>
      <c r="TZ27" s="971"/>
      <c r="UA27" s="971"/>
      <c r="UB27" s="971"/>
      <c r="UC27" s="971"/>
      <c r="UD27" s="971"/>
      <c r="UE27" s="971"/>
      <c r="UF27" s="971"/>
      <c r="UG27" s="971"/>
      <c r="UH27" s="971"/>
      <c r="UI27" s="971"/>
      <c r="UJ27" s="971"/>
      <c r="UK27" s="971"/>
      <c r="UL27" s="971"/>
      <c r="UM27" s="971"/>
      <c r="UN27" s="971"/>
      <c r="UO27" s="971"/>
      <c r="UP27" s="971"/>
      <c r="UQ27" s="971"/>
      <c r="UR27" s="971"/>
      <c r="US27" s="971"/>
      <c r="UT27" s="971"/>
      <c r="UU27" s="971"/>
      <c r="UV27" s="971"/>
      <c r="UW27" s="971"/>
      <c r="UX27" s="971"/>
      <c r="UY27" s="971"/>
      <c r="UZ27" s="971"/>
      <c r="VA27" s="971"/>
      <c r="VB27" s="971"/>
      <c r="VC27" s="971"/>
      <c r="VD27" s="971"/>
      <c r="VE27" s="971"/>
      <c r="VF27" s="971"/>
      <c r="VG27" s="971"/>
      <c r="VH27" s="971"/>
      <c r="VI27" s="971"/>
      <c r="VJ27" s="971"/>
      <c r="VK27" s="971"/>
      <c r="VL27" s="971"/>
      <c r="VM27" s="971"/>
      <c r="VN27" s="971"/>
      <c r="VO27" s="971"/>
      <c r="VP27" s="971"/>
      <c r="VQ27" s="971"/>
      <c r="VR27" s="971"/>
      <c r="VS27" s="971"/>
      <c r="VT27" s="971"/>
      <c r="VU27" s="971"/>
      <c r="VV27" s="971"/>
      <c r="VW27" s="971"/>
      <c r="VX27" s="971"/>
      <c r="VY27" s="971"/>
      <c r="VZ27" s="971"/>
      <c r="WA27" s="971"/>
      <c r="WB27" s="971"/>
      <c r="WC27" s="971"/>
      <c r="WD27" s="971"/>
      <c r="WE27" s="971"/>
      <c r="WF27" s="971"/>
      <c r="WG27" s="971"/>
      <c r="WH27" s="971"/>
      <c r="WI27" s="971"/>
      <c r="WJ27" s="971"/>
      <c r="WK27" s="971"/>
      <c r="WL27" s="971"/>
      <c r="WM27" s="971"/>
      <c r="WN27" s="971"/>
      <c r="WO27" s="971"/>
      <c r="WP27" s="971"/>
      <c r="WQ27" s="971"/>
      <c r="WR27" s="971"/>
      <c r="WS27" s="971"/>
      <c r="WT27" s="971"/>
      <c r="WU27" s="971"/>
      <c r="WV27" s="971"/>
      <c r="WW27" s="971"/>
      <c r="WX27" s="971"/>
      <c r="WY27" s="971"/>
      <c r="WZ27" s="971"/>
      <c r="XA27" s="971"/>
      <c r="XB27" s="971"/>
      <c r="XC27" s="971"/>
      <c r="XD27" s="971"/>
      <c r="XE27" s="971"/>
      <c r="XF27" s="971"/>
      <c r="XG27" s="971"/>
      <c r="XH27" s="971"/>
      <c r="XI27" s="971"/>
      <c r="XJ27" s="971"/>
      <c r="XK27" s="971"/>
      <c r="XL27" s="971"/>
      <c r="XM27" s="971"/>
      <c r="XN27" s="971"/>
      <c r="XO27" s="971"/>
      <c r="XP27" s="971"/>
      <c r="XQ27" s="971"/>
      <c r="XR27" s="971"/>
      <c r="XS27" s="971"/>
      <c r="XT27" s="971"/>
      <c r="XU27" s="971"/>
      <c r="XV27" s="971"/>
      <c r="XW27" s="971"/>
      <c r="XX27" s="971"/>
      <c r="XY27" s="971"/>
      <c r="XZ27" s="971"/>
      <c r="YA27" s="971"/>
      <c r="YB27" s="971"/>
      <c r="YC27" s="971"/>
      <c r="YD27" s="971"/>
      <c r="YE27" s="971"/>
      <c r="YF27" s="971"/>
      <c r="YG27" s="971"/>
      <c r="YH27" s="971"/>
      <c r="YI27" s="971"/>
      <c r="YJ27" s="971"/>
      <c r="YK27" s="971"/>
      <c r="YL27" s="971"/>
      <c r="YM27" s="971"/>
      <c r="YN27" s="971"/>
      <c r="YO27" s="971"/>
      <c r="YP27" s="971"/>
      <c r="YQ27" s="971"/>
      <c r="YR27" s="971"/>
      <c r="YS27" s="971"/>
      <c r="YT27" s="971"/>
      <c r="YU27" s="971"/>
      <c r="YV27" s="971"/>
      <c r="YW27" s="971"/>
      <c r="YX27" s="971"/>
      <c r="YY27" s="971"/>
      <c r="YZ27" s="971"/>
      <c r="ZA27" s="971"/>
      <c r="ZB27" s="971"/>
      <c r="ZC27" s="971"/>
      <c r="ZD27" s="971"/>
      <c r="ZE27" s="971"/>
      <c r="ZF27" s="971"/>
      <c r="ZG27" s="971"/>
      <c r="ZH27" s="971"/>
      <c r="ZI27" s="971"/>
      <c r="ZJ27" s="971"/>
      <c r="ZK27" s="971"/>
      <c r="ZL27" s="971"/>
      <c r="ZM27" s="971"/>
      <c r="ZN27" s="971"/>
      <c r="ZO27" s="971"/>
      <c r="ZP27" s="971"/>
      <c r="ZQ27" s="971"/>
      <c r="ZR27" s="971"/>
      <c r="ZS27" s="971"/>
      <c r="ZT27" s="971"/>
      <c r="ZU27" s="971"/>
      <c r="ZV27" s="971"/>
      <c r="ZW27" s="971"/>
      <c r="ZX27" s="971"/>
      <c r="ZY27" s="971"/>
      <c r="ZZ27" s="971"/>
      <c r="AAA27" s="971"/>
      <c r="AAB27" s="971"/>
      <c r="AAC27" s="971"/>
      <c r="AAD27" s="971"/>
      <c r="AAE27" s="971"/>
      <c r="AAF27" s="971"/>
      <c r="AAG27" s="971"/>
      <c r="AAH27" s="971"/>
      <c r="AAI27" s="971"/>
      <c r="AAJ27" s="971"/>
      <c r="AAK27" s="971"/>
      <c r="AAL27" s="971"/>
      <c r="AAM27" s="971"/>
      <c r="AAN27" s="971"/>
      <c r="AAO27" s="971"/>
      <c r="AAP27" s="971"/>
      <c r="AAQ27" s="971"/>
      <c r="AAR27" s="971"/>
      <c r="AAS27" s="971"/>
      <c r="AAT27" s="971"/>
      <c r="AAU27" s="971"/>
      <c r="AAV27" s="971"/>
      <c r="AAW27" s="971"/>
      <c r="AAX27" s="971"/>
      <c r="AAY27" s="971"/>
      <c r="AAZ27" s="971"/>
      <c r="ABA27" s="971"/>
      <c r="ABB27" s="971"/>
      <c r="ABC27" s="971"/>
      <c r="ABD27" s="971"/>
      <c r="ABE27" s="971"/>
      <c r="ABF27" s="971"/>
      <c r="ABG27" s="971"/>
      <c r="ABH27" s="971"/>
      <c r="ABI27" s="971"/>
      <c r="ABJ27" s="971"/>
      <c r="ABK27" s="971"/>
      <c r="ABL27" s="971"/>
      <c r="ABM27" s="971"/>
      <c r="ABN27" s="971"/>
      <c r="ABO27" s="971"/>
      <c r="ABP27" s="971"/>
      <c r="ABQ27" s="971"/>
      <c r="ABR27" s="971"/>
      <c r="ABS27" s="971"/>
      <c r="ABT27" s="971"/>
      <c r="ABU27" s="971"/>
      <c r="ABV27" s="971"/>
      <c r="ABW27" s="971"/>
      <c r="ABX27" s="971"/>
      <c r="ABY27" s="971"/>
      <c r="ABZ27" s="971"/>
      <c r="ACA27" s="971"/>
      <c r="ACB27" s="971"/>
      <c r="ACC27" s="971"/>
      <c r="ACD27" s="971"/>
      <c r="ACE27" s="971"/>
      <c r="ACF27" s="971"/>
      <c r="ACG27" s="971"/>
      <c r="ACH27" s="971"/>
      <c r="ACI27" s="971"/>
      <c r="ACJ27" s="971"/>
      <c r="ACK27" s="971"/>
      <c r="ACL27" s="971"/>
      <c r="ACM27" s="971"/>
      <c r="ACN27" s="971"/>
      <c r="ACO27" s="971"/>
      <c r="ACP27" s="971"/>
      <c r="ACQ27" s="971"/>
      <c r="ACR27" s="971"/>
      <c r="ACS27" s="971"/>
      <c r="ACT27" s="971"/>
      <c r="ACU27" s="971"/>
      <c r="ACV27" s="971"/>
      <c r="ACW27" s="971"/>
      <c r="ACX27" s="971"/>
      <c r="ACY27" s="971"/>
      <c r="ACZ27" s="971"/>
      <c r="ADA27" s="971"/>
      <c r="ADB27" s="971"/>
      <c r="ADC27" s="971"/>
      <c r="ADD27" s="971"/>
      <c r="ADE27" s="971"/>
      <c r="ADF27" s="971"/>
      <c r="ADG27" s="971"/>
      <c r="ADH27" s="971"/>
      <c r="ADI27" s="971"/>
      <c r="ADJ27" s="971"/>
      <c r="ADK27" s="971"/>
      <c r="ADL27" s="971"/>
      <c r="ADM27" s="971"/>
      <c r="ADN27" s="971"/>
      <c r="ADO27" s="971"/>
      <c r="ADP27" s="971"/>
      <c r="ADQ27" s="971"/>
      <c r="ADR27" s="971"/>
      <c r="ADS27" s="971"/>
      <c r="ADT27" s="971"/>
      <c r="ADU27" s="971"/>
      <c r="ADV27" s="971"/>
      <c r="ADW27" s="971"/>
      <c r="ADX27" s="971"/>
      <c r="ADY27" s="971"/>
      <c r="ADZ27" s="971"/>
      <c r="AEA27" s="971"/>
      <c r="AEB27" s="971"/>
      <c r="AEC27" s="971"/>
      <c r="AED27" s="971"/>
      <c r="AEE27" s="971"/>
      <c r="AEF27" s="971"/>
      <c r="AEG27" s="971"/>
      <c r="AEH27" s="971"/>
      <c r="AEI27" s="971"/>
      <c r="AEJ27" s="971"/>
      <c r="AEK27" s="971"/>
      <c r="AEL27" s="971"/>
      <c r="AEM27" s="971"/>
      <c r="AEN27" s="971"/>
      <c r="AEO27" s="971"/>
      <c r="AEP27" s="971"/>
      <c r="AEQ27" s="971"/>
      <c r="AER27" s="971"/>
      <c r="AES27" s="971"/>
      <c r="AET27" s="971"/>
      <c r="AEU27" s="971"/>
      <c r="AEV27" s="971"/>
      <c r="AEW27" s="971"/>
      <c r="AEX27" s="971"/>
      <c r="AEY27" s="971"/>
      <c r="AEZ27" s="971"/>
      <c r="AFA27" s="971"/>
      <c r="AFB27" s="971"/>
      <c r="AFC27" s="971"/>
      <c r="AFD27" s="971"/>
      <c r="AFE27" s="971"/>
      <c r="AFF27" s="971"/>
      <c r="AFG27" s="971"/>
      <c r="AFH27" s="971"/>
      <c r="AFI27" s="971"/>
      <c r="AFJ27" s="971"/>
      <c r="AFK27" s="971"/>
      <c r="AFL27" s="971"/>
      <c r="AFM27" s="971"/>
      <c r="AFN27" s="971"/>
      <c r="AFO27" s="971"/>
      <c r="AFP27" s="971"/>
      <c r="AFQ27" s="971"/>
      <c r="AFR27" s="971"/>
      <c r="AFS27" s="971"/>
      <c r="AFT27" s="971"/>
      <c r="AFU27" s="971"/>
      <c r="AFV27" s="971"/>
      <c r="AFW27" s="971"/>
      <c r="AFX27" s="971"/>
      <c r="AFY27" s="971"/>
      <c r="AFZ27" s="971"/>
      <c r="AGA27" s="971"/>
      <c r="AGB27" s="971"/>
      <c r="AGC27" s="971"/>
      <c r="AGD27" s="971"/>
      <c r="AGE27" s="971"/>
      <c r="AGF27" s="971"/>
      <c r="AGG27" s="971"/>
      <c r="AGH27" s="971"/>
      <c r="AGI27" s="971"/>
      <c r="AGJ27" s="971"/>
      <c r="AGK27" s="971"/>
      <c r="AGL27" s="971"/>
      <c r="AGM27" s="971"/>
      <c r="AGN27" s="971"/>
      <c r="AGO27" s="971"/>
      <c r="AGP27" s="971"/>
      <c r="AGQ27" s="971"/>
      <c r="AGR27" s="971"/>
      <c r="AGS27" s="971"/>
      <c r="AGT27" s="971"/>
      <c r="AGU27" s="971"/>
      <c r="AGV27" s="971"/>
      <c r="AGW27" s="971"/>
      <c r="AGX27" s="971"/>
      <c r="AGY27" s="971"/>
      <c r="AGZ27" s="971"/>
      <c r="AHA27" s="971"/>
      <c r="AHB27" s="971"/>
      <c r="AHC27" s="971"/>
      <c r="AHD27" s="971"/>
      <c r="AHE27" s="971"/>
      <c r="AHF27" s="971"/>
      <c r="AHG27" s="971"/>
      <c r="AHH27" s="971"/>
      <c r="AHI27" s="971"/>
      <c r="AHJ27" s="971"/>
      <c r="AHK27" s="971"/>
      <c r="AHL27" s="971"/>
      <c r="AHM27" s="971"/>
      <c r="AHN27" s="971"/>
      <c r="AHO27" s="971"/>
      <c r="AHP27" s="971"/>
      <c r="AHQ27" s="971"/>
      <c r="AHR27" s="971"/>
      <c r="AHS27" s="971"/>
      <c r="AHT27" s="971"/>
      <c r="AHU27" s="971"/>
      <c r="AHV27" s="971"/>
      <c r="AHW27" s="971"/>
      <c r="AHX27" s="971"/>
      <c r="AHY27" s="971"/>
      <c r="AHZ27" s="971"/>
      <c r="AIA27" s="971"/>
      <c r="AIB27" s="971"/>
      <c r="AIC27" s="971"/>
      <c r="AID27" s="971"/>
      <c r="AIE27" s="971"/>
      <c r="AIF27" s="971"/>
      <c r="AIG27" s="971"/>
      <c r="AIH27" s="971"/>
      <c r="AII27" s="971"/>
      <c r="AIJ27" s="971"/>
      <c r="AIK27" s="971"/>
      <c r="AIL27" s="971"/>
      <c r="AIM27" s="971"/>
      <c r="AIN27" s="971"/>
      <c r="AIO27" s="971"/>
      <c r="AIP27" s="971"/>
      <c r="AIQ27" s="971"/>
      <c r="AIR27" s="971"/>
      <c r="AIS27" s="971"/>
      <c r="AIT27" s="971"/>
      <c r="AIU27" s="971"/>
      <c r="AIV27" s="971"/>
      <c r="AIW27" s="971"/>
      <c r="AIX27" s="971"/>
      <c r="AIY27" s="971"/>
      <c r="AIZ27" s="971"/>
      <c r="AJA27" s="971"/>
      <c r="AJB27" s="971"/>
      <c r="AJC27" s="971"/>
      <c r="AJD27" s="971"/>
      <c r="AJE27" s="971"/>
      <c r="AJF27" s="971"/>
      <c r="AJG27" s="971"/>
      <c r="AJH27" s="971"/>
      <c r="AJI27" s="971"/>
      <c r="AJJ27" s="971"/>
      <c r="AJK27" s="971"/>
      <c r="AJL27" s="971"/>
      <c r="AJM27" s="971"/>
      <c r="AJN27" s="971"/>
      <c r="AJO27" s="971"/>
      <c r="AJP27" s="971"/>
      <c r="AJQ27" s="971"/>
      <c r="AJR27" s="971"/>
      <c r="AJS27" s="971"/>
      <c r="AJT27" s="971"/>
      <c r="AJU27" s="971"/>
      <c r="AJV27" s="971"/>
      <c r="AJW27" s="971"/>
      <c r="AJX27" s="971"/>
      <c r="AJY27" s="971"/>
      <c r="AJZ27" s="971"/>
      <c r="AKA27" s="971"/>
      <c r="AKB27" s="971"/>
      <c r="AKC27" s="971"/>
      <c r="AKD27" s="971"/>
      <c r="AKE27" s="971"/>
      <c r="AKF27" s="971"/>
      <c r="AKG27" s="971"/>
      <c r="AKH27" s="971"/>
      <c r="AKI27" s="971"/>
      <c r="AKJ27" s="971"/>
      <c r="AKK27" s="971"/>
      <c r="AKL27" s="971"/>
      <c r="AKM27" s="971"/>
      <c r="AKN27" s="971"/>
      <c r="AKO27" s="971"/>
      <c r="AKP27" s="971"/>
      <c r="AKQ27" s="971"/>
      <c r="AKR27" s="971"/>
      <c r="AKS27" s="971"/>
      <c r="AKT27" s="971"/>
      <c r="AKU27" s="971"/>
      <c r="AKV27" s="971"/>
      <c r="AKW27" s="971"/>
      <c r="AKX27" s="971"/>
      <c r="AKY27" s="971"/>
      <c r="AKZ27" s="971"/>
      <c r="ALA27" s="971"/>
      <c r="ALB27" s="971"/>
      <c r="ALC27" s="971"/>
      <c r="ALD27" s="971"/>
      <c r="ALE27" s="971"/>
      <c r="ALF27" s="971"/>
      <c r="ALG27" s="971"/>
      <c r="ALH27" s="971"/>
      <c r="ALI27" s="971"/>
      <c r="ALJ27" s="971"/>
      <c r="ALK27" s="971"/>
      <c r="ALL27" s="971"/>
    </row>
  </sheetData>
  <mergeCells count="11">
    <mergeCell ref="A7:C7"/>
    <mergeCell ref="A1:O1"/>
    <mergeCell ref="M8:ALL9"/>
    <mergeCell ref="B8:L9"/>
    <mergeCell ref="J5:O5"/>
    <mergeCell ref="J6:O6"/>
    <mergeCell ref="D7:O7"/>
    <mergeCell ref="I4:O4"/>
    <mergeCell ref="A4:H4"/>
    <mergeCell ref="A5:I5"/>
    <mergeCell ref="A6:I6"/>
  </mergeCells>
  <pageMargins left="0.0393701" right="0" top="0" bottom="0" header="0" footer="0"/>
  <pageSetup firstPageNumber="1" fitToHeight="1" fitToWidth="1" scale="25" useFirstPageNumber="0" orientation="landscape"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dimension ref="A1:T31"/>
  <sheetViews>
    <sheetView workbookViewId="0" showGridLines="0" defaultGridColor="1"/>
  </sheetViews>
  <sheetFormatPr defaultColWidth="10.8333" defaultRowHeight="12.75" customHeight="1" outlineLevelRow="0" outlineLevelCol="0"/>
  <cols>
    <col min="1" max="1" width="11.5" style="972" customWidth="1"/>
    <col min="2" max="2" width="5.17188" style="972" customWidth="1"/>
    <col min="3" max="3" width="13" style="972" customWidth="1"/>
    <col min="4" max="5" width="11.5" style="972" customWidth="1"/>
    <col min="6" max="6" width="12.5" style="972" customWidth="1"/>
    <col min="7" max="7" width="17.1719" style="972" customWidth="1"/>
    <col min="8" max="8" width="11.1719" style="972" customWidth="1"/>
    <col min="9" max="9" width="11.5" style="972" customWidth="1"/>
    <col min="10" max="10" width="5.85156" style="972" customWidth="1"/>
    <col min="11" max="11" width="6.85156" style="972" customWidth="1"/>
    <col min="12" max="12" width="6.35156" style="972" customWidth="1"/>
    <col min="13" max="13" width="6.5" style="972" customWidth="1"/>
    <col min="14" max="14" width="5.17188" style="972" customWidth="1"/>
    <col min="15" max="15" width="15.3516" style="972" customWidth="1"/>
    <col min="16" max="16" width="19.5" style="972" customWidth="1"/>
    <col min="17" max="17" width="19.6719" style="972" customWidth="1"/>
    <col min="18" max="18" width="18" style="972" customWidth="1"/>
    <col min="19" max="19" width="15.5" style="972" customWidth="1"/>
    <col min="20" max="20" width="11.5" style="972" customWidth="1"/>
    <col min="21" max="16384" width="10.8516" style="972" customWidth="1"/>
  </cols>
  <sheetData>
    <row r="1" ht="12.75" customHeight="1">
      <c r="A1" s="973"/>
      <c r="B1" s="974"/>
      <c r="C1" s="974"/>
      <c r="D1" s="974"/>
      <c r="E1" s="974"/>
      <c r="F1" s="974"/>
      <c r="G1" s="974"/>
      <c r="H1" s="974"/>
      <c r="I1" s="974"/>
      <c r="J1" s="974"/>
      <c r="K1" s="974"/>
      <c r="L1" s="974"/>
      <c r="M1" s="974"/>
      <c r="N1" s="974"/>
      <c r="O1" s="974"/>
      <c r="P1" s="974"/>
      <c r="Q1" s="974"/>
      <c r="R1" s="974"/>
      <c r="S1" s="974"/>
      <c r="T1" s="975"/>
    </row>
    <row r="2" ht="12.75" customHeight="1">
      <c r="A2" s="976"/>
      <c r="B2" s="977"/>
      <c r="C2" s="977"/>
      <c r="D2" t="s" s="978">
        <v>279</v>
      </c>
      <c r="E2" s="977"/>
      <c r="F2" s="977"/>
      <c r="G2" s="977"/>
      <c r="H2" s="977"/>
      <c r="I2" s="977"/>
      <c r="J2" s="977"/>
      <c r="K2" s="977"/>
      <c r="L2" s="977"/>
      <c r="M2" s="977"/>
      <c r="N2" s="977"/>
      <c r="O2" s="977"/>
      <c r="P2" s="977"/>
      <c r="Q2" s="977"/>
      <c r="R2" s="977"/>
      <c r="S2" s="977"/>
      <c r="T2" s="979"/>
    </row>
    <row r="3" ht="12.75" customHeight="1">
      <c r="A3" s="976"/>
      <c r="B3" s="977"/>
      <c r="C3" s="977"/>
      <c r="D3" s="977"/>
      <c r="E3" s="977"/>
      <c r="F3" s="977"/>
      <c r="G3" s="977"/>
      <c r="H3" s="977"/>
      <c r="I3" s="977"/>
      <c r="J3" s="977"/>
      <c r="K3" s="977"/>
      <c r="L3" s="977"/>
      <c r="M3" s="977"/>
      <c r="N3" s="977"/>
      <c r="O3" s="977"/>
      <c r="P3" s="977"/>
      <c r="Q3" s="977"/>
      <c r="R3" s="977"/>
      <c r="S3" s="977"/>
      <c r="T3" s="979"/>
    </row>
    <row r="4" ht="12.75" customHeight="1">
      <c r="A4" s="976"/>
      <c r="B4" s="977"/>
      <c r="C4" s="977"/>
      <c r="D4" s="977"/>
      <c r="E4" s="977"/>
      <c r="F4" s="977"/>
      <c r="G4" s="977"/>
      <c r="H4" s="977"/>
      <c r="I4" s="977"/>
      <c r="J4" s="977"/>
      <c r="K4" s="977"/>
      <c r="L4" s="977"/>
      <c r="M4" s="977"/>
      <c r="N4" s="977"/>
      <c r="O4" t="s" s="978">
        <v>280</v>
      </c>
      <c r="P4" s="977"/>
      <c r="Q4" s="977"/>
      <c r="R4" s="977"/>
      <c r="S4" s="977"/>
      <c r="T4" s="979"/>
    </row>
    <row r="5" ht="27" customHeight="1">
      <c r="A5" t="s" s="980">
        <v>79</v>
      </c>
      <c r="B5" s="981"/>
      <c r="C5" s="977"/>
      <c r="D5" s="977"/>
      <c r="E5" s="977"/>
      <c r="F5" s="977"/>
      <c r="G5" s="977"/>
      <c r="H5" s="977"/>
      <c r="I5" s="977"/>
      <c r="J5" s="977"/>
      <c r="K5" s="977"/>
      <c r="L5" s="977"/>
      <c r="M5" s="977"/>
      <c r="N5" s="977"/>
      <c r="O5" s="982"/>
      <c r="P5" s="982"/>
      <c r="Q5" s="982"/>
      <c r="R5" s="982"/>
      <c r="S5" s="982"/>
      <c r="T5" s="979"/>
    </row>
    <row r="6" ht="13.5" customHeight="1">
      <c r="A6" s="983"/>
      <c r="B6" s="981"/>
      <c r="C6" s="977"/>
      <c r="D6" s="977"/>
      <c r="E6" s="977"/>
      <c r="F6" t="s" s="978">
        <v>281</v>
      </c>
      <c r="G6" s="977"/>
      <c r="H6" s="977"/>
      <c r="I6" s="977"/>
      <c r="J6" s="977"/>
      <c r="K6" s="977"/>
      <c r="L6" s="977"/>
      <c r="M6" s="977"/>
      <c r="N6" s="984"/>
      <c r="O6" t="s" s="985">
        <v>282</v>
      </c>
      <c r="P6" t="s" s="986">
        <v>283</v>
      </c>
      <c r="Q6" s="987"/>
      <c r="R6" s="987"/>
      <c r="S6" s="988"/>
      <c r="T6" s="989"/>
    </row>
    <row r="7" ht="14.25" customHeight="1">
      <c r="A7" t="s" s="990">
        <v>284</v>
      </c>
      <c r="B7" s="981"/>
      <c r="C7" s="977"/>
      <c r="D7" s="977"/>
      <c r="E7" s="977"/>
      <c r="F7" t="s" s="991">
        <v>285</v>
      </c>
      <c r="G7" s="977"/>
      <c r="H7" s="977"/>
      <c r="I7" s="977"/>
      <c r="J7" s="977"/>
      <c r="K7" s="977"/>
      <c r="L7" s="977"/>
      <c r="M7" s="977"/>
      <c r="N7" s="984"/>
      <c r="O7" t="s" s="992">
        <v>286</v>
      </c>
      <c r="P7" t="s" s="993">
        <v>287</v>
      </c>
      <c r="Q7" t="s" s="993">
        <v>288</v>
      </c>
      <c r="R7" t="s" s="993">
        <v>289</v>
      </c>
      <c r="S7" t="s" s="993">
        <v>290</v>
      </c>
      <c r="T7" s="989"/>
    </row>
    <row r="8" ht="15.75" customHeight="1">
      <c r="A8" s="983"/>
      <c r="B8" s="981"/>
      <c r="C8" s="994"/>
      <c r="D8" s="977"/>
      <c r="E8" s="994"/>
      <c r="F8" s="994"/>
      <c r="G8" s="994"/>
      <c r="H8" s="994"/>
      <c r="I8" s="994"/>
      <c r="J8" s="977"/>
      <c r="K8" s="977"/>
      <c r="L8" s="977"/>
      <c r="M8" s="977"/>
      <c r="N8" s="984"/>
      <c r="O8" t="s" s="995">
        <v>291</v>
      </c>
      <c r="P8" t="s" s="993">
        <v>292</v>
      </c>
      <c r="Q8" t="s" s="993">
        <v>293</v>
      </c>
      <c r="R8" t="s" s="993">
        <v>294</v>
      </c>
      <c r="S8" t="s" s="993">
        <v>295</v>
      </c>
      <c r="T8" s="989"/>
    </row>
    <row r="9" ht="14.25" customHeight="1">
      <c r="A9" t="s" s="996">
        <v>296</v>
      </c>
      <c r="B9" s="997"/>
      <c r="C9" s="998"/>
      <c r="D9" s="997"/>
      <c r="E9" s="999"/>
      <c r="F9" s="1000"/>
      <c r="G9" s="1000"/>
      <c r="H9" s="1000"/>
      <c r="I9" s="1000"/>
      <c r="J9" s="977"/>
      <c r="K9" s="977"/>
      <c r="L9" s="977"/>
      <c r="M9" s="977"/>
      <c r="N9" s="984"/>
      <c r="O9" t="s" s="995">
        <v>297</v>
      </c>
      <c r="P9" t="s" s="993">
        <v>298</v>
      </c>
      <c r="Q9" t="s" s="993">
        <v>299</v>
      </c>
      <c r="R9" t="s" s="993">
        <v>300</v>
      </c>
      <c r="S9" t="s" s="993">
        <v>301</v>
      </c>
      <c r="T9" s="989"/>
    </row>
    <row r="10" ht="14.25" customHeight="1">
      <c r="A10" s="983"/>
      <c r="B10" s="997"/>
      <c r="C10" t="s" s="1001">
        <v>302</v>
      </c>
      <c r="D10" s="997"/>
      <c r="E10" s="981"/>
      <c r="F10" s="977"/>
      <c r="G10" t="s" s="978">
        <v>303</v>
      </c>
      <c r="H10" s="977"/>
      <c r="I10" s="977"/>
      <c r="J10" s="977"/>
      <c r="K10" s="977"/>
      <c r="L10" s="977"/>
      <c r="M10" s="977"/>
      <c r="N10" s="984"/>
      <c r="O10" t="s" s="995">
        <v>304</v>
      </c>
      <c r="P10" t="s" s="993">
        <v>305</v>
      </c>
      <c r="Q10" t="s" s="993">
        <v>306</v>
      </c>
      <c r="R10" t="s" s="993">
        <v>307</v>
      </c>
      <c r="S10" t="s" s="993">
        <v>308</v>
      </c>
      <c r="T10" s="989"/>
    </row>
    <row r="11" ht="12.75" customHeight="1">
      <c r="A11" s="983"/>
      <c r="B11" s="997"/>
      <c r="C11" t="s" s="1001">
        <v>309</v>
      </c>
      <c r="D11" s="997"/>
      <c r="E11" s="981"/>
      <c r="F11" s="977"/>
      <c r="G11" t="s" s="978">
        <v>310</v>
      </c>
      <c r="H11" s="977"/>
      <c r="I11" s="977"/>
      <c r="J11" s="977"/>
      <c r="K11" s="982"/>
      <c r="L11" s="977"/>
      <c r="M11" s="977"/>
      <c r="N11" s="977"/>
      <c r="O11" s="1002"/>
      <c r="P11" s="1002"/>
      <c r="Q11" s="1002"/>
      <c r="R11" s="1002"/>
      <c r="S11" s="1002"/>
      <c r="T11" s="979"/>
    </row>
    <row r="12" ht="12.75" customHeight="1">
      <c r="A12" s="983"/>
      <c r="B12" s="997"/>
      <c r="C12" s="997"/>
      <c r="D12" s="997"/>
      <c r="E12" s="981"/>
      <c r="F12" s="977"/>
      <c r="G12" s="977"/>
      <c r="H12" s="977"/>
      <c r="I12" s="977"/>
      <c r="J12" s="984"/>
      <c r="K12" s="1003"/>
      <c r="L12" t="s" s="1004">
        <v>311</v>
      </c>
      <c r="M12" s="977"/>
      <c r="N12" s="977"/>
      <c r="O12" s="977"/>
      <c r="P12" s="977"/>
      <c r="Q12" s="977"/>
      <c r="R12" s="977"/>
      <c r="S12" t="s" s="1005">
        <v>312</v>
      </c>
      <c r="T12" s="1006"/>
    </row>
    <row r="13" ht="13.5" customHeight="1">
      <c r="A13" s="983"/>
      <c r="B13" s="997"/>
      <c r="C13" s="1007"/>
      <c r="D13" s="1007"/>
      <c r="E13" s="1008"/>
      <c r="F13" s="994"/>
      <c r="G13" s="994"/>
      <c r="H13" s="994"/>
      <c r="I13" s="994"/>
      <c r="J13" s="977"/>
      <c r="K13" s="1002"/>
      <c r="L13" s="977"/>
      <c r="M13" s="977"/>
      <c r="N13" s="977"/>
      <c r="O13" s="977"/>
      <c r="P13" t="s" s="1009">
        <v>313</v>
      </c>
      <c r="Q13" t="s" s="1009">
        <v>314</v>
      </c>
      <c r="R13" t="s" s="1009">
        <v>315</v>
      </c>
      <c r="S13" s="1010"/>
      <c r="T13" s="1011"/>
    </row>
    <row r="14" ht="12.75" customHeight="1">
      <c r="A14" t="s" s="990">
        <v>316</v>
      </c>
      <c r="B14" s="997"/>
      <c r="C14" s="998"/>
      <c r="D14" s="998"/>
      <c r="E14" s="999"/>
      <c r="F14" s="1000"/>
      <c r="G14" s="1000"/>
      <c r="H14" s="1000"/>
      <c r="I14" s="1000"/>
      <c r="J14" s="977"/>
      <c r="K14" s="982"/>
      <c r="L14" s="982"/>
      <c r="M14" s="982"/>
      <c r="N14" s="982"/>
      <c r="O14" s="984"/>
      <c r="P14" t="s" s="1012">
        <v>317</v>
      </c>
      <c r="Q14" s="1013"/>
      <c r="R14" s="1013"/>
      <c r="S14" t="s" s="1014">
        <v>318</v>
      </c>
      <c r="T14" s="1015"/>
    </row>
    <row r="15" ht="12.75" customHeight="1">
      <c r="A15" s="983"/>
      <c r="B15" s="997"/>
      <c r="C15" s="997"/>
      <c r="D15" s="997"/>
      <c r="E15" s="981"/>
      <c r="F15" s="977"/>
      <c r="G15" t="s" s="978">
        <v>319</v>
      </c>
      <c r="H15" s="977"/>
      <c r="I15" s="977"/>
      <c r="J15" s="984"/>
      <c r="K15" t="s" s="993">
        <v>287</v>
      </c>
      <c r="L15" t="s" s="993">
        <v>320</v>
      </c>
      <c r="M15" t="s" s="993">
        <v>321</v>
      </c>
      <c r="N15" t="s" s="993">
        <v>322</v>
      </c>
      <c r="O15" t="s" s="1014">
        <v>323</v>
      </c>
      <c r="P15" s="1016"/>
      <c r="Q15" s="1017" cm="1">
        <f t="array" ref="Q15">IF(P$14=K$15,K16*$P$16,IF(P$14=L$15,L16*$P$16,IF(P$14=M$15,M16*$P$16,N16*$P$16)))</f>
        <v>0</v>
      </c>
      <c r="R15" s="1017" cm="1">
        <f t="array" ref="R15">(0.5*P16)*2</f>
        <v>0</v>
      </c>
      <c r="S15" t="s" s="1014">
        <v>324</v>
      </c>
      <c r="T15" s="1018" cm="1">
        <f t="array" ref="T15">T14*1</f>
        <v>0</v>
      </c>
    </row>
    <row r="16" ht="12.75" customHeight="1">
      <c r="A16" s="983"/>
      <c r="B16" s="997"/>
      <c r="C16" s="997"/>
      <c r="D16" s="997"/>
      <c r="E16" s="981"/>
      <c r="F16" s="977"/>
      <c r="G16" t="s" s="978">
        <v>325</v>
      </c>
      <c r="H16" s="977"/>
      <c r="I16" s="977"/>
      <c r="J16" s="984"/>
      <c r="K16" s="1019">
        <v>50000</v>
      </c>
      <c r="L16" s="1019">
        <v>5000</v>
      </c>
      <c r="M16" s="1019">
        <v>500</v>
      </c>
      <c r="N16" s="1019">
        <v>50</v>
      </c>
      <c r="O16" t="s" s="1014">
        <v>85</v>
      </c>
      <c r="P16" s="1020" cm="1">
        <f t="array" ref="P16">T17</f>
        <v>0</v>
      </c>
      <c r="Q16" s="1017" cm="1">
        <f t="array" ref="Q16">IF(P$14=K$15,K17*$P$16,IF(P$14=L$15,L17*$P$16,IF(P$14=M$15,M17*$P$16,N17*$P$16)))</f>
        <v>0</v>
      </c>
      <c r="R16" s="1017" cm="1">
        <f t="array" ref="R16">(1*P16)*2</f>
        <v>0</v>
      </c>
      <c r="S16" t="s" s="1014">
        <v>326</v>
      </c>
      <c r="T16" s="1021" cm="1">
        <f t="array" ref="T16">T14*5</f>
        <v>0</v>
      </c>
    </row>
    <row r="17" ht="13.5" customHeight="1">
      <c r="A17" s="983"/>
      <c r="B17" s="997"/>
      <c r="C17" t="s" s="1001">
        <v>327</v>
      </c>
      <c r="D17" s="997"/>
      <c r="E17" s="1008"/>
      <c r="F17" s="994"/>
      <c r="G17" s="977"/>
      <c r="H17" s="994"/>
      <c r="I17" s="994"/>
      <c r="J17" s="984"/>
      <c r="K17" t="s" s="1022">
        <v>328</v>
      </c>
      <c r="L17" s="1019">
        <v>20000</v>
      </c>
      <c r="M17" s="1019">
        <v>2000</v>
      </c>
      <c r="N17" s="1019">
        <v>200</v>
      </c>
      <c r="O17" t="s" s="1014">
        <v>79</v>
      </c>
      <c r="P17" s="1023" cm="1">
        <f t="array" ref="P17">P15/P16</f>
      </c>
      <c r="Q17" s="1017" cm="1">
        <f t="array" ref="Q17">IF(P$14=K$15,K18*$P$16,IF(P$14=L$15,L18*$P$16,IF(P$14=M$15,M18*$P$16,N18*$P$16)))</f>
        <v>0</v>
      </c>
      <c r="R17" s="1017" cm="1">
        <f t="array" ref="R17">(1.5*P16)*2</f>
        <v>0</v>
      </c>
      <c r="S17" t="s" s="1014">
        <v>329</v>
      </c>
      <c r="T17" s="1021" cm="1">
        <f t="array" ref="T17">T14*10</f>
        <v>0</v>
      </c>
    </row>
    <row r="18" ht="12.75" customHeight="1">
      <c r="A18" t="s" s="990">
        <v>330</v>
      </c>
      <c r="B18" s="997"/>
      <c r="C18" t="s" s="1001">
        <v>331</v>
      </c>
      <c r="D18" s="997"/>
      <c r="E18" t="s" s="1024">
        <v>332</v>
      </c>
      <c r="F18" s="1025"/>
      <c r="G18" s="997"/>
      <c r="H18" t="s" s="1024">
        <v>332</v>
      </c>
      <c r="I18" s="1000"/>
      <c r="J18" s="984"/>
      <c r="K18" s="1013"/>
      <c r="L18" t="s" s="993">
        <v>333</v>
      </c>
      <c r="M18" s="1019">
        <v>10000</v>
      </c>
      <c r="N18" s="1021">
        <v>1000</v>
      </c>
      <c r="O18" s="1026"/>
      <c r="P18" s="1013"/>
      <c r="Q18" s="1013"/>
      <c r="R18" s="1013"/>
      <c r="S18" s="1027"/>
      <c r="T18" s="1028"/>
    </row>
    <row r="19" ht="12.75" customHeight="1">
      <c r="A19" s="983"/>
      <c r="B19" s="997"/>
      <c r="C19" s="997"/>
      <c r="D19" s="997"/>
      <c r="E19" t="s" s="1029">
        <v>334</v>
      </c>
      <c r="F19" s="1030"/>
      <c r="G19" s="997"/>
      <c r="H19" t="s" s="1029">
        <v>334</v>
      </c>
      <c r="I19" s="977"/>
      <c r="J19" s="977"/>
      <c r="K19" s="1002"/>
      <c r="L19" s="1002"/>
      <c r="M19" s="1002"/>
      <c r="N19" s="1002"/>
      <c r="O19" s="1010"/>
      <c r="P19" s="1002"/>
      <c r="Q19" s="1002"/>
      <c r="R19" s="1002"/>
      <c r="S19" s="977"/>
      <c r="T19" s="979"/>
    </row>
    <row r="20" ht="13.5" customHeight="1">
      <c r="A20" s="983"/>
      <c r="B20" s="997"/>
      <c r="C20" s="997"/>
      <c r="D20" s="997"/>
      <c r="E20" s="1008"/>
      <c r="F20" s="1031"/>
      <c r="G20" s="997"/>
      <c r="H20" s="1008"/>
      <c r="I20" s="994"/>
      <c r="J20" s="977"/>
      <c r="K20" s="977"/>
      <c r="L20" s="977"/>
      <c r="M20" s="977"/>
      <c r="N20" s="977"/>
      <c r="O20" s="1032"/>
      <c r="P20" s="982"/>
      <c r="Q20" s="982"/>
      <c r="R20" s="982"/>
      <c r="S20" s="982"/>
      <c r="T20" s="1011"/>
    </row>
    <row r="21" ht="26.25" customHeight="1">
      <c r="A21" t="s" s="990">
        <v>335</v>
      </c>
      <c r="B21" s="997"/>
      <c r="C21" s="997"/>
      <c r="D21" s="997"/>
      <c r="E21" s="999"/>
      <c r="F21" s="1025"/>
      <c r="G21" s="997"/>
      <c r="H21" s="999"/>
      <c r="I21" s="1000"/>
      <c r="J21" s="977"/>
      <c r="K21" s="977"/>
      <c r="L21" s="977"/>
      <c r="M21" s="977"/>
      <c r="N21" s="984"/>
      <c r="O21" t="s" s="1033">
        <v>336</v>
      </c>
      <c r="P21" t="s" s="1033">
        <v>337</v>
      </c>
      <c r="Q21" t="s" s="1034">
        <v>338</v>
      </c>
      <c r="R21" s="1035"/>
      <c r="S21" t="s" s="1036">
        <v>339</v>
      </c>
      <c r="T21" s="1013"/>
    </row>
    <row r="22" ht="13.5" customHeight="1">
      <c r="A22" s="983"/>
      <c r="B22" s="997"/>
      <c r="C22" s="997"/>
      <c r="D22" s="997"/>
      <c r="E22" t="s" s="1029">
        <v>340</v>
      </c>
      <c r="F22" s="1030"/>
      <c r="G22" s="997"/>
      <c r="H22" t="s" s="1029">
        <v>340</v>
      </c>
      <c r="I22" s="977"/>
      <c r="J22" s="977"/>
      <c r="K22" s="977"/>
      <c r="L22" s="977"/>
      <c r="M22" s="977"/>
      <c r="N22" s="984"/>
      <c r="O22" s="1037"/>
      <c r="P22" s="1037"/>
      <c r="Q22" t="s" s="1036">
        <v>341</v>
      </c>
      <c r="R22" t="s" s="1036">
        <v>342</v>
      </c>
      <c r="S22" t="s" s="1036">
        <v>343</v>
      </c>
      <c r="T22" s="1013"/>
    </row>
    <row r="23" ht="13.5" customHeight="1">
      <c r="A23" s="983"/>
      <c r="B23" s="997"/>
      <c r="C23" s="997"/>
      <c r="D23" s="1038"/>
      <c r="E23" t="s" s="1029">
        <v>344</v>
      </c>
      <c r="F23" s="1030"/>
      <c r="G23" s="997"/>
      <c r="H23" t="s" s="1039">
        <v>344</v>
      </c>
      <c r="I23" s="994"/>
      <c r="J23" s="977"/>
      <c r="K23" s="977"/>
      <c r="L23" s="977"/>
      <c r="M23" s="977"/>
      <c r="N23" s="984"/>
      <c r="O23" t="s" s="1040">
        <v>345</v>
      </c>
      <c r="P23" t="s" s="1040">
        <v>346</v>
      </c>
      <c r="Q23" t="s" s="1041">
        <v>347</v>
      </c>
      <c r="R23" t="s" s="1042">
        <v>348</v>
      </c>
      <c r="S23" t="s" s="1043">
        <v>349</v>
      </c>
      <c r="T23" s="1021">
        <v>100</v>
      </c>
    </row>
    <row r="24" ht="25.5" customHeight="1">
      <c r="A24" t="s" s="990">
        <v>350</v>
      </c>
      <c r="B24" s="997"/>
      <c r="C24" s="997"/>
      <c r="D24" s="997"/>
      <c r="E24" s="981"/>
      <c r="F24" s="1030"/>
      <c r="G24" s="997"/>
      <c r="H24" s="999"/>
      <c r="I24" s="1000"/>
      <c r="J24" s="977"/>
      <c r="K24" s="977"/>
      <c r="L24" s="977"/>
      <c r="M24" s="977"/>
      <c r="N24" s="984"/>
      <c r="O24" t="s" s="1044">
        <v>351</v>
      </c>
      <c r="P24" t="s" s="1044">
        <v>352</v>
      </c>
      <c r="Q24" s="1045">
        <v>100</v>
      </c>
      <c r="R24" t="s" s="1044">
        <v>353</v>
      </c>
      <c r="S24" t="s" s="1044">
        <v>354</v>
      </c>
      <c r="T24" s="1046">
        <v>20</v>
      </c>
    </row>
    <row r="25" ht="13.65" customHeight="1">
      <c r="A25" s="983"/>
      <c r="B25" s="997"/>
      <c r="C25" s="997"/>
      <c r="D25" s="997"/>
      <c r="E25" s="981"/>
      <c r="F25" s="1030"/>
      <c r="G25" s="997"/>
      <c r="H25" t="s" s="1029">
        <v>355</v>
      </c>
      <c r="I25" s="977"/>
      <c r="J25" s="977"/>
      <c r="K25" s="977"/>
      <c r="L25" s="977"/>
      <c r="M25" s="977"/>
      <c r="N25" s="984"/>
      <c r="O25" s="1047"/>
      <c r="P25" t="s" s="1048">
        <v>356</v>
      </c>
      <c r="Q25" t="s" s="1048">
        <v>357</v>
      </c>
      <c r="R25" t="s" s="1048">
        <v>353</v>
      </c>
      <c r="S25" t="s" s="1048">
        <v>358</v>
      </c>
      <c r="T25" s="1049">
        <v>50</v>
      </c>
    </row>
    <row r="26" ht="13.5" customHeight="1">
      <c r="A26" s="983"/>
      <c r="B26" s="997"/>
      <c r="C26" s="997"/>
      <c r="D26" s="997"/>
      <c r="E26" s="981"/>
      <c r="F26" s="1030"/>
      <c r="G26" s="997"/>
      <c r="H26" t="s" s="1039">
        <v>359</v>
      </c>
      <c r="I26" s="994"/>
      <c r="J26" s="977"/>
      <c r="K26" s="977"/>
      <c r="L26" s="977"/>
      <c r="M26" s="977"/>
      <c r="N26" s="984"/>
      <c r="O26" t="s" s="1044">
        <v>360</v>
      </c>
      <c r="P26" t="s" s="1044">
        <v>361</v>
      </c>
      <c r="Q26" s="1045">
        <v>100</v>
      </c>
      <c r="R26" t="s" s="1044">
        <v>362</v>
      </c>
      <c r="S26" t="s" s="1044">
        <v>354</v>
      </c>
      <c r="T26" s="1046">
        <v>20</v>
      </c>
    </row>
    <row r="27" ht="14.15" customHeight="1">
      <c r="A27" s="1050">
        <v>500</v>
      </c>
      <c r="B27" s="997"/>
      <c r="C27" s="997"/>
      <c r="D27" s="997"/>
      <c r="E27" s="981"/>
      <c r="F27" s="1030"/>
      <c r="G27" s="997"/>
      <c r="H27" s="999"/>
      <c r="I27" s="1000"/>
      <c r="J27" s="977"/>
      <c r="K27" s="977"/>
      <c r="L27" s="977"/>
      <c r="M27" s="977"/>
      <c r="N27" s="984"/>
      <c r="O27" s="1047"/>
      <c r="P27" t="s" s="1048">
        <v>363</v>
      </c>
      <c r="Q27" s="1051">
        <v>500</v>
      </c>
      <c r="R27" t="s" s="1048">
        <v>362</v>
      </c>
      <c r="S27" t="s" s="1048">
        <v>354</v>
      </c>
      <c r="T27" s="1049">
        <v>20</v>
      </c>
    </row>
    <row r="28" ht="13.65" customHeight="1">
      <c r="A28" s="983"/>
      <c r="B28" s="997"/>
      <c r="C28" s="997"/>
      <c r="D28" s="997"/>
      <c r="E28" s="981"/>
      <c r="F28" s="1030"/>
      <c r="G28" t="s" s="1001">
        <v>364</v>
      </c>
      <c r="H28" t="s" s="1029">
        <v>365</v>
      </c>
      <c r="I28" s="977"/>
      <c r="J28" s="977"/>
      <c r="K28" s="977"/>
      <c r="L28" s="977"/>
      <c r="M28" s="977"/>
      <c r="N28" s="984"/>
      <c r="O28" t="s" s="1040">
        <v>366</v>
      </c>
      <c r="P28" t="s" s="1040">
        <v>367</v>
      </c>
      <c r="Q28" s="1052">
        <v>100</v>
      </c>
      <c r="R28" t="s" s="1040">
        <v>368</v>
      </c>
      <c r="S28" t="s" s="1040">
        <v>369</v>
      </c>
      <c r="T28" s="1021">
        <v>10</v>
      </c>
    </row>
    <row r="29" ht="13.5" customHeight="1">
      <c r="A29" s="1050">
        <v>100</v>
      </c>
      <c r="B29" s="1007"/>
      <c r="C29" s="1007"/>
      <c r="D29" s="1007"/>
      <c r="E29" s="1008"/>
      <c r="F29" s="1031"/>
      <c r="G29" s="1007"/>
      <c r="H29" s="1008"/>
      <c r="I29" s="994"/>
      <c r="J29" s="994"/>
      <c r="K29" s="977"/>
      <c r="L29" s="977"/>
      <c r="M29" s="977"/>
      <c r="N29" s="977"/>
      <c r="O29" s="1053"/>
      <c r="P29" s="1053"/>
      <c r="Q29" s="1053"/>
      <c r="R29" s="1053"/>
      <c r="S29" s="1053"/>
      <c r="T29" s="1028"/>
    </row>
    <row r="30" ht="12.75" customHeight="1">
      <c r="A30" s="976"/>
      <c r="B30" s="1000"/>
      <c r="C30" s="1000"/>
      <c r="D30" s="1000"/>
      <c r="E30" s="1000"/>
      <c r="F30" s="1000"/>
      <c r="G30" s="1000"/>
      <c r="H30" s="1000"/>
      <c r="I30" s="1000"/>
      <c r="J30" s="1000"/>
      <c r="K30" s="977"/>
      <c r="L30" s="977"/>
      <c r="M30" s="977"/>
      <c r="N30" s="977"/>
      <c r="O30" s="1054"/>
      <c r="P30" s="1054"/>
      <c r="Q30" s="1054"/>
      <c r="R30" s="1054"/>
      <c r="S30" s="1054"/>
      <c r="T30" s="979"/>
    </row>
    <row r="31" ht="27" customHeight="1">
      <c r="A31" s="1055"/>
      <c r="B31" t="s" s="1056">
        <v>370</v>
      </c>
      <c r="C31" t="s" s="1056">
        <v>371</v>
      </c>
      <c r="D31" t="s" s="1056">
        <v>372</v>
      </c>
      <c r="E31" t="s" s="1056">
        <v>373</v>
      </c>
      <c r="F31" t="s" s="1056">
        <v>374</v>
      </c>
      <c r="G31" t="s" s="1056">
        <v>375</v>
      </c>
      <c r="H31" t="s" s="1056">
        <v>376</v>
      </c>
      <c r="I31" t="s" s="1056">
        <v>377</v>
      </c>
      <c r="J31" t="s" s="1057">
        <v>85</v>
      </c>
      <c r="K31" s="1058"/>
      <c r="L31" s="1058"/>
      <c r="M31" s="1058"/>
      <c r="N31" s="1059"/>
      <c r="O31" s="1060"/>
      <c r="P31" s="1060"/>
      <c r="Q31" s="1060"/>
      <c r="R31" s="1060"/>
      <c r="S31" s="1060"/>
      <c r="T31" s="1061"/>
    </row>
  </sheetData>
  <mergeCells count="2">
    <mergeCell ref="S12:T12"/>
    <mergeCell ref="Q21:R2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AK64"/>
  <sheetViews>
    <sheetView workbookViewId="0" showGridLines="0" defaultGridColor="1"/>
  </sheetViews>
  <sheetFormatPr defaultColWidth="10.8333" defaultRowHeight="12.75" customHeight="1" outlineLevelRow="0" outlineLevelCol="0"/>
  <cols>
    <col min="1" max="12" width="10.8516" style="1062" customWidth="1"/>
    <col min="13" max="13" width="2.17188" style="1062" customWidth="1"/>
    <col min="14" max="21" width="10.8516" style="1062" customWidth="1"/>
    <col min="22" max="22" width="1.85156" style="1062" customWidth="1"/>
    <col min="23" max="26" width="10.8516" style="1062" customWidth="1"/>
    <col min="27" max="27" width="12.5" style="1062" customWidth="1"/>
    <col min="28" max="37" width="10.8516" style="1062" customWidth="1"/>
    <col min="38" max="16384" width="10.8516" style="1062" customWidth="1"/>
  </cols>
  <sheetData>
    <row r="1" ht="13.65" customHeight="1">
      <c r="A1" s="923"/>
      <c r="B1" s="923"/>
      <c r="C1" s="923"/>
      <c r="D1" s="923"/>
      <c r="E1" s="923"/>
      <c r="F1" s="923"/>
      <c r="G1" s="923"/>
      <c r="H1" s="923"/>
      <c r="I1" s="923"/>
      <c r="J1" s="923"/>
      <c r="K1" s="923"/>
      <c r="L1" s="923"/>
      <c r="M1" s="923"/>
      <c r="N1" s="923"/>
      <c r="O1" s="923"/>
      <c r="P1" s="923"/>
      <c r="Q1" s="923"/>
      <c r="R1" s="923"/>
      <c r="S1" s="923"/>
      <c r="T1" s="923"/>
      <c r="U1" s="923"/>
      <c r="V1" s="923"/>
      <c r="W1" s="923"/>
      <c r="X1" s="923"/>
      <c r="Y1" s="923"/>
      <c r="Z1" s="923"/>
      <c r="AA1" s="923"/>
      <c r="AB1" s="923"/>
      <c r="AC1" s="923"/>
      <c r="AD1" s="923"/>
      <c r="AE1" s="923"/>
      <c r="AF1" s="923"/>
      <c r="AG1" s="923"/>
      <c r="AH1" s="923"/>
      <c r="AI1" s="923"/>
      <c r="AJ1" s="923"/>
      <c r="AK1" s="923"/>
    </row>
    <row r="2" ht="15" customHeight="1">
      <c r="A2" s="923"/>
      <c r="B2" s="923"/>
      <c r="C2" s="923"/>
      <c r="D2" s="923"/>
      <c r="E2" s="923"/>
      <c r="F2" s="923"/>
      <c r="G2" s="923"/>
      <c r="H2" s="923"/>
      <c r="I2" s="923"/>
      <c r="J2" s="1063"/>
      <c r="K2" s="1064"/>
      <c r="L2" s="1065"/>
      <c r="M2" s="1066"/>
      <c r="N2" s="1066"/>
      <c r="O2" s="1067"/>
      <c r="P2" s="1067"/>
      <c r="Q2" s="1067"/>
      <c r="R2" s="923"/>
      <c r="S2" s="923"/>
      <c r="T2" s="923"/>
      <c r="U2" s="923"/>
      <c r="V2" s="923"/>
      <c r="W2" s="923"/>
      <c r="X2" s="923"/>
      <c r="Y2" s="923"/>
      <c r="Z2" s="923"/>
      <c r="AA2" s="923"/>
      <c r="AB2" s="923"/>
      <c r="AC2" s="923"/>
      <c r="AD2" s="923"/>
      <c r="AE2" s="923"/>
      <c r="AF2" s="923"/>
      <c r="AG2" s="923"/>
      <c r="AH2" s="923"/>
      <c r="AI2" s="923"/>
      <c r="AJ2" s="923"/>
      <c r="AK2" s="923"/>
    </row>
    <row r="3" ht="13.5" customHeight="1">
      <c r="A3" s="923"/>
      <c r="B3" s="923"/>
      <c r="C3" s="923"/>
      <c r="D3" s="923"/>
      <c r="E3" s="923"/>
      <c r="F3" s="923"/>
      <c r="G3" s="923"/>
      <c r="H3" s="923"/>
      <c r="I3" s="923"/>
      <c r="J3" s="1068">
        <v>44136</v>
      </c>
      <c r="K3" s="1069"/>
      <c r="L3" s="1070"/>
      <c r="M3" s="1071"/>
      <c r="N3" s="1071"/>
      <c r="O3" s="1072"/>
      <c r="P3" s="1067"/>
      <c r="Q3" s="1073">
        <v>44022</v>
      </c>
      <c r="R3" s="1074"/>
      <c r="S3" s="1074"/>
      <c r="T3" s="1074"/>
      <c r="U3" s="1074"/>
      <c r="V3" s="1074"/>
      <c r="W3" s="1074"/>
      <c r="X3" s="1074"/>
      <c r="Y3" s="923"/>
      <c r="Z3" s="923"/>
      <c r="AA3" s="923"/>
      <c r="AB3" s="923"/>
      <c r="AC3" s="923"/>
      <c r="AD3" s="923"/>
      <c r="AE3" s="923"/>
      <c r="AF3" s="1068">
        <v>44415</v>
      </c>
      <c r="AG3" s="1069"/>
      <c r="AH3" s="1070"/>
      <c r="AI3" s="1071"/>
      <c r="AJ3" s="1071"/>
      <c r="AK3" s="1072"/>
    </row>
    <row r="4" ht="54.75" customHeight="1">
      <c r="A4" s="923"/>
      <c r="B4" s="923"/>
      <c r="C4" s="923"/>
      <c r="D4" s="923"/>
      <c r="E4" s="923"/>
      <c r="F4" s="923"/>
      <c r="G4" s="923"/>
      <c r="H4" s="923"/>
      <c r="I4" s="1075"/>
      <c r="J4" t="s" s="1076">
        <v>378</v>
      </c>
      <c r="K4" t="s" s="1077">
        <v>379</v>
      </c>
      <c r="L4" t="s" s="1078">
        <v>380</v>
      </c>
      <c r="M4" s="1079"/>
      <c r="N4" s="1080"/>
      <c r="O4" t="s" s="1077">
        <v>381</v>
      </c>
      <c r="P4" s="1081"/>
      <c r="Q4" t="s" s="1076">
        <v>382</v>
      </c>
      <c r="R4" t="s" s="1077">
        <v>379</v>
      </c>
      <c r="S4" t="str" s="1082" cm="1">
        <f t="array" ref="S4">U4</f>
        <v>VALOR DE MASA CONVENCIONAL</v>
      </c>
      <c r="T4" t="s" s="1077">
        <v>381</v>
      </c>
      <c r="U4" t="s" s="1078">
        <v>380</v>
      </c>
      <c r="V4" s="1079"/>
      <c r="W4" s="1080"/>
      <c r="X4" t="s" s="1077">
        <v>381</v>
      </c>
      <c r="Y4" s="1083"/>
      <c r="Z4" s="923"/>
      <c r="AA4" s="1074"/>
      <c r="AB4" s="1074"/>
      <c r="AC4" s="1074"/>
      <c r="AD4" s="1074"/>
      <c r="AE4" s="1075"/>
      <c r="AF4" t="s" s="1076">
        <v>384</v>
      </c>
      <c r="AG4" t="s" s="1077">
        <v>379</v>
      </c>
      <c r="AH4" t="s" s="1078">
        <v>380</v>
      </c>
      <c r="AI4" s="1079"/>
      <c r="AJ4" s="1080"/>
      <c r="AK4" t="s" s="1077">
        <v>381</v>
      </c>
    </row>
    <row r="5" ht="18.75" customHeight="1">
      <c r="A5" s="923"/>
      <c r="B5" s="923"/>
      <c r="C5" s="923"/>
      <c r="D5" s="923"/>
      <c r="E5" s="923"/>
      <c r="F5" s="923"/>
      <c r="G5" s="923"/>
      <c r="H5" s="923"/>
      <c r="I5" s="1084"/>
      <c r="J5" s="1085"/>
      <c r="K5" t="s" s="1086">
        <v>86</v>
      </c>
      <c r="L5" s="1087"/>
      <c r="M5" t="s" s="1088">
        <v>86</v>
      </c>
      <c r="N5" s="1089"/>
      <c r="O5" t="s" s="1086">
        <v>86</v>
      </c>
      <c r="P5" s="1090"/>
      <c r="Q5" t="s" s="1091">
        <v>385</v>
      </c>
      <c r="R5" t="s" s="1086">
        <v>86</v>
      </c>
      <c r="S5" s="1085"/>
      <c r="T5" s="1085"/>
      <c r="U5" s="1087"/>
      <c r="V5" t="s" s="1088">
        <v>86</v>
      </c>
      <c r="W5" s="1089"/>
      <c r="X5" t="s" s="1086">
        <v>86</v>
      </c>
      <c r="Y5" s="1092"/>
      <c r="Z5" s="1093"/>
      <c r="AA5" s="1094"/>
      <c r="AB5" s="1095"/>
      <c r="AC5" s="1095"/>
      <c r="AD5" s="1096"/>
      <c r="AE5" s="1097"/>
      <c r="AF5" s="1085"/>
      <c r="AG5" t="s" s="1086">
        <v>86</v>
      </c>
      <c r="AH5" s="1087"/>
      <c r="AI5" t="s" s="1088">
        <v>86</v>
      </c>
      <c r="AJ5" s="1089"/>
      <c r="AK5" t="s" s="1086">
        <v>86</v>
      </c>
    </row>
    <row r="6" ht="13.5" customHeight="1">
      <c r="A6" s="923"/>
      <c r="B6" s="923"/>
      <c r="C6" s="923"/>
      <c r="D6" s="923"/>
      <c r="E6" s="923"/>
      <c r="F6" s="923"/>
      <c r="G6" s="923"/>
      <c r="H6" s="923"/>
      <c r="I6" s="1084"/>
      <c r="J6" t="s" s="1086">
        <v>386</v>
      </c>
      <c r="K6" s="1098">
        <v>1</v>
      </c>
      <c r="L6" s="1099">
        <v>1</v>
      </c>
      <c r="M6" t="s" s="1100">
        <v>387</v>
      </c>
      <c r="N6" s="1101">
        <v>1.1e-05</v>
      </c>
      <c r="O6" s="1102">
        <v>1e-05</v>
      </c>
      <c r="P6" s="1090"/>
      <c r="Q6" s="1103">
        <v>1</v>
      </c>
      <c r="R6" s="1104">
        <v>20000</v>
      </c>
      <c r="S6" s="1105" cm="1">
        <f t="array" ref="S6">U6+W6</f>
        <v>20000.36</v>
      </c>
      <c r="T6" s="1103" cm="1">
        <f t="array" ref="T6">X6</f>
        <v>0.33</v>
      </c>
      <c r="U6" s="1106">
        <v>20000</v>
      </c>
      <c r="V6" t="s" s="1100">
        <v>387</v>
      </c>
      <c r="W6" s="1107">
        <v>0.36</v>
      </c>
      <c r="X6" s="1108">
        <v>0.33</v>
      </c>
      <c r="Y6" s="1109"/>
      <c r="Z6" s="1110"/>
      <c r="AA6" s="1111"/>
      <c r="AB6" s="1111"/>
      <c r="AC6" s="1111"/>
      <c r="AD6" s="1112"/>
      <c r="AE6" s="1097"/>
      <c r="AF6" t="s" s="1086">
        <v>388</v>
      </c>
      <c r="AG6" s="1098">
        <v>0.1</v>
      </c>
      <c r="AH6" s="1113">
        <v>0.1</v>
      </c>
      <c r="AI6" t="s" s="1100">
        <v>387</v>
      </c>
      <c r="AJ6" s="1101">
        <v>8e-06</v>
      </c>
      <c r="AK6" s="1102">
        <v>1.7e-05</v>
      </c>
    </row>
    <row r="7" ht="13.5" customHeight="1">
      <c r="A7" s="923"/>
      <c r="B7" s="923"/>
      <c r="C7" s="923"/>
      <c r="D7" s="923"/>
      <c r="E7" s="923"/>
      <c r="F7" s="923"/>
      <c r="G7" s="923"/>
      <c r="H7" s="923"/>
      <c r="I7" s="1084"/>
      <c r="J7" t="s" s="1086">
        <v>389</v>
      </c>
      <c r="K7" s="1114">
        <v>2</v>
      </c>
      <c r="L7" s="1115">
        <v>2</v>
      </c>
      <c r="M7" t="s" s="1116">
        <v>387</v>
      </c>
      <c r="N7" s="1117">
        <v>2e-06</v>
      </c>
      <c r="O7" s="1118">
        <v>1.3e-05</v>
      </c>
      <c r="P7" s="1090"/>
      <c r="Q7" s="1103">
        <v>2</v>
      </c>
      <c r="R7" s="1119">
        <v>20000</v>
      </c>
      <c r="S7" s="1105" cm="1">
        <f t="array" ref="S7">U7+W7</f>
        <v>20000.38</v>
      </c>
      <c r="T7" s="1103" cm="1">
        <f t="array" ref="T7">X7</f>
        <v>0.33</v>
      </c>
      <c r="U7" s="1120">
        <v>20000</v>
      </c>
      <c r="V7" t="s" s="1116">
        <v>387</v>
      </c>
      <c r="W7" s="1121">
        <v>0.38</v>
      </c>
      <c r="X7" s="1122">
        <v>0.33</v>
      </c>
      <c r="Y7" s="1123"/>
      <c r="Z7" s="1110"/>
      <c r="AA7" t="s" s="1124">
        <v>390</v>
      </c>
      <c r="AB7" t="s" s="1124">
        <v>391</v>
      </c>
      <c r="AC7" s="1125"/>
      <c r="AD7" s="1125"/>
      <c r="AE7" s="1097"/>
      <c r="AF7" t="s" s="1086">
        <v>392</v>
      </c>
      <c r="AG7" s="1114">
        <v>0.2</v>
      </c>
      <c r="AH7" s="1126">
        <v>0.2</v>
      </c>
      <c r="AI7" t="s" s="1116">
        <v>387</v>
      </c>
      <c r="AJ7" s="1117">
        <v>2.1e-05</v>
      </c>
      <c r="AK7" s="1118">
        <v>2e-05</v>
      </c>
    </row>
    <row r="8" ht="13.5" customHeight="1">
      <c r="A8" s="923"/>
      <c r="B8" s="923"/>
      <c r="C8" s="923"/>
      <c r="D8" s="923"/>
      <c r="E8" s="923"/>
      <c r="F8" s="923"/>
      <c r="G8" s="923"/>
      <c r="H8" s="923"/>
      <c r="I8" s="1084"/>
      <c r="J8" t="s" s="1086">
        <v>393</v>
      </c>
      <c r="K8" s="1114">
        <v>2</v>
      </c>
      <c r="L8" s="1115">
        <v>2</v>
      </c>
      <c r="M8" t="s" s="1116">
        <v>387</v>
      </c>
      <c r="N8" s="1117">
        <v>5e-06</v>
      </c>
      <c r="O8" s="1118">
        <v>1.3e-05</v>
      </c>
      <c r="P8" s="1090"/>
      <c r="Q8" s="1103">
        <v>3</v>
      </c>
      <c r="R8" s="1119">
        <v>20000</v>
      </c>
      <c r="S8" s="1105" cm="1">
        <f t="array" ref="S8">U8+W8</f>
        <v>20000.39</v>
      </c>
      <c r="T8" s="1103" cm="1">
        <f t="array" ref="T8">X8</f>
        <v>0.33</v>
      </c>
      <c r="U8" s="1120">
        <v>20000</v>
      </c>
      <c r="V8" t="s" s="1116">
        <v>387</v>
      </c>
      <c r="W8" s="1121">
        <v>0.39</v>
      </c>
      <c r="X8" s="1122">
        <v>0.33</v>
      </c>
      <c r="Y8" s="1127"/>
      <c r="Z8" s="1128">
        <v>1</v>
      </c>
      <c r="AA8" s="1129" cm="1">
        <f t="array" ref="AA8">L6+N6</f>
        <v>1.000011</v>
      </c>
      <c r="AB8" s="1129" cm="1">
        <f t="array" ref="AB8">O6</f>
        <v>1e-05</v>
      </c>
      <c r="AC8" s="1130"/>
      <c r="AD8" s="1131"/>
      <c r="AE8" s="1097"/>
      <c r="AF8" t="s" s="1086">
        <v>394</v>
      </c>
      <c r="AG8" s="1114">
        <v>0.2</v>
      </c>
      <c r="AH8" s="1126">
        <v>0.2</v>
      </c>
      <c r="AI8" t="s" s="1116">
        <v>387</v>
      </c>
      <c r="AJ8" s="1117">
        <v>9e-06</v>
      </c>
      <c r="AK8" s="1118">
        <v>2e-05</v>
      </c>
    </row>
    <row r="9" ht="13.5" customHeight="1">
      <c r="A9" s="923"/>
      <c r="B9" s="923"/>
      <c r="C9" s="923"/>
      <c r="D9" s="923"/>
      <c r="E9" s="923"/>
      <c r="F9" s="923"/>
      <c r="G9" s="923"/>
      <c r="H9" s="923"/>
      <c r="I9" s="1084"/>
      <c r="J9" t="s" s="1086">
        <v>395</v>
      </c>
      <c r="K9" s="1114">
        <v>5</v>
      </c>
      <c r="L9" s="1115">
        <v>5</v>
      </c>
      <c r="M9" t="s" s="1116">
        <v>387</v>
      </c>
      <c r="N9" s="1117">
        <v>1.6e-05</v>
      </c>
      <c r="O9" s="1118">
        <v>1.7e-05</v>
      </c>
      <c r="P9" s="1090"/>
      <c r="Q9" s="1103">
        <v>4</v>
      </c>
      <c r="R9" s="1119">
        <v>20000</v>
      </c>
      <c r="S9" s="1105" cm="1">
        <f t="array" ref="S9">U9+W9</f>
        <v>20000.39</v>
      </c>
      <c r="T9" s="1103" cm="1">
        <f t="array" ref="T9">X9</f>
        <v>0.33</v>
      </c>
      <c r="U9" s="1120">
        <v>20000</v>
      </c>
      <c r="V9" t="s" s="1116">
        <v>387</v>
      </c>
      <c r="W9" s="1121">
        <v>0.39</v>
      </c>
      <c r="X9" s="1122">
        <v>0.33</v>
      </c>
      <c r="Y9" s="1127"/>
      <c r="Z9" s="1114">
        <v>2</v>
      </c>
      <c r="AA9" s="1129" cm="1">
        <f t="array" ref="AA9">L7+N7</f>
        <v>2.000002</v>
      </c>
      <c r="AB9" s="1129" cm="1">
        <f t="array" ref="AB9">O7</f>
        <v>1.3e-05</v>
      </c>
      <c r="AC9" s="1130"/>
      <c r="AD9" s="1131"/>
      <c r="AE9" s="1097"/>
      <c r="AF9" t="s" s="1086">
        <v>396</v>
      </c>
      <c r="AG9" s="1114">
        <v>0.5</v>
      </c>
      <c r="AH9" s="1126">
        <v>0.5</v>
      </c>
      <c r="AI9" t="s" s="1116">
        <v>387</v>
      </c>
      <c r="AJ9" s="1117">
        <v>3e-06</v>
      </c>
      <c r="AK9" s="1118">
        <v>2.7e-05</v>
      </c>
    </row>
    <row r="10" ht="13.5" customHeight="1">
      <c r="A10" s="923"/>
      <c r="B10" s="923"/>
      <c r="C10" s="923"/>
      <c r="D10" s="923"/>
      <c r="E10" s="923"/>
      <c r="F10" s="923"/>
      <c r="G10" s="923"/>
      <c r="H10" s="923"/>
      <c r="I10" s="1084"/>
      <c r="J10" t="s" s="1086">
        <v>397</v>
      </c>
      <c r="K10" s="1114">
        <v>10</v>
      </c>
      <c r="L10" s="1115">
        <v>10</v>
      </c>
      <c r="M10" t="s" s="1116">
        <v>387</v>
      </c>
      <c r="N10" s="1117">
        <v>6e-06</v>
      </c>
      <c r="O10" s="1118">
        <v>2e-05</v>
      </c>
      <c r="P10" s="1090"/>
      <c r="Q10" s="1103">
        <v>5</v>
      </c>
      <c r="R10" s="1119">
        <v>20000</v>
      </c>
      <c r="S10" s="1105" cm="1">
        <f t="array" ref="S10">U10+W10</f>
        <v>20000.31</v>
      </c>
      <c r="T10" s="1103" cm="1">
        <f t="array" ref="T10">X10</f>
        <v>0.33</v>
      </c>
      <c r="U10" s="1120">
        <v>20000</v>
      </c>
      <c r="V10" t="s" s="1116">
        <v>387</v>
      </c>
      <c r="W10" s="1121">
        <v>0.31</v>
      </c>
      <c r="X10" s="1122">
        <v>0.33</v>
      </c>
      <c r="Y10" s="1127"/>
      <c r="Z10" s="1114">
        <v>2</v>
      </c>
      <c r="AA10" s="1129" cm="1">
        <f t="array" ref="AA10">L8+N8</f>
        <v>2.000005</v>
      </c>
      <c r="AB10" s="1129" cm="1">
        <f t="array" ref="AB10">O8</f>
        <v>1.3e-05</v>
      </c>
      <c r="AC10" s="1130"/>
      <c r="AD10" s="1131"/>
      <c r="AE10" s="1097"/>
      <c r="AF10" t="s" s="1086">
        <v>386</v>
      </c>
      <c r="AG10" s="1114">
        <v>1</v>
      </c>
      <c r="AH10" s="1115">
        <v>1</v>
      </c>
      <c r="AI10" t="s" s="1116">
        <v>387</v>
      </c>
      <c r="AJ10" s="1117">
        <v>0.000119</v>
      </c>
      <c r="AK10" s="1118">
        <v>3.3e-05</v>
      </c>
    </row>
    <row r="11" ht="13.5" customHeight="1">
      <c r="A11" s="923"/>
      <c r="B11" s="923"/>
      <c r="C11" s="923"/>
      <c r="D11" s="923"/>
      <c r="E11" s="923"/>
      <c r="F11" s="923"/>
      <c r="G11" s="923"/>
      <c r="H11" s="923"/>
      <c r="I11" s="1084"/>
      <c r="J11" t="s" s="1086">
        <v>398</v>
      </c>
      <c r="K11" s="1114">
        <v>20</v>
      </c>
      <c r="L11" s="1115">
        <v>20</v>
      </c>
      <c r="M11" t="s" s="1116">
        <v>387</v>
      </c>
      <c r="N11" s="1117">
        <v>1e-06</v>
      </c>
      <c r="O11" s="1118">
        <v>2.7e-05</v>
      </c>
      <c r="P11" s="1090"/>
      <c r="Q11" s="1103">
        <v>6</v>
      </c>
      <c r="R11" s="1119">
        <v>20000</v>
      </c>
      <c r="S11" s="1105" cm="1">
        <f t="array" ref="S11">U11+W11</f>
        <v>20000.36</v>
      </c>
      <c r="T11" s="1103" cm="1">
        <f t="array" ref="T11">X11</f>
        <v>0.33</v>
      </c>
      <c r="U11" s="1120">
        <v>20000</v>
      </c>
      <c r="V11" t="s" s="1116">
        <v>387</v>
      </c>
      <c r="W11" s="1121">
        <v>0.36</v>
      </c>
      <c r="X11" s="1122">
        <v>0.33</v>
      </c>
      <c r="Y11" s="1127"/>
      <c r="Z11" s="1114">
        <v>5</v>
      </c>
      <c r="AA11" s="1129" cm="1">
        <f t="array" ref="AA11">L9+N9</f>
        <v>5.000016</v>
      </c>
      <c r="AB11" s="1129" cm="1">
        <f t="array" ref="AB11">O9</f>
        <v>1.7e-05</v>
      </c>
      <c r="AC11" s="1130"/>
      <c r="AD11" s="1131"/>
      <c r="AE11" s="1097"/>
      <c r="AF11" t="s" s="1086">
        <v>389</v>
      </c>
      <c r="AG11" s="1114">
        <v>2</v>
      </c>
      <c r="AH11" s="1115">
        <v>2</v>
      </c>
      <c r="AI11" t="s" s="1116">
        <v>387</v>
      </c>
      <c r="AJ11" s="1117">
        <v>2.4e-05</v>
      </c>
      <c r="AK11" s="1118">
        <v>4e-05</v>
      </c>
    </row>
    <row r="12" ht="13.5" customHeight="1">
      <c r="A12" s="923"/>
      <c r="B12" s="923"/>
      <c r="C12" s="923"/>
      <c r="D12" s="923"/>
      <c r="E12" s="923"/>
      <c r="F12" s="923"/>
      <c r="G12" s="923"/>
      <c r="H12" s="923"/>
      <c r="I12" s="1084"/>
      <c r="J12" t="s" s="1086">
        <v>399</v>
      </c>
      <c r="K12" s="1114">
        <v>20</v>
      </c>
      <c r="L12" s="1115">
        <v>20</v>
      </c>
      <c r="M12" t="s" s="1116">
        <v>387</v>
      </c>
      <c r="N12" s="1117">
        <v>0.000149</v>
      </c>
      <c r="O12" s="1118">
        <v>2.7e-05</v>
      </c>
      <c r="P12" s="1090"/>
      <c r="Q12" s="1103">
        <v>7</v>
      </c>
      <c r="R12" s="1119">
        <v>20000</v>
      </c>
      <c r="S12" s="1105" cm="1">
        <f t="array" ref="S12">U12+W12</f>
        <v>20000.37</v>
      </c>
      <c r="T12" s="1103" cm="1">
        <f t="array" ref="T12">X12</f>
        <v>0.33</v>
      </c>
      <c r="U12" s="1120">
        <v>20000</v>
      </c>
      <c r="V12" t="s" s="1116">
        <v>387</v>
      </c>
      <c r="W12" s="1121">
        <v>0.37</v>
      </c>
      <c r="X12" s="1122">
        <v>0.33</v>
      </c>
      <c r="Y12" s="1127"/>
      <c r="Z12" s="1114">
        <v>10</v>
      </c>
      <c r="AA12" s="1129" cm="1">
        <f t="array" ref="AA12">L10+N10</f>
        <v>10.000006</v>
      </c>
      <c r="AB12" s="1129" cm="1">
        <f t="array" ref="AB12">O10</f>
        <v>2e-05</v>
      </c>
      <c r="AC12" s="1130"/>
      <c r="AD12" s="1131"/>
      <c r="AE12" s="1097"/>
      <c r="AF12" t="s" s="1086">
        <v>393</v>
      </c>
      <c r="AG12" s="1114">
        <v>2</v>
      </c>
      <c r="AH12" s="1115">
        <v>2</v>
      </c>
      <c r="AI12" t="s" s="1116">
        <v>387</v>
      </c>
      <c r="AJ12" s="1117">
        <v>2.5e-05</v>
      </c>
      <c r="AK12" s="1118">
        <v>4e-05</v>
      </c>
    </row>
    <row r="13" ht="13.5" customHeight="1">
      <c r="A13" s="923"/>
      <c r="B13" s="923"/>
      <c r="C13" s="923"/>
      <c r="D13" s="923"/>
      <c r="E13" s="923"/>
      <c r="F13" s="923"/>
      <c r="G13" s="923"/>
      <c r="H13" s="923"/>
      <c r="I13" s="1084"/>
      <c r="J13" t="s" s="1086">
        <v>400</v>
      </c>
      <c r="K13" s="1114">
        <v>50</v>
      </c>
      <c r="L13" s="1115">
        <v>50</v>
      </c>
      <c r="M13" t="s" s="1116">
        <v>387</v>
      </c>
      <c r="N13" s="1117">
        <v>2.3e-05</v>
      </c>
      <c r="O13" s="1118">
        <v>3.3e-05</v>
      </c>
      <c r="P13" s="1090"/>
      <c r="Q13" s="1103">
        <v>8</v>
      </c>
      <c r="R13" s="1119">
        <v>20000</v>
      </c>
      <c r="S13" s="1105" cm="1">
        <f t="array" ref="S13">U13+W13</f>
        <v>20000.37</v>
      </c>
      <c r="T13" s="1103" cm="1">
        <f t="array" ref="T13">X13</f>
        <v>0.33</v>
      </c>
      <c r="U13" s="1120">
        <v>20000</v>
      </c>
      <c r="V13" t="s" s="1116">
        <v>387</v>
      </c>
      <c r="W13" s="1121">
        <v>0.37</v>
      </c>
      <c r="X13" s="1122">
        <v>0.33</v>
      </c>
      <c r="Y13" s="1127"/>
      <c r="Z13" s="1114">
        <v>20</v>
      </c>
      <c r="AA13" s="1129" cm="1">
        <f t="array" ref="AA13">L11+N11</f>
        <v>20.000001</v>
      </c>
      <c r="AB13" s="1129" cm="1">
        <f t="array" ref="AB13">O11</f>
        <v>2.7e-05</v>
      </c>
      <c r="AC13" s="1130"/>
      <c r="AD13" s="1131"/>
      <c r="AE13" s="1097"/>
      <c r="AF13" t="s" s="1086">
        <v>395</v>
      </c>
      <c r="AG13" s="1114">
        <v>5</v>
      </c>
      <c r="AH13" s="1115">
        <v>5</v>
      </c>
      <c r="AI13" t="s" s="1116">
        <v>387</v>
      </c>
      <c r="AJ13" s="1117">
        <v>2e-05</v>
      </c>
      <c r="AK13" s="1118">
        <v>5.3e-05</v>
      </c>
    </row>
    <row r="14" ht="13.5" customHeight="1">
      <c r="A14" s="923"/>
      <c r="B14" s="923"/>
      <c r="C14" s="923"/>
      <c r="D14" s="923"/>
      <c r="E14" s="923"/>
      <c r="F14" s="923"/>
      <c r="G14" s="923"/>
      <c r="H14" s="923"/>
      <c r="I14" s="1084"/>
      <c r="J14" t="s" s="1086">
        <v>401</v>
      </c>
      <c r="K14" s="1114">
        <v>100</v>
      </c>
      <c r="L14" s="1115">
        <v>100</v>
      </c>
      <c r="M14" t="s" s="1116">
        <v>387</v>
      </c>
      <c r="N14" s="1117">
        <v>0.000121</v>
      </c>
      <c r="O14" s="1118">
        <v>5.3e-05</v>
      </c>
      <c r="P14" s="1090"/>
      <c r="Q14" s="1103">
        <v>9</v>
      </c>
      <c r="R14" s="1119">
        <v>20000</v>
      </c>
      <c r="S14" s="1105" cm="1">
        <f t="array" ref="S14">U14+W14</f>
        <v>20000.28</v>
      </c>
      <c r="T14" s="1103" cm="1">
        <f t="array" ref="T14">X14</f>
        <v>0.33</v>
      </c>
      <c r="U14" s="1120">
        <v>20000</v>
      </c>
      <c r="V14" t="s" s="1116">
        <v>387</v>
      </c>
      <c r="W14" s="1121">
        <v>0.28</v>
      </c>
      <c r="X14" s="1122">
        <v>0.33</v>
      </c>
      <c r="Y14" s="1127"/>
      <c r="Z14" s="1114">
        <v>20</v>
      </c>
      <c r="AA14" s="1129" cm="1">
        <f t="array" ref="AA14">L12+N12</f>
        <v>20.000149</v>
      </c>
      <c r="AB14" s="1129" cm="1">
        <f t="array" ref="AB14">O12</f>
        <v>2.7e-05</v>
      </c>
      <c r="AC14" s="1130"/>
      <c r="AD14" s="1131"/>
      <c r="AE14" s="1097"/>
      <c r="AF14" t="s" s="1086">
        <v>397</v>
      </c>
      <c r="AG14" s="1114">
        <v>10</v>
      </c>
      <c r="AH14" s="1115">
        <v>10</v>
      </c>
      <c r="AI14" t="s" s="1116">
        <v>387</v>
      </c>
      <c r="AJ14" s="1117">
        <v>9.7e-05</v>
      </c>
      <c r="AK14" s="1118">
        <v>6.7e-05</v>
      </c>
    </row>
    <row r="15" ht="13.5" customHeight="1">
      <c r="A15" s="923"/>
      <c r="B15" s="923"/>
      <c r="C15" s="923"/>
      <c r="D15" s="923"/>
      <c r="E15" s="923"/>
      <c r="F15" s="923"/>
      <c r="G15" s="923"/>
      <c r="H15" s="923"/>
      <c r="I15" s="1084"/>
      <c r="J15" t="s" s="1086">
        <v>402</v>
      </c>
      <c r="K15" s="1114">
        <v>200</v>
      </c>
      <c r="L15" s="1115">
        <v>200</v>
      </c>
      <c r="M15" t="s" s="1116">
        <v>387</v>
      </c>
      <c r="N15" s="1117">
        <v>0.0005</v>
      </c>
      <c r="O15" s="1118">
        <v>0.0001</v>
      </c>
      <c r="P15" s="1090"/>
      <c r="Q15" s="1103">
        <v>10</v>
      </c>
      <c r="R15" s="1119">
        <v>20000</v>
      </c>
      <c r="S15" s="1105" cm="1">
        <f t="array" ref="S15">U15+W15</f>
        <v>20000.36</v>
      </c>
      <c r="T15" s="1103" cm="1">
        <f t="array" ref="T15">X15</f>
        <v>0.33</v>
      </c>
      <c r="U15" s="1120">
        <v>20000</v>
      </c>
      <c r="V15" t="s" s="1116">
        <v>387</v>
      </c>
      <c r="W15" s="1121">
        <v>0.36</v>
      </c>
      <c r="X15" s="1122">
        <v>0.33</v>
      </c>
      <c r="Y15" s="1127"/>
      <c r="Z15" s="1114">
        <v>50</v>
      </c>
      <c r="AA15" s="1129" cm="1">
        <f t="array" ref="AA15">L13+N13</f>
        <v>50.000023</v>
      </c>
      <c r="AB15" s="1129" cm="1">
        <f t="array" ref="AB15">O13</f>
        <v>3.3e-05</v>
      </c>
      <c r="AC15" s="1130"/>
      <c r="AD15" s="1131"/>
      <c r="AE15" s="1097"/>
      <c r="AF15" t="s" s="1086">
        <v>398</v>
      </c>
      <c r="AG15" s="1114">
        <v>20</v>
      </c>
      <c r="AH15" s="1115">
        <v>20</v>
      </c>
      <c r="AI15" t="s" s="1116">
        <v>387</v>
      </c>
      <c r="AJ15" s="1117">
        <v>1.4e-05</v>
      </c>
      <c r="AK15" s="1118">
        <v>8.3e-05</v>
      </c>
    </row>
    <row r="16" ht="13.5" customHeight="1">
      <c r="A16" s="923"/>
      <c r="B16" s="923"/>
      <c r="C16" s="923"/>
      <c r="D16" s="923"/>
      <c r="E16" s="923"/>
      <c r="F16" s="923"/>
      <c r="G16" s="923"/>
      <c r="H16" s="923"/>
      <c r="I16" s="1084"/>
      <c r="J16" t="s" s="1086">
        <v>402</v>
      </c>
      <c r="K16" s="1114">
        <v>200</v>
      </c>
      <c r="L16" s="1115">
        <v>200</v>
      </c>
      <c r="M16" t="s" s="1116">
        <v>387</v>
      </c>
      <c r="N16" s="1117">
        <v>0.00038</v>
      </c>
      <c r="O16" s="1118">
        <v>0.0001</v>
      </c>
      <c r="P16" s="1090"/>
      <c r="Q16" s="1103">
        <v>11</v>
      </c>
      <c r="R16" s="1119">
        <v>20000</v>
      </c>
      <c r="S16" s="1105" cm="1">
        <f t="array" ref="S16">U16+W16</f>
        <v>20000.37</v>
      </c>
      <c r="T16" s="1103" cm="1">
        <f t="array" ref="T16">X16</f>
        <v>0.33</v>
      </c>
      <c r="U16" s="1120">
        <v>20000</v>
      </c>
      <c r="V16" t="s" s="1116">
        <v>387</v>
      </c>
      <c r="W16" s="1121">
        <v>0.37</v>
      </c>
      <c r="X16" s="1122">
        <v>0.33</v>
      </c>
      <c r="Y16" s="1127"/>
      <c r="Z16" s="1114" cm="1">
        <f t="array" ref="Z16">Z15+Z12+Z13</f>
        <v>80</v>
      </c>
      <c r="AA16" s="1129" cm="1">
        <f t="array" ref="AA16">AA15+AA13+AA12</f>
        <v>80.00003</v>
      </c>
      <c r="AB16" s="1129" cm="1">
        <f t="array" ref="AB16">SQRT(AB15^2+AB13^2+AB12^2)</f>
        <v>4.70956473572665e-05</v>
      </c>
      <c r="AC16" s="1130"/>
      <c r="AD16" s="1131"/>
      <c r="AE16" s="1097"/>
      <c r="AF16" t="s" s="1086">
        <v>399</v>
      </c>
      <c r="AG16" s="1114">
        <v>20</v>
      </c>
      <c r="AH16" s="1115">
        <v>20</v>
      </c>
      <c r="AI16" t="s" s="1116">
        <v>387</v>
      </c>
      <c r="AJ16" s="1117">
        <v>2.8e-05</v>
      </c>
      <c r="AK16" s="1118">
        <v>8.3e-05</v>
      </c>
    </row>
    <row r="17" ht="13.5" customHeight="1">
      <c r="A17" s="923"/>
      <c r="B17" s="923"/>
      <c r="C17" s="923"/>
      <c r="D17" s="923"/>
      <c r="E17" s="923"/>
      <c r="F17" s="923"/>
      <c r="G17" s="923"/>
      <c r="H17" s="923"/>
      <c r="I17" s="1084"/>
      <c r="J17" t="s" s="1086">
        <v>403</v>
      </c>
      <c r="K17" s="1114">
        <v>500</v>
      </c>
      <c r="L17" s="1115">
        <v>500</v>
      </c>
      <c r="M17" t="s" s="1116">
        <v>387</v>
      </c>
      <c r="N17" s="1117">
        <v>0.00016</v>
      </c>
      <c r="O17" s="1118">
        <v>0.00027</v>
      </c>
      <c r="P17" s="1090"/>
      <c r="Q17" s="1103">
        <v>12</v>
      </c>
      <c r="R17" s="1119">
        <v>20000</v>
      </c>
      <c r="S17" s="1105" cm="1">
        <f t="array" ref="S17">U17+W17</f>
        <v>20000.31</v>
      </c>
      <c r="T17" s="1103" cm="1">
        <f t="array" ref="T17">X17</f>
        <v>0.33</v>
      </c>
      <c r="U17" s="1120">
        <v>20000</v>
      </c>
      <c r="V17" t="s" s="1116">
        <v>387</v>
      </c>
      <c r="W17" s="1121">
        <v>0.31</v>
      </c>
      <c r="X17" s="1122">
        <v>0.33</v>
      </c>
      <c r="Y17" s="1132"/>
      <c r="Z17" s="1114">
        <v>100</v>
      </c>
      <c r="AA17" s="1129" cm="1">
        <f t="array" ref="AA17">L14+N14</f>
        <v>100.000121</v>
      </c>
      <c r="AB17" s="1129" cm="1">
        <f t="array" ref="AB17">O14</f>
        <v>5.3e-05</v>
      </c>
      <c r="AC17" s="1133"/>
      <c r="AD17" s="1134"/>
      <c r="AE17" s="1084"/>
      <c r="AF17" t="s" s="1086">
        <v>400</v>
      </c>
      <c r="AG17" s="1114">
        <v>50</v>
      </c>
      <c r="AH17" s="1115">
        <v>50</v>
      </c>
      <c r="AI17" t="s" s="1116">
        <v>387</v>
      </c>
      <c r="AJ17" s="1117">
        <v>0.0006400000000000001</v>
      </c>
      <c r="AK17" s="1118">
        <v>0.0001</v>
      </c>
    </row>
    <row r="18" ht="13.5" customHeight="1">
      <c r="A18" s="923"/>
      <c r="B18" s="923"/>
      <c r="C18" s="923"/>
      <c r="D18" s="923"/>
      <c r="E18" s="923"/>
      <c r="F18" s="923"/>
      <c r="G18" s="923"/>
      <c r="H18" s="923"/>
      <c r="I18" s="1084"/>
      <c r="J18" t="s" s="1086">
        <v>404</v>
      </c>
      <c r="K18" s="1135">
        <v>1000</v>
      </c>
      <c r="L18" s="1136">
        <v>1000</v>
      </c>
      <c r="M18" t="s" s="1116">
        <v>387</v>
      </c>
      <c r="N18" s="1117">
        <v>0.0001</v>
      </c>
      <c r="O18" s="1118">
        <v>0.00053</v>
      </c>
      <c r="P18" s="1090"/>
      <c r="Q18" s="1103">
        <v>13</v>
      </c>
      <c r="R18" s="1119">
        <v>20000</v>
      </c>
      <c r="S18" s="1105" cm="1">
        <f t="array" ref="S18">U18+W18</f>
        <v>20000.38</v>
      </c>
      <c r="T18" s="1103" cm="1">
        <f t="array" ref="T18">X18</f>
        <v>0.33</v>
      </c>
      <c r="U18" s="1120">
        <v>20000</v>
      </c>
      <c r="V18" t="s" s="1116">
        <v>387</v>
      </c>
      <c r="W18" s="1121">
        <v>0.38</v>
      </c>
      <c r="X18" s="1122">
        <v>0.33</v>
      </c>
      <c r="Y18" s="1097"/>
      <c r="Z18" s="1114" cm="1">
        <f t="array" ref="Z18">Z17+Z15</f>
        <v>150</v>
      </c>
      <c r="AA18" s="1129" cm="1">
        <f t="array" ref="AA18">AA17+AA15</f>
        <v>150.000144</v>
      </c>
      <c r="AB18" s="1129" cm="1">
        <f t="array" ref="AB18">SQRT(AB17^2+AB15^2)</f>
        <v>6.24339651151519e-05</v>
      </c>
      <c r="AC18" s="1083"/>
      <c r="AD18" s="923"/>
      <c r="AE18" s="1084"/>
      <c r="AF18" t="s" s="1086">
        <v>401</v>
      </c>
      <c r="AG18" s="1114">
        <v>100</v>
      </c>
      <c r="AH18" s="1115">
        <v>100</v>
      </c>
      <c r="AI18" t="s" s="1116">
        <v>387</v>
      </c>
      <c r="AJ18" s="1117">
        <v>0.00107</v>
      </c>
      <c r="AK18" s="1118">
        <v>0.00017</v>
      </c>
    </row>
    <row r="19" ht="13.5" customHeight="1">
      <c r="A19" s="923"/>
      <c r="B19" s="923"/>
      <c r="C19" s="923"/>
      <c r="D19" s="923"/>
      <c r="E19" s="923"/>
      <c r="F19" s="923"/>
      <c r="G19" s="923"/>
      <c r="H19" s="923"/>
      <c r="I19" s="1084"/>
      <c r="J19" t="s" s="1086">
        <v>405</v>
      </c>
      <c r="K19" s="1135">
        <v>2000</v>
      </c>
      <c r="L19" s="1136">
        <v>2000</v>
      </c>
      <c r="M19" t="s" s="1116">
        <v>387</v>
      </c>
      <c r="N19" s="1117">
        <v>0.0026</v>
      </c>
      <c r="O19" s="1118">
        <v>0.001</v>
      </c>
      <c r="P19" s="1090"/>
      <c r="Q19" s="1103">
        <v>14</v>
      </c>
      <c r="R19" s="1119">
        <v>20000</v>
      </c>
      <c r="S19" s="1105" cm="1">
        <f t="array" ref="S19">U19+W19</f>
        <v>20000.35</v>
      </c>
      <c r="T19" s="1103" cm="1">
        <f t="array" ref="T19">X19</f>
        <v>0.33</v>
      </c>
      <c r="U19" s="1120">
        <v>20000</v>
      </c>
      <c r="V19" t="s" s="1116">
        <v>387</v>
      </c>
      <c r="W19" s="1121">
        <v>0.35</v>
      </c>
      <c r="X19" s="1122">
        <v>0.33</v>
      </c>
      <c r="Y19" s="1097"/>
      <c r="Z19" s="1114">
        <v>200</v>
      </c>
      <c r="AA19" s="1129" cm="1">
        <f t="array" ref="AA19">L15+N15</f>
        <v>200.0005</v>
      </c>
      <c r="AB19" s="1129" cm="1">
        <f t="array" ref="AB19">O15</f>
        <v>0.0001</v>
      </c>
      <c r="AC19" s="1083"/>
      <c r="AD19" s="923"/>
      <c r="AE19" s="1084"/>
      <c r="AF19" t="s" s="1086">
        <v>402</v>
      </c>
      <c r="AG19" s="1114">
        <v>200</v>
      </c>
      <c r="AH19" s="1115">
        <v>200</v>
      </c>
      <c r="AI19" t="s" s="1116">
        <v>387</v>
      </c>
      <c r="AJ19" s="1117">
        <v>0.00129</v>
      </c>
      <c r="AK19" s="1118">
        <v>0.00033</v>
      </c>
    </row>
    <row r="20" ht="13.5" customHeight="1">
      <c r="A20" s="923"/>
      <c r="B20" s="923"/>
      <c r="C20" s="923"/>
      <c r="D20" s="923"/>
      <c r="E20" s="923"/>
      <c r="F20" s="923"/>
      <c r="G20" s="923"/>
      <c r="H20" s="923"/>
      <c r="I20" s="1084"/>
      <c r="J20" t="s" s="1086">
        <v>406</v>
      </c>
      <c r="K20" s="1135">
        <v>2000</v>
      </c>
      <c r="L20" s="1136">
        <v>2000</v>
      </c>
      <c r="M20" t="s" s="1116">
        <v>387</v>
      </c>
      <c r="N20" s="1117">
        <v>0.0015</v>
      </c>
      <c r="O20" s="1118">
        <v>0.001</v>
      </c>
      <c r="P20" s="1090"/>
      <c r="Q20" s="1103">
        <v>15</v>
      </c>
      <c r="R20" s="1119">
        <v>20000</v>
      </c>
      <c r="S20" s="1105" cm="1">
        <f t="array" ref="S20">U20+W20</f>
        <v>20000.35</v>
      </c>
      <c r="T20" s="1103" cm="1">
        <f t="array" ref="T20">X20</f>
        <v>0.33</v>
      </c>
      <c r="U20" s="1120">
        <v>20000</v>
      </c>
      <c r="V20" t="s" s="1116">
        <v>387</v>
      </c>
      <c r="W20" s="1121">
        <v>0.35</v>
      </c>
      <c r="X20" s="1122">
        <v>0.33</v>
      </c>
      <c r="Y20" s="1097"/>
      <c r="Z20" s="1114">
        <v>200</v>
      </c>
      <c r="AA20" s="1129" cm="1">
        <f t="array" ref="AA20">L16+N16</f>
        <v>200.00038</v>
      </c>
      <c r="AB20" s="1129" cm="1">
        <f t="array" ref="AB20">O16</f>
        <v>0.0001</v>
      </c>
      <c r="AC20" s="1083"/>
      <c r="AD20" s="923"/>
      <c r="AE20" s="1084"/>
      <c r="AF20" t="s" s="1086">
        <v>402</v>
      </c>
      <c r="AG20" s="1114">
        <v>200</v>
      </c>
      <c r="AH20" s="1115">
        <v>200</v>
      </c>
      <c r="AI20" t="s" s="1116">
        <v>387</v>
      </c>
      <c r="AJ20" s="1117">
        <v>0.00136</v>
      </c>
      <c r="AK20" s="1118">
        <v>0.00033</v>
      </c>
    </row>
    <row r="21" ht="13.5" customHeight="1">
      <c r="A21" s="923"/>
      <c r="B21" s="923"/>
      <c r="C21" s="923"/>
      <c r="D21" s="923"/>
      <c r="E21" s="923"/>
      <c r="F21" s="923"/>
      <c r="G21" s="923"/>
      <c r="H21" s="923"/>
      <c r="I21" s="1084"/>
      <c r="J21" t="s" s="1086">
        <v>407</v>
      </c>
      <c r="K21" s="1137">
        <v>5000</v>
      </c>
      <c r="L21" s="1138">
        <v>5000</v>
      </c>
      <c r="M21" t="s" s="1139">
        <v>387</v>
      </c>
      <c r="N21" s="1140">
        <v>0.0024</v>
      </c>
      <c r="O21" s="1141">
        <v>0.0027</v>
      </c>
      <c r="P21" s="1090"/>
      <c r="Q21" s="1103">
        <v>16</v>
      </c>
      <c r="R21" s="1119">
        <v>20000</v>
      </c>
      <c r="S21" s="1105" cm="1">
        <f t="array" ref="S21">U21+W21</f>
        <v>20000.36</v>
      </c>
      <c r="T21" s="1103" cm="1">
        <f t="array" ref="T21">X21</f>
        <v>0.33</v>
      </c>
      <c r="U21" s="1120">
        <v>20000</v>
      </c>
      <c r="V21" t="s" s="1116">
        <v>387</v>
      </c>
      <c r="W21" s="1121">
        <v>0.36</v>
      </c>
      <c r="X21" s="1122">
        <v>0.33</v>
      </c>
      <c r="Y21" s="1097"/>
      <c r="Z21" s="1114" cm="1">
        <f t="array" ref="Z21">Z19+Z15</f>
        <v>250</v>
      </c>
      <c r="AA21" s="1129" cm="1">
        <f t="array" ref="AA21">AA19+AA15</f>
        <v>250.000523</v>
      </c>
      <c r="AB21" s="1129" cm="1">
        <f t="array" ref="AB21">SQRT(AB20^2+AB15^2)</f>
        <v>0.000105304320899002</v>
      </c>
      <c r="AC21" s="1083"/>
      <c r="AD21" s="923"/>
      <c r="AE21" s="1084"/>
      <c r="AF21" t="s" s="1086">
        <v>403</v>
      </c>
      <c r="AG21" s="1114">
        <v>500</v>
      </c>
      <c r="AH21" s="1115">
        <v>500</v>
      </c>
      <c r="AI21" t="s" s="1116">
        <v>387</v>
      </c>
      <c r="AJ21" s="1117">
        <v>0.00049</v>
      </c>
      <c r="AK21" s="1118">
        <v>0.00083</v>
      </c>
    </row>
    <row r="22" ht="13.5" customHeight="1">
      <c r="A22" s="923"/>
      <c r="B22" s="923"/>
      <c r="C22" s="923"/>
      <c r="D22" s="923"/>
      <c r="E22" s="923"/>
      <c r="F22" s="923"/>
      <c r="G22" s="923"/>
      <c r="H22" s="923"/>
      <c r="I22" s="923"/>
      <c r="J22" s="1142"/>
      <c r="K22" s="1142"/>
      <c r="L22" s="1142"/>
      <c r="M22" s="1142"/>
      <c r="N22" s="1142"/>
      <c r="O22" s="1142"/>
      <c r="P22" s="1143"/>
      <c r="Q22" s="1103">
        <v>17</v>
      </c>
      <c r="R22" s="1119">
        <v>20000</v>
      </c>
      <c r="S22" s="1105" cm="1">
        <f t="array" ref="S22">U22+W22</f>
        <v>20000.39</v>
      </c>
      <c r="T22" s="1103" cm="1">
        <f t="array" ref="T22">X22</f>
        <v>0.33</v>
      </c>
      <c r="U22" s="1120">
        <v>20000</v>
      </c>
      <c r="V22" t="s" s="1116">
        <v>387</v>
      </c>
      <c r="W22" s="1121">
        <v>0.39</v>
      </c>
      <c r="X22" s="1122">
        <v>0.33</v>
      </c>
      <c r="Y22" s="1097"/>
      <c r="Z22" s="1114" cm="1">
        <f t="array" ref="Z22">Z21+Z17</f>
        <v>350</v>
      </c>
      <c r="AA22" s="1129" cm="1">
        <f t="array" ref="AA22">AA21+AA17</f>
        <v>350.000644</v>
      </c>
      <c r="AB22" s="1129" cm="1">
        <f t="array" ref="AB22">SQRT(AB21^2+AB17^2)</f>
        <v>0.000117889779031093</v>
      </c>
      <c r="AC22" s="1083"/>
      <c r="AD22" s="923"/>
      <c r="AE22" s="1084"/>
      <c r="AF22" t="s" s="1086">
        <v>408</v>
      </c>
      <c r="AG22" s="1135">
        <v>1000</v>
      </c>
      <c r="AH22" s="1136">
        <v>1000</v>
      </c>
      <c r="AI22" t="s" s="1116">
        <v>387</v>
      </c>
      <c r="AJ22" s="1117">
        <v>0.0005999999999999999</v>
      </c>
      <c r="AK22" s="1118">
        <v>0.0017</v>
      </c>
    </row>
    <row r="23" ht="13.5" customHeight="1">
      <c r="A23" s="923"/>
      <c r="B23" s="923"/>
      <c r="C23" s="923"/>
      <c r="D23" s="923"/>
      <c r="E23" s="923"/>
      <c r="F23" s="923"/>
      <c r="G23" s="923"/>
      <c r="H23" s="923"/>
      <c r="I23" s="923"/>
      <c r="J23" s="1067"/>
      <c r="K23" s="1067"/>
      <c r="L23" s="1067"/>
      <c r="M23" s="1067"/>
      <c r="N23" s="1067"/>
      <c r="O23" s="1067"/>
      <c r="P23" s="1143"/>
      <c r="Q23" s="1103">
        <v>18</v>
      </c>
      <c r="R23" s="1119">
        <v>20000</v>
      </c>
      <c r="S23" s="1105" cm="1">
        <f t="array" ref="S23">U23+W23</f>
        <v>20000.35</v>
      </c>
      <c r="T23" s="1103" cm="1">
        <f t="array" ref="T23">X23</f>
        <v>0.33</v>
      </c>
      <c r="U23" s="1120">
        <v>20000</v>
      </c>
      <c r="V23" t="s" s="1116">
        <v>387</v>
      </c>
      <c r="W23" s="1121">
        <v>0.35</v>
      </c>
      <c r="X23" s="1122">
        <v>0.33</v>
      </c>
      <c r="Y23" s="1097"/>
      <c r="Z23" s="1114">
        <v>500</v>
      </c>
      <c r="AA23" s="1129" cm="1">
        <f t="array" ref="AA23">L17+N17</f>
        <v>500.00016</v>
      </c>
      <c r="AB23" s="1129" cm="1">
        <f t="array" ref="AB23">O17</f>
        <v>0.00027</v>
      </c>
      <c r="AC23" s="1083"/>
      <c r="AD23" s="923"/>
      <c r="AE23" s="1084"/>
      <c r="AF23" t="s" s="1086">
        <v>409</v>
      </c>
      <c r="AG23" s="1135">
        <v>1000</v>
      </c>
      <c r="AH23" s="1136">
        <v>1000</v>
      </c>
      <c r="AI23" t="s" s="1116">
        <v>387</v>
      </c>
      <c r="AJ23" s="1117">
        <v>0.0065</v>
      </c>
      <c r="AK23" s="1118">
        <v>0.0017</v>
      </c>
    </row>
    <row r="24" ht="13.5" customHeight="1">
      <c r="A24" s="923"/>
      <c r="B24" s="923"/>
      <c r="C24" s="923"/>
      <c r="D24" s="923"/>
      <c r="E24" s="923"/>
      <c r="F24" s="923"/>
      <c r="G24" s="923"/>
      <c r="H24" s="923"/>
      <c r="I24" s="923"/>
      <c r="J24" s="1067"/>
      <c r="K24" s="1067"/>
      <c r="L24" s="1067"/>
      <c r="M24" s="1067"/>
      <c r="N24" s="1067"/>
      <c r="O24" s="1067"/>
      <c r="P24" s="1143"/>
      <c r="Q24" s="1103">
        <v>19</v>
      </c>
      <c r="R24" s="1119">
        <v>20000</v>
      </c>
      <c r="S24" s="1105" cm="1">
        <f t="array" ref="S24">U24+W24</f>
        <v>20000.34</v>
      </c>
      <c r="T24" s="1103" cm="1">
        <f t="array" ref="T24">X24</f>
        <v>0.33</v>
      </c>
      <c r="U24" s="1120">
        <v>20000</v>
      </c>
      <c r="V24" t="s" s="1116">
        <v>387</v>
      </c>
      <c r="W24" s="1121">
        <v>0.34</v>
      </c>
      <c r="X24" s="1122">
        <v>0.33</v>
      </c>
      <c r="Y24" s="1097"/>
      <c r="Z24" s="1114" cm="1">
        <f t="array" ref="Z24">Z23+Z19+Z17</f>
        <v>800</v>
      </c>
      <c r="AA24" s="1129" cm="1">
        <f t="array" ref="AA24">AA23+AA19+AA17</f>
        <v>800.000781</v>
      </c>
      <c r="AB24" s="1129" cm="1">
        <f t="array" ref="AB24">SQRT(AB23^2+AB19^2+AB17^2)</f>
        <v>0.000292760994669713</v>
      </c>
      <c r="AC24" s="1083"/>
      <c r="AD24" s="923"/>
      <c r="AE24" s="1084"/>
      <c r="AF24" t="s" s="1086">
        <v>410</v>
      </c>
      <c r="AG24" s="1135">
        <v>1000</v>
      </c>
      <c r="AH24" s="1136">
        <v>1000</v>
      </c>
      <c r="AI24" t="s" s="1116">
        <v>387</v>
      </c>
      <c r="AJ24" s="1117">
        <v>0.0057</v>
      </c>
      <c r="AK24" s="1118">
        <v>0.0017</v>
      </c>
    </row>
    <row r="25" ht="13.5" customHeight="1">
      <c r="A25" s="923"/>
      <c r="B25" s="923"/>
      <c r="C25" s="923"/>
      <c r="D25" s="923"/>
      <c r="E25" s="923"/>
      <c r="F25" s="923"/>
      <c r="G25" s="923"/>
      <c r="H25" s="923"/>
      <c r="I25" s="923"/>
      <c r="J25" s="1067"/>
      <c r="K25" s="1067"/>
      <c r="L25" s="1067"/>
      <c r="M25" s="1067"/>
      <c r="N25" s="1067"/>
      <c r="O25" s="1067"/>
      <c r="P25" s="1143"/>
      <c r="Q25" s="1103">
        <v>20</v>
      </c>
      <c r="R25" s="1119">
        <v>20000</v>
      </c>
      <c r="S25" s="1105" cm="1">
        <f t="array" ref="S25">U25+W25</f>
        <v>20000.33</v>
      </c>
      <c r="T25" s="1103" cm="1">
        <f t="array" ref="T25">X25</f>
        <v>0.33</v>
      </c>
      <c r="U25" s="1120">
        <v>20000</v>
      </c>
      <c r="V25" t="s" s="1116">
        <v>387</v>
      </c>
      <c r="W25" s="1121">
        <v>0.33</v>
      </c>
      <c r="X25" s="1122">
        <v>0.33</v>
      </c>
      <c r="Y25" s="1097"/>
      <c r="Z25" s="1135">
        <v>1000</v>
      </c>
      <c r="AA25" s="1129" cm="1">
        <f t="array" ref="AA25">L18+N18</f>
        <v>1000.0001</v>
      </c>
      <c r="AB25" s="1129" cm="1">
        <f t="array" ref="AB25">O18</f>
        <v>0.00053</v>
      </c>
      <c r="AC25" s="1083"/>
      <c r="AD25" s="923"/>
      <c r="AE25" s="1084"/>
      <c r="AF25" t="s" s="1086">
        <v>411</v>
      </c>
      <c r="AG25" s="1135">
        <v>1000</v>
      </c>
      <c r="AH25" s="1136">
        <v>1000</v>
      </c>
      <c r="AI25" t="s" s="1116">
        <v>387</v>
      </c>
      <c r="AJ25" s="1117">
        <v>0.0048</v>
      </c>
      <c r="AK25" s="1118">
        <v>0.0017</v>
      </c>
    </row>
    <row r="26" ht="13.5" customHeight="1">
      <c r="A26" s="923"/>
      <c r="B26" s="923"/>
      <c r="C26" s="923"/>
      <c r="D26" s="923"/>
      <c r="E26" s="923"/>
      <c r="F26" s="923"/>
      <c r="G26" s="923"/>
      <c r="H26" s="923"/>
      <c r="I26" s="923"/>
      <c r="J26" s="1067"/>
      <c r="K26" s="1067"/>
      <c r="L26" s="1067"/>
      <c r="M26" s="1067"/>
      <c r="N26" s="1067"/>
      <c r="O26" s="1067"/>
      <c r="P26" s="1143"/>
      <c r="Q26" s="1103">
        <v>21</v>
      </c>
      <c r="R26" s="1119">
        <v>20000</v>
      </c>
      <c r="S26" s="1105" cm="1">
        <f t="array" ref="S26">U26+W26</f>
        <v>20000.41</v>
      </c>
      <c r="T26" s="1103" cm="1">
        <f t="array" ref="T26">X26</f>
        <v>0.33</v>
      </c>
      <c r="U26" s="1120">
        <v>20000</v>
      </c>
      <c r="V26" t="s" s="1116">
        <v>387</v>
      </c>
      <c r="W26" s="1121">
        <v>0.41</v>
      </c>
      <c r="X26" s="1122">
        <v>0.33</v>
      </c>
      <c r="Y26" s="1083"/>
      <c r="Z26" s="1144" cm="1">
        <f t="array" ref="Z26">Z25+Z23</f>
        <v>1500</v>
      </c>
      <c r="AA26" s="1129" cm="1">
        <f t="array" ref="AA26">AA25+AA23</f>
        <v>1500.00026</v>
      </c>
      <c r="AB26" s="1129" cm="1">
        <f t="array" ref="AB26">SQRT(AB25^2+AB23^2)</f>
        <v>0.000594810894318522</v>
      </c>
      <c r="AC26" s="1083"/>
      <c r="AD26" s="923"/>
      <c r="AE26" s="1084"/>
      <c r="AF26" t="s" s="1086">
        <v>412</v>
      </c>
      <c r="AG26" s="1137">
        <v>2000</v>
      </c>
      <c r="AH26" s="1138">
        <v>2000</v>
      </c>
      <c r="AI26" t="s" s="1139">
        <v>387</v>
      </c>
      <c r="AJ26" s="1145">
        <v>0.0222</v>
      </c>
      <c r="AK26" s="1141">
        <v>0.0033</v>
      </c>
    </row>
    <row r="27" ht="13.5" customHeight="1">
      <c r="A27" s="923"/>
      <c r="B27" s="923"/>
      <c r="C27" s="923"/>
      <c r="D27" s="923"/>
      <c r="E27" s="923"/>
      <c r="F27" s="923"/>
      <c r="G27" s="923"/>
      <c r="H27" s="923"/>
      <c r="I27" s="923"/>
      <c r="J27" s="1067"/>
      <c r="K27" s="1067"/>
      <c r="L27" s="1067"/>
      <c r="M27" s="1067"/>
      <c r="N27" s="1067"/>
      <c r="O27" s="1067"/>
      <c r="P27" s="1143"/>
      <c r="Q27" s="1103">
        <v>22</v>
      </c>
      <c r="R27" s="1119">
        <v>20000</v>
      </c>
      <c r="S27" s="1105" cm="1">
        <f t="array" ref="S27">U27+W27</f>
        <v>20000.27</v>
      </c>
      <c r="T27" s="1103" cm="1">
        <f t="array" ref="T27">X27</f>
        <v>0.33</v>
      </c>
      <c r="U27" s="1120">
        <v>20000</v>
      </c>
      <c r="V27" t="s" s="1116">
        <v>387</v>
      </c>
      <c r="W27" s="1121">
        <v>0.27</v>
      </c>
      <c r="X27" s="1122">
        <v>0.33</v>
      </c>
      <c r="Y27" s="1097"/>
      <c r="Z27" s="1135">
        <v>2000</v>
      </c>
      <c r="AA27" s="1129" cm="1">
        <f t="array" ref="AA27">L19+N19</f>
        <v>2000.0026</v>
      </c>
      <c r="AB27" s="1129" cm="1">
        <f t="array" ref="AB27">O19</f>
        <v>0.001</v>
      </c>
      <c r="AC27" s="1083"/>
      <c r="AD27" s="923"/>
      <c r="AE27" s="923"/>
      <c r="AF27" s="1134"/>
      <c r="AG27" s="1134"/>
      <c r="AH27" s="1134"/>
      <c r="AI27" s="1134"/>
      <c r="AJ27" s="1134"/>
      <c r="AK27" s="1134"/>
    </row>
    <row r="28" ht="14.25" customHeight="1">
      <c r="A28" s="923"/>
      <c r="B28" s="923"/>
      <c r="C28" s="923"/>
      <c r="D28" s="923"/>
      <c r="E28" s="923"/>
      <c r="F28" s="923"/>
      <c r="G28" s="923"/>
      <c r="H28" s="923"/>
      <c r="I28" s="923"/>
      <c r="J28" s="1073">
        <v>44395</v>
      </c>
      <c r="K28" s="1072"/>
      <c r="L28" s="1072"/>
      <c r="M28" s="1072"/>
      <c r="N28" s="1072"/>
      <c r="O28" s="1072"/>
      <c r="P28" s="1143"/>
      <c r="Q28" s="1103">
        <v>23</v>
      </c>
      <c r="R28" s="1119">
        <v>20000</v>
      </c>
      <c r="S28" s="1105" cm="1">
        <f t="array" ref="S28">U28+W28</f>
        <v>20000.38</v>
      </c>
      <c r="T28" s="1103" cm="1">
        <f t="array" ref="T28">X28</f>
        <v>0.33</v>
      </c>
      <c r="U28" s="1120">
        <v>20000</v>
      </c>
      <c r="V28" t="s" s="1116">
        <v>387</v>
      </c>
      <c r="W28" s="1121">
        <v>0.38</v>
      </c>
      <c r="X28" s="1122">
        <v>0.33</v>
      </c>
      <c r="Y28" s="1097"/>
      <c r="Z28" s="1137">
        <v>2000</v>
      </c>
      <c r="AA28" s="1129" cm="1">
        <f t="array" ref="AA28">L20+N20</f>
        <v>2000.0015</v>
      </c>
      <c r="AB28" s="1129" cm="1">
        <f t="array" ref="AB28">O20</f>
        <v>0.001</v>
      </c>
      <c r="AC28" s="1083"/>
      <c r="AD28" s="923"/>
      <c r="AE28" s="923"/>
      <c r="AF28" s="923"/>
      <c r="AG28" s="923"/>
      <c r="AH28" s="923"/>
      <c r="AI28" s="923"/>
      <c r="AJ28" s="923"/>
      <c r="AK28" s="923"/>
    </row>
    <row r="29" ht="41.25" customHeight="1">
      <c r="A29" s="923"/>
      <c r="B29" s="923"/>
      <c r="C29" s="923"/>
      <c r="D29" s="923"/>
      <c r="E29" s="923"/>
      <c r="F29" s="923"/>
      <c r="G29" s="923"/>
      <c r="H29" s="923"/>
      <c r="I29" s="1075"/>
      <c r="J29" t="s" s="1076">
        <v>413</v>
      </c>
      <c r="K29" t="s" s="1077">
        <v>379</v>
      </c>
      <c r="L29" t="s" s="1078">
        <v>380</v>
      </c>
      <c r="M29" s="1079"/>
      <c r="N29" s="1080"/>
      <c r="O29" t="s" s="1077">
        <v>381</v>
      </c>
      <c r="P29" s="1090"/>
      <c r="Q29" s="1103">
        <v>24</v>
      </c>
      <c r="R29" s="1119">
        <v>20000</v>
      </c>
      <c r="S29" s="1105" cm="1">
        <f t="array" ref="S29">U29+W29</f>
        <v>20000.41</v>
      </c>
      <c r="T29" s="1103" cm="1">
        <f t="array" ref="T29">X29</f>
        <v>0.33</v>
      </c>
      <c r="U29" s="1120">
        <v>20000</v>
      </c>
      <c r="V29" t="s" s="1116">
        <v>387</v>
      </c>
      <c r="W29" s="1121">
        <v>0.41</v>
      </c>
      <c r="X29" s="1122">
        <v>0.33</v>
      </c>
      <c r="Y29" s="1097"/>
      <c r="Z29" s="1146" cm="1">
        <f t="array" ref="Z29">Z27+Z23</f>
        <v>2500</v>
      </c>
      <c r="AA29" s="1129" cm="1">
        <f t="array" ref="AA29">AA27+AA23</f>
        <v>2500.00276</v>
      </c>
      <c r="AB29" s="1129" cm="1">
        <f t="array" ref="AB29">SQRT(AB27^2+AB23^2)</f>
        <v>0.00103580886267689</v>
      </c>
      <c r="AC29" s="1083"/>
      <c r="AD29" s="923"/>
      <c r="AE29" s="923"/>
      <c r="AF29" s="923"/>
      <c r="AG29" s="923"/>
      <c r="AH29" s="923"/>
      <c r="AI29" s="923"/>
      <c r="AJ29" s="923"/>
      <c r="AK29" s="923"/>
    </row>
    <row r="30" ht="13.5" customHeight="1">
      <c r="A30" s="923"/>
      <c r="B30" s="923"/>
      <c r="C30" s="923"/>
      <c r="D30" s="923"/>
      <c r="E30" s="923"/>
      <c r="F30" s="923"/>
      <c r="G30" s="923"/>
      <c r="H30" s="923"/>
      <c r="I30" s="1084"/>
      <c r="J30" s="1085"/>
      <c r="K30" t="s" s="1086">
        <v>86</v>
      </c>
      <c r="L30" s="1087"/>
      <c r="M30" t="s" s="1088">
        <v>86</v>
      </c>
      <c r="N30" s="1089"/>
      <c r="O30" t="s" s="1086">
        <v>86</v>
      </c>
      <c r="P30" s="1090"/>
      <c r="Q30" s="1103">
        <v>25</v>
      </c>
      <c r="R30" s="1119">
        <v>20000</v>
      </c>
      <c r="S30" s="1105" cm="1">
        <f t="array" ref="S30">U30+W30</f>
        <v>20000.37</v>
      </c>
      <c r="T30" s="1103" cm="1">
        <f t="array" ref="T30">X30</f>
        <v>0.33</v>
      </c>
      <c r="U30" s="1120">
        <v>20000</v>
      </c>
      <c r="V30" t="s" s="1116">
        <v>387</v>
      </c>
      <c r="W30" s="1121">
        <v>0.37</v>
      </c>
      <c r="X30" s="1122">
        <v>0.33</v>
      </c>
      <c r="Y30" s="1097"/>
      <c r="Z30" s="1146" cm="1">
        <f t="array" ref="Z30">Z29+Z25</f>
        <v>3500</v>
      </c>
      <c r="AA30" s="1129" cm="1">
        <f t="array" ref="AA30">AA29+AA25</f>
        <v>3500.00286</v>
      </c>
      <c r="AB30" s="1129" cm="1">
        <f t="array" ref="AB30">SQRT(AB29^2+AB25^2)</f>
        <v>0.00116352911437574</v>
      </c>
      <c r="AC30" s="1083"/>
      <c r="AD30" s="923"/>
      <c r="AE30" s="923"/>
      <c r="AF30" s="923"/>
      <c r="AG30" s="923"/>
      <c r="AH30" s="923"/>
      <c r="AI30" s="923"/>
      <c r="AJ30" s="923"/>
      <c r="AK30" s="923"/>
    </row>
    <row r="31" ht="13.5" customHeight="1">
      <c r="A31" s="923"/>
      <c r="B31" s="923"/>
      <c r="C31" s="923"/>
      <c r="D31" s="923"/>
      <c r="E31" s="923"/>
      <c r="F31" s="923"/>
      <c r="G31" s="923"/>
      <c r="H31" s="923"/>
      <c r="I31" s="1084"/>
      <c r="J31" t="s" s="1086">
        <v>63</v>
      </c>
      <c r="K31" s="1147">
        <v>10000</v>
      </c>
      <c r="L31" s="1106">
        <v>10000</v>
      </c>
      <c r="M31" t="s" s="1100">
        <v>387</v>
      </c>
      <c r="N31" s="1101">
        <v>3.4e-05</v>
      </c>
      <c r="O31" s="1102">
        <v>1.7e-05</v>
      </c>
      <c r="P31" s="1090"/>
      <c r="Q31" s="1103">
        <v>26</v>
      </c>
      <c r="R31" s="1119">
        <v>20000</v>
      </c>
      <c r="S31" s="1105" cm="1">
        <f t="array" ref="S31">U31+W31</f>
        <v>20000.38</v>
      </c>
      <c r="T31" s="1103" cm="1">
        <f t="array" ref="T31">X31</f>
        <v>0.33</v>
      </c>
      <c r="U31" s="1120">
        <v>20000</v>
      </c>
      <c r="V31" t="s" s="1116">
        <v>387</v>
      </c>
      <c r="W31" s="1121">
        <v>0.38</v>
      </c>
      <c r="X31" s="1122">
        <v>0.33</v>
      </c>
      <c r="Y31" s="1097"/>
      <c r="Z31" s="1146">
        <v>5000</v>
      </c>
      <c r="AA31" s="1129" cm="1">
        <f t="array" ref="AA31">L21+N21</f>
        <v>5000.0024</v>
      </c>
      <c r="AB31" s="1129" cm="1">
        <f t="array" ref="AB31">O21</f>
        <v>0.0027</v>
      </c>
      <c r="AC31" s="1083"/>
      <c r="AD31" s="923"/>
      <c r="AE31" s="923"/>
      <c r="AF31" s="923"/>
      <c r="AG31" s="923"/>
      <c r="AH31" s="923"/>
      <c r="AI31" s="923"/>
      <c r="AJ31" s="923"/>
      <c r="AK31" s="923"/>
    </row>
    <row r="32" ht="13.5" customHeight="1">
      <c r="A32" s="923"/>
      <c r="B32" s="923"/>
      <c r="C32" s="923"/>
      <c r="D32" s="923"/>
      <c r="E32" s="923"/>
      <c r="F32" s="923"/>
      <c r="G32" s="923"/>
      <c r="H32" s="923"/>
      <c r="I32" s="1084"/>
      <c r="J32" t="s" s="1086">
        <v>414</v>
      </c>
      <c r="K32" s="1148">
        <v>20000</v>
      </c>
      <c r="L32" s="1149">
        <v>20000</v>
      </c>
      <c r="M32" t="s" s="1139">
        <v>387</v>
      </c>
      <c r="N32" s="1140">
        <v>3.7e-05</v>
      </c>
      <c r="O32" s="1141">
        <v>3.3e-05</v>
      </c>
      <c r="P32" s="1090"/>
      <c r="Q32" s="1103">
        <v>27</v>
      </c>
      <c r="R32" s="1119">
        <v>20000</v>
      </c>
      <c r="S32" s="1105" cm="1">
        <f t="array" ref="S32">U32+W32</f>
        <v>20000.38</v>
      </c>
      <c r="T32" s="1103" cm="1">
        <f t="array" ref="T32">X32</f>
        <v>0.33</v>
      </c>
      <c r="U32" s="1120">
        <v>20000</v>
      </c>
      <c r="V32" t="s" s="1116">
        <v>387</v>
      </c>
      <c r="W32" s="1121">
        <v>0.38</v>
      </c>
      <c r="X32" s="1122">
        <v>0.33</v>
      </c>
      <c r="Y32" s="1097"/>
      <c r="Z32" s="1146" cm="1">
        <f t="array" ref="Z32">Z31+Z27+Z25</f>
        <v>8000</v>
      </c>
      <c r="AA32" s="1129" cm="1">
        <f t="array" ref="AA32">AA31+AA27+AA25</f>
        <v>8000.0051</v>
      </c>
      <c r="AB32" s="1129" cm="1">
        <f t="array" ref="AB32">SQRT(AB31^2+AB27^2+AB25^2)</f>
        <v>0.00292760994669714</v>
      </c>
      <c r="AC32" s="1083"/>
      <c r="AD32" s="923"/>
      <c r="AE32" s="923"/>
      <c r="AF32" s="923"/>
      <c r="AG32" s="923"/>
      <c r="AH32" s="923"/>
      <c r="AI32" s="923"/>
      <c r="AJ32" s="923"/>
      <c r="AK32" s="923"/>
    </row>
    <row r="33" ht="13.5" customHeight="1">
      <c r="A33" s="923"/>
      <c r="B33" s="923"/>
      <c r="C33" s="923"/>
      <c r="D33" s="923"/>
      <c r="E33" s="923"/>
      <c r="F33" s="923"/>
      <c r="G33" s="923"/>
      <c r="H33" s="923"/>
      <c r="I33" s="923"/>
      <c r="J33" s="1142"/>
      <c r="K33" s="1142"/>
      <c r="L33" s="1142"/>
      <c r="M33" s="1142"/>
      <c r="N33" s="1142"/>
      <c r="O33" s="1142"/>
      <c r="P33" s="1143"/>
      <c r="Q33" s="1103">
        <v>28</v>
      </c>
      <c r="R33" s="1119">
        <v>20000</v>
      </c>
      <c r="S33" s="1105" cm="1">
        <f t="array" ref="S33">U33+W33</f>
        <v>20000.31</v>
      </c>
      <c r="T33" s="1103" cm="1">
        <f t="array" ref="T33">X33</f>
        <v>0.33</v>
      </c>
      <c r="U33" s="1120">
        <v>20000</v>
      </c>
      <c r="V33" t="s" s="1116">
        <v>387</v>
      </c>
      <c r="W33" s="1150">
        <v>0.31</v>
      </c>
      <c r="X33" s="1122">
        <v>0.33</v>
      </c>
      <c r="Y33" s="1097"/>
      <c r="Z33" s="1151">
        <v>10000</v>
      </c>
      <c r="AA33" s="1129" cm="1">
        <f t="array" ref="AA33">AA32+AA28</f>
        <v>10000.0066</v>
      </c>
      <c r="AB33" s="1129" cm="1">
        <f t="array" ref="AB33">SQRT(AB32^2+AB28^2)</f>
        <v>0.00309368712057312</v>
      </c>
      <c r="AC33" s="1083"/>
      <c r="AD33" s="923"/>
      <c r="AE33" s="923"/>
      <c r="AF33" s="923"/>
      <c r="AG33" s="923"/>
      <c r="AH33" s="923"/>
      <c r="AI33" s="923"/>
      <c r="AJ33" s="923"/>
      <c r="AK33" s="923"/>
    </row>
    <row r="34" ht="13.5" customHeight="1">
      <c r="A34" s="923"/>
      <c r="B34" s="923"/>
      <c r="C34" s="923"/>
      <c r="D34" s="923"/>
      <c r="E34" s="923"/>
      <c r="F34" s="923"/>
      <c r="G34" s="923"/>
      <c r="H34" s="923"/>
      <c r="I34" s="923"/>
      <c r="J34" s="1067"/>
      <c r="K34" s="1067"/>
      <c r="L34" s="1067"/>
      <c r="M34" s="1067"/>
      <c r="N34" s="1067"/>
      <c r="O34" s="1067"/>
      <c r="P34" s="1143"/>
      <c r="Q34" s="1103">
        <v>29</v>
      </c>
      <c r="R34" s="1119">
        <v>20000</v>
      </c>
      <c r="S34" s="1105" cm="1">
        <f t="array" ref="S34">U34+W34</f>
        <v>20000.29</v>
      </c>
      <c r="T34" s="1103" cm="1">
        <f t="array" ref="T34">X34</f>
        <v>0.33</v>
      </c>
      <c r="U34" s="1120">
        <v>20000</v>
      </c>
      <c r="V34" t="s" s="1116">
        <v>387</v>
      </c>
      <c r="W34" s="1150">
        <v>0.29</v>
      </c>
      <c r="X34" s="1122">
        <v>0.33</v>
      </c>
      <c r="Y34" s="1097"/>
      <c r="Z34" s="1151" cm="1">
        <f t="array" ref="Z34">Z33+Z31</f>
        <v>15000</v>
      </c>
      <c r="AA34" s="1129" cm="1">
        <f t="array" ref="AA34">AA33+AA31</f>
        <v>15000.009</v>
      </c>
      <c r="AB34" s="1129" cm="1">
        <f t="array" ref="AB34">SQRT(AB33^2+AB31^2)</f>
        <v>0.00410620262529749</v>
      </c>
      <c r="AC34" s="1083"/>
      <c r="AD34" s="923"/>
      <c r="AE34" s="923"/>
      <c r="AF34" s="923"/>
      <c r="AG34" s="923"/>
      <c r="AH34" s="923"/>
      <c r="AI34" s="923"/>
      <c r="AJ34" s="923"/>
      <c r="AK34" s="923"/>
    </row>
    <row r="35" ht="13.5" customHeight="1">
      <c r="A35" s="923"/>
      <c r="B35" s="923"/>
      <c r="C35" s="923"/>
      <c r="D35" s="923"/>
      <c r="E35" s="923"/>
      <c r="F35" s="923"/>
      <c r="G35" s="923"/>
      <c r="H35" s="923"/>
      <c r="I35" s="923"/>
      <c r="J35" s="1067"/>
      <c r="K35" s="1067"/>
      <c r="L35" s="1067"/>
      <c r="M35" s="1067"/>
      <c r="N35" s="1067"/>
      <c r="O35" s="1067"/>
      <c r="P35" s="1143"/>
      <c r="Q35" s="1103">
        <v>30</v>
      </c>
      <c r="R35" s="1119">
        <v>20000</v>
      </c>
      <c r="S35" s="1105" cm="1">
        <f t="array" ref="S35">U35+W35</f>
        <v>20000.32</v>
      </c>
      <c r="T35" s="1103" cm="1">
        <f t="array" ref="T35">X35</f>
        <v>0.33</v>
      </c>
      <c r="U35" s="1120">
        <v>20000</v>
      </c>
      <c r="V35" t="s" s="1116">
        <v>387</v>
      </c>
      <c r="W35" s="1150">
        <v>0.32</v>
      </c>
      <c r="X35" s="1122">
        <v>0.33</v>
      </c>
      <c r="Y35" s="1097"/>
      <c r="Z35" s="1151">
        <v>20000</v>
      </c>
      <c r="AA35" s="1129" cm="1">
        <f t="array" ref="AA35">L32+N32</f>
        <v>20000.000037</v>
      </c>
      <c r="AB35" s="1129" cm="1">
        <f t="array" ref="AB35">O32</f>
        <v>3.3e-05</v>
      </c>
      <c r="AC35" s="1083"/>
      <c r="AD35" s="923"/>
      <c r="AE35" s="923"/>
      <c r="AF35" s="923"/>
      <c r="AG35" s="923"/>
      <c r="AH35" s="923"/>
      <c r="AI35" s="923"/>
      <c r="AJ35" s="923"/>
      <c r="AK35" s="923"/>
    </row>
    <row r="36" ht="13.5" customHeight="1">
      <c r="A36" s="923"/>
      <c r="B36" s="923"/>
      <c r="C36" s="923"/>
      <c r="D36" s="923"/>
      <c r="E36" s="923"/>
      <c r="F36" s="923"/>
      <c r="G36" s="923"/>
      <c r="H36" s="923"/>
      <c r="I36" s="923"/>
      <c r="J36" s="1067"/>
      <c r="K36" s="1067"/>
      <c r="L36" s="1067"/>
      <c r="M36" s="1067"/>
      <c r="N36" s="1067"/>
      <c r="O36" s="1067"/>
      <c r="P36" s="1143"/>
      <c r="Q36" s="1103">
        <v>31</v>
      </c>
      <c r="R36" s="1119">
        <v>20000</v>
      </c>
      <c r="S36" s="1105" cm="1">
        <f t="array" ref="S36">U36+W36</f>
        <v>20000.32</v>
      </c>
      <c r="T36" s="1103" cm="1">
        <f t="array" ref="T36">X36</f>
        <v>0.33</v>
      </c>
      <c r="U36" s="1120">
        <v>20000</v>
      </c>
      <c r="V36" t="s" s="1116">
        <v>387</v>
      </c>
      <c r="W36" s="1150">
        <v>0.32</v>
      </c>
      <c r="X36" s="1122">
        <v>0.33</v>
      </c>
      <c r="Y36" s="1097"/>
      <c r="Z36" s="1151" cm="1">
        <f t="array" ref="Z36">Z35+Z33</f>
        <v>30000</v>
      </c>
      <c r="AA36" s="1129" cm="1">
        <f t="array" ref="AA36">AA35+AA33</f>
        <v>30000.006637</v>
      </c>
      <c r="AB36" s="1129" cm="1">
        <f t="array" ref="AB36">SQRT(AB35^2+AB33^2)</f>
        <v>0.00309386311914409</v>
      </c>
      <c r="AC36" s="1083"/>
      <c r="AD36" s="923"/>
      <c r="AE36" s="923"/>
      <c r="AF36" s="923"/>
      <c r="AG36" s="923"/>
      <c r="AH36" s="923"/>
      <c r="AI36" s="923"/>
      <c r="AJ36" s="923"/>
      <c r="AK36" s="923"/>
    </row>
    <row r="37" ht="13.5" customHeight="1">
      <c r="A37" s="923"/>
      <c r="B37" s="923"/>
      <c r="C37" s="923"/>
      <c r="D37" s="923"/>
      <c r="E37" s="923"/>
      <c r="F37" s="923"/>
      <c r="G37" s="923"/>
      <c r="H37" s="923"/>
      <c r="I37" s="923"/>
      <c r="J37" s="1067"/>
      <c r="K37" s="1067"/>
      <c r="L37" s="1067"/>
      <c r="M37" s="1067"/>
      <c r="N37" s="1067"/>
      <c r="O37" s="1067"/>
      <c r="P37" s="1143"/>
      <c r="Q37" s="1103">
        <v>32</v>
      </c>
      <c r="R37" s="1119">
        <v>20000</v>
      </c>
      <c r="S37" s="1105" cm="1">
        <f t="array" ref="S37">U37+W37</f>
        <v>20000.35</v>
      </c>
      <c r="T37" s="1103" cm="1">
        <f t="array" ref="T37">X37</f>
        <v>0.33</v>
      </c>
      <c r="U37" s="1120">
        <v>20000</v>
      </c>
      <c r="V37" t="s" s="1116">
        <v>387</v>
      </c>
      <c r="W37" s="1150">
        <v>0.35</v>
      </c>
      <c r="X37" s="1122">
        <v>0.33</v>
      </c>
      <c r="Y37" s="1083"/>
      <c r="Z37" s="1134"/>
      <c r="AA37" s="1134"/>
      <c r="AB37" s="1134"/>
      <c r="AC37" s="923"/>
      <c r="AD37" s="923"/>
      <c r="AE37" s="923"/>
      <c r="AF37" s="923"/>
      <c r="AG37" s="923"/>
      <c r="AH37" s="923"/>
      <c r="AI37" s="923"/>
      <c r="AJ37" s="923"/>
      <c r="AK37" s="923"/>
    </row>
    <row r="38" ht="13.5" customHeight="1">
      <c r="A38" s="923"/>
      <c r="B38" s="923"/>
      <c r="C38" s="923"/>
      <c r="D38" s="923"/>
      <c r="E38" s="923"/>
      <c r="F38" s="923"/>
      <c r="G38" s="923"/>
      <c r="H38" s="923"/>
      <c r="I38" s="923"/>
      <c r="J38" s="1067"/>
      <c r="K38" s="1067"/>
      <c r="L38" s="1067"/>
      <c r="M38" s="1067"/>
      <c r="N38" s="1067"/>
      <c r="O38" s="1067"/>
      <c r="P38" s="1143"/>
      <c r="Q38" s="1103">
        <v>33</v>
      </c>
      <c r="R38" s="1119">
        <v>20000</v>
      </c>
      <c r="S38" s="1105" cm="1">
        <f t="array" ref="S38">U38+W38</f>
        <v>20000.37</v>
      </c>
      <c r="T38" s="1103" cm="1">
        <f t="array" ref="T38">X38</f>
        <v>0.33</v>
      </c>
      <c r="U38" s="1120">
        <v>20000</v>
      </c>
      <c r="V38" t="s" s="1116">
        <v>387</v>
      </c>
      <c r="W38" s="1150">
        <v>0.37</v>
      </c>
      <c r="X38" s="1122">
        <v>0.33</v>
      </c>
      <c r="Y38" s="1083"/>
      <c r="Z38" s="923"/>
      <c r="AA38" s="923"/>
      <c r="AB38" s="923"/>
      <c r="AC38" s="923"/>
      <c r="AD38" s="923"/>
      <c r="AE38" s="923"/>
      <c r="AF38" s="923"/>
      <c r="AG38" s="923"/>
      <c r="AH38" s="923"/>
      <c r="AI38" s="923"/>
      <c r="AJ38" s="923"/>
      <c r="AK38" s="923"/>
    </row>
    <row r="39" ht="13.5" customHeight="1">
      <c r="A39" s="923"/>
      <c r="B39" s="923"/>
      <c r="C39" s="923"/>
      <c r="D39" s="923"/>
      <c r="E39" s="923"/>
      <c r="F39" s="923"/>
      <c r="G39" s="923"/>
      <c r="H39" s="923"/>
      <c r="I39" s="923"/>
      <c r="J39" s="1067"/>
      <c r="K39" s="1067"/>
      <c r="L39" s="1067"/>
      <c r="M39" s="1067"/>
      <c r="N39" s="1067"/>
      <c r="O39" s="1067"/>
      <c r="P39" s="1143"/>
      <c r="Q39" s="1103">
        <v>34</v>
      </c>
      <c r="R39" s="1119">
        <v>20000</v>
      </c>
      <c r="S39" s="1105" cm="1">
        <f t="array" ref="S39">U39+W39</f>
        <v>20000.38</v>
      </c>
      <c r="T39" s="1103" cm="1">
        <f t="array" ref="T39">X39</f>
        <v>0.33</v>
      </c>
      <c r="U39" s="1120">
        <v>20000</v>
      </c>
      <c r="V39" t="s" s="1116">
        <v>387</v>
      </c>
      <c r="W39" s="1150">
        <v>0.38</v>
      </c>
      <c r="X39" s="1122">
        <v>0.33</v>
      </c>
      <c r="Y39" s="1083"/>
      <c r="Z39" s="923"/>
      <c r="AA39" s="923"/>
      <c r="AB39" s="923"/>
      <c r="AC39" s="923"/>
      <c r="AD39" s="923"/>
      <c r="AE39" s="923"/>
      <c r="AF39" s="923"/>
      <c r="AG39" s="923"/>
      <c r="AH39" s="923"/>
      <c r="AI39" s="923"/>
      <c r="AJ39" s="923"/>
      <c r="AK39" s="923"/>
    </row>
    <row r="40" ht="13.5" customHeight="1">
      <c r="A40" s="923"/>
      <c r="B40" s="923"/>
      <c r="C40" s="923"/>
      <c r="D40" s="923"/>
      <c r="E40" s="923"/>
      <c r="F40" s="923"/>
      <c r="G40" s="923"/>
      <c r="H40" s="923"/>
      <c r="I40" s="923"/>
      <c r="J40" s="1067"/>
      <c r="K40" s="1067"/>
      <c r="L40" s="1067"/>
      <c r="M40" s="1067"/>
      <c r="N40" s="1067"/>
      <c r="O40" s="1067"/>
      <c r="P40" s="1143"/>
      <c r="Q40" s="1103">
        <v>35</v>
      </c>
      <c r="R40" s="1119">
        <v>20000</v>
      </c>
      <c r="S40" s="1105" cm="1">
        <f t="array" ref="S40">U40+W40</f>
        <v>20000.38</v>
      </c>
      <c r="T40" s="1103" cm="1">
        <f t="array" ref="T40">X40</f>
        <v>0.33</v>
      </c>
      <c r="U40" s="1120">
        <v>20000</v>
      </c>
      <c r="V40" t="s" s="1116">
        <v>387</v>
      </c>
      <c r="W40" s="1150">
        <v>0.38</v>
      </c>
      <c r="X40" s="1122">
        <v>0.33</v>
      </c>
      <c r="Y40" s="1083"/>
      <c r="Z40" s="923"/>
      <c r="AA40" s="923"/>
      <c r="AB40" s="923"/>
      <c r="AC40" s="923"/>
      <c r="AD40" s="923"/>
      <c r="AE40" s="923"/>
      <c r="AF40" s="923"/>
      <c r="AG40" s="923"/>
      <c r="AH40" s="923"/>
      <c r="AI40" s="923"/>
      <c r="AJ40" s="923"/>
      <c r="AK40" s="923"/>
    </row>
    <row r="41" ht="13.5" customHeight="1">
      <c r="A41" s="923"/>
      <c r="B41" s="923"/>
      <c r="C41" s="923"/>
      <c r="D41" s="923"/>
      <c r="E41" s="923"/>
      <c r="F41" s="923"/>
      <c r="G41" s="923"/>
      <c r="H41" s="923"/>
      <c r="I41" s="923"/>
      <c r="J41" s="1067"/>
      <c r="K41" s="1067"/>
      <c r="L41" s="1067"/>
      <c r="M41" s="1067"/>
      <c r="N41" s="1067"/>
      <c r="O41" s="1067"/>
      <c r="P41" s="1143"/>
      <c r="Q41" s="1103">
        <v>36</v>
      </c>
      <c r="R41" s="1119">
        <v>20000</v>
      </c>
      <c r="S41" s="1105" cm="1">
        <f t="array" ref="S41">U41+W41</f>
        <v>20000.27</v>
      </c>
      <c r="T41" s="1103" cm="1">
        <f t="array" ref="T41">X41</f>
        <v>0.33</v>
      </c>
      <c r="U41" s="1120">
        <v>20000</v>
      </c>
      <c r="V41" t="s" s="1116">
        <v>387</v>
      </c>
      <c r="W41" s="1150">
        <v>0.27</v>
      </c>
      <c r="X41" s="1122">
        <v>0.33</v>
      </c>
      <c r="Y41" s="1083"/>
      <c r="Z41" s="923"/>
      <c r="AA41" s="923"/>
      <c r="AB41" s="923"/>
      <c r="AC41" s="923"/>
      <c r="AD41" s="923"/>
      <c r="AE41" s="923"/>
      <c r="AF41" s="923"/>
      <c r="AG41" s="923"/>
      <c r="AH41" s="923"/>
      <c r="AI41" s="923"/>
      <c r="AJ41" s="923"/>
      <c r="AK41" s="923"/>
    </row>
    <row r="42" ht="13.5" customHeight="1">
      <c r="A42" s="923"/>
      <c r="B42" s="923"/>
      <c r="C42" s="923"/>
      <c r="D42" s="923"/>
      <c r="E42" s="923"/>
      <c r="F42" s="923"/>
      <c r="G42" s="923"/>
      <c r="H42" s="923"/>
      <c r="I42" s="923"/>
      <c r="J42" s="1067"/>
      <c r="K42" s="1067"/>
      <c r="L42" s="1067"/>
      <c r="M42" s="1067"/>
      <c r="N42" s="1067"/>
      <c r="O42" s="1067"/>
      <c r="P42" s="1143"/>
      <c r="Q42" s="1103">
        <v>37</v>
      </c>
      <c r="R42" s="1119">
        <v>20000</v>
      </c>
      <c r="S42" s="1105" cm="1">
        <f t="array" ref="S42">U42+W42</f>
        <v>20000.34</v>
      </c>
      <c r="T42" s="1103" cm="1">
        <f t="array" ref="T42">X42</f>
        <v>0.33</v>
      </c>
      <c r="U42" s="1120">
        <v>20000</v>
      </c>
      <c r="V42" t="s" s="1116">
        <v>387</v>
      </c>
      <c r="W42" s="1150">
        <v>0.34</v>
      </c>
      <c r="X42" s="1122">
        <v>0.33</v>
      </c>
      <c r="Y42" s="1083"/>
      <c r="Z42" s="923"/>
      <c r="AA42" s="923"/>
      <c r="AB42" s="923"/>
      <c r="AC42" s="923"/>
      <c r="AD42" s="923"/>
      <c r="AE42" s="923"/>
      <c r="AF42" s="923"/>
      <c r="AG42" s="923"/>
      <c r="AH42" s="923"/>
      <c r="AI42" s="923"/>
      <c r="AJ42" s="923"/>
      <c r="AK42" s="923"/>
    </row>
    <row r="43" ht="13.5" customHeight="1">
      <c r="A43" s="923"/>
      <c r="B43" s="923"/>
      <c r="C43" s="923"/>
      <c r="D43" s="923"/>
      <c r="E43" s="923"/>
      <c r="F43" s="923"/>
      <c r="G43" s="923"/>
      <c r="H43" s="923"/>
      <c r="I43" s="923"/>
      <c r="J43" s="1067"/>
      <c r="K43" s="1067"/>
      <c r="L43" s="1067"/>
      <c r="M43" s="1067"/>
      <c r="N43" s="1067"/>
      <c r="O43" s="1067"/>
      <c r="P43" s="1143"/>
      <c r="Q43" s="1103">
        <v>38</v>
      </c>
      <c r="R43" s="1119">
        <v>20000</v>
      </c>
      <c r="S43" s="1105" cm="1">
        <f t="array" ref="S43">U43+W43</f>
        <v>20000.35</v>
      </c>
      <c r="T43" s="1103" cm="1">
        <f t="array" ref="T43">X43</f>
        <v>0.33</v>
      </c>
      <c r="U43" s="1120">
        <v>20000</v>
      </c>
      <c r="V43" t="s" s="1116">
        <v>387</v>
      </c>
      <c r="W43" s="1150">
        <v>0.35</v>
      </c>
      <c r="X43" s="1122">
        <v>0.33</v>
      </c>
      <c r="Y43" s="1083"/>
      <c r="Z43" s="923"/>
      <c r="AA43" s="923"/>
      <c r="AB43" s="923"/>
      <c r="AC43" s="923"/>
      <c r="AD43" s="923"/>
      <c r="AE43" s="923"/>
      <c r="AF43" s="923"/>
      <c r="AG43" s="923"/>
      <c r="AH43" s="923"/>
      <c r="AI43" s="923"/>
      <c r="AJ43" s="923"/>
      <c r="AK43" s="923"/>
    </row>
    <row r="44" ht="13.5" customHeight="1">
      <c r="A44" s="923"/>
      <c r="B44" s="923"/>
      <c r="C44" s="923"/>
      <c r="D44" s="923"/>
      <c r="E44" s="923"/>
      <c r="F44" s="923"/>
      <c r="G44" s="923"/>
      <c r="H44" s="923"/>
      <c r="I44" s="923"/>
      <c r="J44" s="1067"/>
      <c r="K44" s="1067"/>
      <c r="L44" s="1067"/>
      <c r="M44" s="1067"/>
      <c r="N44" s="1067"/>
      <c r="O44" s="1067"/>
      <c r="P44" s="1143"/>
      <c r="Q44" s="1103">
        <v>39</v>
      </c>
      <c r="R44" s="1119">
        <v>20000</v>
      </c>
      <c r="S44" s="1105" cm="1">
        <f t="array" ref="S44">U44+W44</f>
        <v>20000.35</v>
      </c>
      <c r="T44" s="1103" cm="1">
        <f t="array" ref="T44">X44</f>
        <v>0.33</v>
      </c>
      <c r="U44" s="1120">
        <v>20000</v>
      </c>
      <c r="V44" t="s" s="1116">
        <v>387</v>
      </c>
      <c r="W44" s="1150">
        <v>0.35</v>
      </c>
      <c r="X44" s="1122">
        <v>0.33</v>
      </c>
      <c r="Y44" s="1083"/>
      <c r="Z44" s="923"/>
      <c r="AA44" s="923"/>
      <c r="AB44" s="923"/>
      <c r="AC44" s="923"/>
      <c r="AD44" s="923"/>
      <c r="AE44" s="923"/>
      <c r="AF44" s="923"/>
      <c r="AG44" s="923"/>
      <c r="AH44" s="923"/>
      <c r="AI44" s="923"/>
      <c r="AJ44" s="923"/>
      <c r="AK44" s="923"/>
    </row>
    <row r="45" ht="13.5" customHeight="1">
      <c r="A45" s="923"/>
      <c r="B45" s="923"/>
      <c r="C45" s="923"/>
      <c r="D45" s="923"/>
      <c r="E45" s="923"/>
      <c r="F45" s="923"/>
      <c r="G45" s="923"/>
      <c r="H45" s="923"/>
      <c r="I45" s="923"/>
      <c r="J45" s="1067"/>
      <c r="K45" s="1067"/>
      <c r="L45" s="1067"/>
      <c r="M45" s="1067"/>
      <c r="N45" s="1067"/>
      <c r="O45" s="1067"/>
      <c r="P45" s="1143"/>
      <c r="Q45" s="1103">
        <v>40</v>
      </c>
      <c r="R45" s="1119">
        <v>20000</v>
      </c>
      <c r="S45" s="1105" cm="1">
        <f t="array" ref="S45">U45+W45</f>
        <v>20000.36</v>
      </c>
      <c r="T45" s="1103" cm="1">
        <f t="array" ref="T45">X45</f>
        <v>0.33</v>
      </c>
      <c r="U45" s="1120">
        <v>20000</v>
      </c>
      <c r="V45" t="s" s="1116">
        <v>387</v>
      </c>
      <c r="W45" s="1150">
        <v>0.36</v>
      </c>
      <c r="X45" s="1122">
        <v>0.33</v>
      </c>
      <c r="Y45" s="1083"/>
      <c r="Z45" s="923"/>
      <c r="AA45" s="923"/>
      <c r="AB45" s="923"/>
      <c r="AC45" s="923"/>
      <c r="AD45" s="923"/>
      <c r="AE45" s="923"/>
      <c r="AF45" s="923"/>
      <c r="AG45" s="923"/>
      <c r="AH45" s="923"/>
      <c r="AI45" s="923"/>
      <c r="AJ45" s="923"/>
      <c r="AK45" s="923"/>
    </row>
    <row r="46" ht="13.5" customHeight="1">
      <c r="A46" s="923"/>
      <c r="B46" s="923"/>
      <c r="C46" s="923"/>
      <c r="D46" s="923"/>
      <c r="E46" s="923"/>
      <c r="F46" s="923"/>
      <c r="G46" s="923"/>
      <c r="H46" s="923"/>
      <c r="I46" s="923"/>
      <c r="J46" s="1067"/>
      <c r="K46" s="1067"/>
      <c r="L46" s="1067"/>
      <c r="M46" s="1067"/>
      <c r="N46" s="1067"/>
      <c r="O46" s="1067"/>
      <c r="P46" s="1143"/>
      <c r="Q46" s="1103">
        <v>41</v>
      </c>
      <c r="R46" s="1119">
        <v>20000</v>
      </c>
      <c r="S46" s="1105" cm="1">
        <f t="array" ref="S46">U46+W46</f>
        <v>20000.37</v>
      </c>
      <c r="T46" s="1103" cm="1">
        <f t="array" ref="T46">X46</f>
        <v>0.33</v>
      </c>
      <c r="U46" s="1120">
        <v>20000</v>
      </c>
      <c r="V46" t="s" s="1116">
        <v>387</v>
      </c>
      <c r="W46" s="1150">
        <v>0.37</v>
      </c>
      <c r="X46" s="1122">
        <v>0.33</v>
      </c>
      <c r="Y46" s="1083"/>
      <c r="Z46" s="923"/>
      <c r="AA46" s="923"/>
      <c r="AB46" s="923"/>
      <c r="AC46" s="923"/>
      <c r="AD46" s="923"/>
      <c r="AE46" s="923"/>
      <c r="AF46" s="923"/>
      <c r="AG46" s="923"/>
      <c r="AH46" s="923"/>
      <c r="AI46" s="923"/>
      <c r="AJ46" s="923"/>
      <c r="AK46" s="923"/>
    </row>
    <row r="47" ht="13.5" customHeight="1">
      <c r="A47" s="923"/>
      <c r="B47" s="923"/>
      <c r="C47" s="923"/>
      <c r="D47" s="923"/>
      <c r="E47" s="923"/>
      <c r="F47" s="923"/>
      <c r="G47" s="923"/>
      <c r="H47" s="923"/>
      <c r="I47" s="923"/>
      <c r="J47" s="1067"/>
      <c r="K47" s="1067"/>
      <c r="L47" s="1067"/>
      <c r="M47" s="1067"/>
      <c r="N47" s="1067"/>
      <c r="O47" s="1067"/>
      <c r="P47" s="1143"/>
      <c r="Q47" s="1103">
        <v>42</v>
      </c>
      <c r="R47" s="1119">
        <v>20000</v>
      </c>
      <c r="S47" s="1105" cm="1">
        <f t="array" ref="S47">U47+W47</f>
        <v>20000.26</v>
      </c>
      <c r="T47" s="1103" cm="1">
        <f t="array" ref="T47">X47</f>
        <v>0.33</v>
      </c>
      <c r="U47" s="1120">
        <v>20000</v>
      </c>
      <c r="V47" t="s" s="1116">
        <v>387</v>
      </c>
      <c r="W47" s="1150">
        <v>0.26</v>
      </c>
      <c r="X47" s="1122">
        <v>0.33</v>
      </c>
      <c r="Y47" s="1083"/>
      <c r="Z47" s="923"/>
      <c r="AA47" s="923"/>
      <c r="AB47" s="923"/>
      <c r="AC47" s="923"/>
      <c r="AD47" s="923"/>
      <c r="AE47" s="923"/>
      <c r="AF47" s="923"/>
      <c r="AG47" s="923"/>
      <c r="AH47" s="923"/>
      <c r="AI47" s="923"/>
      <c r="AJ47" s="923"/>
      <c r="AK47" s="923"/>
    </row>
    <row r="48" ht="13.5" customHeight="1">
      <c r="A48" s="923"/>
      <c r="B48" s="923"/>
      <c r="C48" s="923"/>
      <c r="D48" s="923"/>
      <c r="E48" s="923"/>
      <c r="F48" s="923"/>
      <c r="G48" s="923"/>
      <c r="H48" s="923"/>
      <c r="I48" s="923"/>
      <c r="J48" s="1067"/>
      <c r="K48" s="1067"/>
      <c r="L48" s="1067"/>
      <c r="M48" s="1067"/>
      <c r="N48" s="1067"/>
      <c r="O48" s="1067"/>
      <c r="P48" s="1143"/>
      <c r="Q48" s="1103">
        <v>43</v>
      </c>
      <c r="R48" s="1119">
        <v>20000</v>
      </c>
      <c r="S48" s="1105" cm="1">
        <f t="array" ref="S48">U48+W48</f>
        <v>20000.23</v>
      </c>
      <c r="T48" s="1103" cm="1">
        <f t="array" ref="T48">X48</f>
        <v>0.33</v>
      </c>
      <c r="U48" s="1120">
        <v>20000</v>
      </c>
      <c r="V48" t="s" s="1116">
        <v>387</v>
      </c>
      <c r="W48" s="1150">
        <v>0.23</v>
      </c>
      <c r="X48" s="1122">
        <v>0.33</v>
      </c>
      <c r="Y48" s="1083"/>
      <c r="Z48" s="923"/>
      <c r="AA48" s="923"/>
      <c r="AB48" s="923"/>
      <c r="AC48" s="923"/>
      <c r="AD48" s="923"/>
      <c r="AE48" s="923"/>
      <c r="AF48" s="923"/>
      <c r="AG48" s="923"/>
      <c r="AH48" s="923"/>
      <c r="AI48" s="923"/>
      <c r="AJ48" s="923"/>
      <c r="AK48" s="923"/>
    </row>
    <row r="49" ht="13.5" customHeight="1">
      <c r="A49" s="923"/>
      <c r="B49" s="923"/>
      <c r="C49" s="923"/>
      <c r="D49" s="923"/>
      <c r="E49" s="923"/>
      <c r="F49" s="923"/>
      <c r="G49" s="923"/>
      <c r="H49" s="923"/>
      <c r="I49" s="923"/>
      <c r="J49" s="1067"/>
      <c r="K49" s="1067"/>
      <c r="L49" s="1067"/>
      <c r="M49" s="1067"/>
      <c r="N49" s="1067"/>
      <c r="O49" s="1067"/>
      <c r="P49" s="1143"/>
      <c r="Q49" s="1103">
        <v>44</v>
      </c>
      <c r="R49" s="1119">
        <v>20000</v>
      </c>
      <c r="S49" s="1105" cm="1">
        <f t="array" ref="S49">U49+W49</f>
        <v>20000.39</v>
      </c>
      <c r="T49" s="1103" cm="1">
        <f t="array" ref="T49">X49</f>
        <v>0.33</v>
      </c>
      <c r="U49" s="1120">
        <v>20000</v>
      </c>
      <c r="V49" t="s" s="1116">
        <v>387</v>
      </c>
      <c r="W49" s="1150">
        <v>0.39</v>
      </c>
      <c r="X49" s="1122">
        <v>0.33</v>
      </c>
      <c r="Y49" s="1083"/>
      <c r="Z49" s="923"/>
      <c r="AA49" s="923"/>
      <c r="AB49" s="923"/>
      <c r="AC49" s="923"/>
      <c r="AD49" s="923"/>
      <c r="AE49" s="923"/>
      <c r="AF49" s="923"/>
      <c r="AG49" s="923"/>
      <c r="AH49" s="923"/>
      <c r="AI49" s="923"/>
      <c r="AJ49" s="923"/>
      <c r="AK49" s="923"/>
    </row>
    <row r="50" ht="13.5" customHeight="1">
      <c r="A50" s="923"/>
      <c r="B50" s="923"/>
      <c r="C50" s="923"/>
      <c r="D50" s="923"/>
      <c r="E50" s="923"/>
      <c r="F50" s="923"/>
      <c r="G50" s="923"/>
      <c r="H50" s="923"/>
      <c r="I50" s="923"/>
      <c r="J50" s="1067"/>
      <c r="K50" s="1067"/>
      <c r="L50" s="1067"/>
      <c r="M50" s="1067"/>
      <c r="N50" s="1067"/>
      <c r="O50" s="1067"/>
      <c r="P50" s="1143"/>
      <c r="Q50" s="1103">
        <v>45</v>
      </c>
      <c r="R50" s="1119">
        <v>20000</v>
      </c>
      <c r="S50" s="1105" cm="1">
        <f t="array" ref="S50">U50+W50</f>
        <v>20000.28</v>
      </c>
      <c r="T50" s="1103" cm="1">
        <f t="array" ref="T50">X50</f>
        <v>0.33</v>
      </c>
      <c r="U50" s="1120">
        <v>20000</v>
      </c>
      <c r="V50" t="s" s="1116">
        <v>387</v>
      </c>
      <c r="W50" s="1150">
        <v>0.28</v>
      </c>
      <c r="X50" s="1122">
        <v>0.33</v>
      </c>
      <c r="Y50" s="1083"/>
      <c r="Z50" s="923"/>
      <c r="AA50" s="923"/>
      <c r="AB50" s="923"/>
      <c r="AC50" s="923"/>
      <c r="AD50" s="923"/>
      <c r="AE50" s="923"/>
      <c r="AF50" s="923"/>
      <c r="AG50" s="923"/>
      <c r="AH50" s="923"/>
      <c r="AI50" s="923"/>
      <c r="AJ50" s="923"/>
      <c r="AK50" s="923"/>
    </row>
    <row r="51" ht="13.5" customHeight="1">
      <c r="A51" s="923"/>
      <c r="B51" s="923"/>
      <c r="C51" s="923"/>
      <c r="D51" s="923"/>
      <c r="E51" s="923"/>
      <c r="F51" s="923"/>
      <c r="G51" s="923"/>
      <c r="H51" s="923"/>
      <c r="I51" s="923"/>
      <c r="J51" s="1067"/>
      <c r="K51" s="1067"/>
      <c r="L51" s="1067"/>
      <c r="M51" s="1067"/>
      <c r="N51" s="1067"/>
      <c r="O51" s="1067"/>
      <c r="P51" s="1143"/>
      <c r="Q51" s="1103">
        <v>46</v>
      </c>
      <c r="R51" s="1119">
        <v>20000</v>
      </c>
      <c r="S51" s="1105" cm="1">
        <f t="array" ref="S51">U51+W51</f>
        <v>20000.31</v>
      </c>
      <c r="T51" s="1103" cm="1">
        <f t="array" ref="T51">X51</f>
        <v>0.33</v>
      </c>
      <c r="U51" s="1120">
        <v>20000</v>
      </c>
      <c r="V51" t="s" s="1116">
        <v>387</v>
      </c>
      <c r="W51" s="1150">
        <v>0.31</v>
      </c>
      <c r="X51" s="1122">
        <v>0.33</v>
      </c>
      <c r="Y51" s="1083"/>
      <c r="Z51" s="923"/>
      <c r="AA51" s="923"/>
      <c r="AB51" s="923"/>
      <c r="AC51" s="923"/>
      <c r="AD51" s="923"/>
      <c r="AE51" s="923"/>
      <c r="AF51" s="923"/>
      <c r="AG51" s="923"/>
      <c r="AH51" s="923"/>
      <c r="AI51" s="923"/>
      <c r="AJ51" s="923"/>
      <c r="AK51" s="923"/>
    </row>
    <row r="52" ht="13.5" customHeight="1">
      <c r="A52" s="923"/>
      <c r="B52" s="923"/>
      <c r="C52" s="923"/>
      <c r="D52" s="923"/>
      <c r="E52" s="923"/>
      <c r="F52" s="923"/>
      <c r="G52" s="923"/>
      <c r="H52" s="923"/>
      <c r="I52" s="923"/>
      <c r="J52" s="1067"/>
      <c r="K52" s="1067"/>
      <c r="L52" s="1067"/>
      <c r="M52" s="1067"/>
      <c r="N52" s="1067"/>
      <c r="O52" s="1067"/>
      <c r="P52" s="1143"/>
      <c r="Q52" s="1103">
        <v>47</v>
      </c>
      <c r="R52" s="1119">
        <v>20000</v>
      </c>
      <c r="S52" s="1105" cm="1">
        <f t="array" ref="S52">U52+W52</f>
        <v>20000.36</v>
      </c>
      <c r="T52" s="1103" cm="1">
        <f t="array" ref="T52">X52</f>
        <v>0.33</v>
      </c>
      <c r="U52" s="1120">
        <v>20000</v>
      </c>
      <c r="V52" t="s" s="1116">
        <v>387</v>
      </c>
      <c r="W52" s="1150">
        <v>0.36</v>
      </c>
      <c r="X52" s="1122">
        <v>0.33</v>
      </c>
      <c r="Y52" s="1083"/>
      <c r="Z52" s="923"/>
      <c r="AA52" s="923"/>
      <c r="AB52" s="923"/>
      <c r="AC52" s="923"/>
      <c r="AD52" s="923"/>
      <c r="AE52" s="923"/>
      <c r="AF52" s="923"/>
      <c r="AG52" s="923"/>
      <c r="AH52" s="923"/>
      <c r="AI52" s="923"/>
      <c r="AJ52" s="923"/>
      <c r="AK52" s="923"/>
    </row>
    <row r="53" ht="13.5" customHeight="1">
      <c r="A53" s="923"/>
      <c r="B53" s="923"/>
      <c r="C53" s="923"/>
      <c r="D53" s="923"/>
      <c r="E53" s="923"/>
      <c r="F53" s="923"/>
      <c r="G53" s="923"/>
      <c r="H53" s="923"/>
      <c r="I53" s="923"/>
      <c r="J53" s="1067"/>
      <c r="K53" s="1067"/>
      <c r="L53" s="1067"/>
      <c r="M53" s="1067"/>
      <c r="N53" s="1067"/>
      <c r="O53" s="1067"/>
      <c r="P53" s="1143"/>
      <c r="Q53" s="1103">
        <v>48</v>
      </c>
      <c r="R53" s="1119">
        <v>20000</v>
      </c>
      <c r="S53" s="1105" cm="1">
        <f t="array" ref="S53">U53+W53</f>
        <v>20000.23</v>
      </c>
      <c r="T53" s="1103" cm="1">
        <f t="array" ref="T53">X53</f>
        <v>0.33</v>
      </c>
      <c r="U53" s="1120">
        <v>20000</v>
      </c>
      <c r="V53" t="s" s="1116">
        <v>387</v>
      </c>
      <c r="W53" s="1150">
        <v>0.23</v>
      </c>
      <c r="X53" s="1122">
        <v>0.33</v>
      </c>
      <c r="Y53" s="1083"/>
      <c r="Z53" s="923"/>
      <c r="AA53" s="923"/>
      <c r="AB53" s="923"/>
      <c r="AC53" s="923"/>
      <c r="AD53" s="923"/>
      <c r="AE53" s="923"/>
      <c r="AF53" s="923"/>
      <c r="AG53" s="923"/>
      <c r="AH53" s="923"/>
      <c r="AI53" s="923"/>
      <c r="AJ53" s="923"/>
      <c r="AK53" s="923"/>
    </row>
    <row r="54" ht="13.5" customHeight="1">
      <c r="A54" s="923"/>
      <c r="B54" s="923"/>
      <c r="C54" s="923"/>
      <c r="D54" s="923"/>
      <c r="E54" s="923"/>
      <c r="F54" s="923"/>
      <c r="G54" s="923"/>
      <c r="H54" s="923"/>
      <c r="I54" s="923"/>
      <c r="J54" s="1067"/>
      <c r="K54" s="1067"/>
      <c r="L54" s="1067"/>
      <c r="M54" s="1067"/>
      <c r="N54" s="1067"/>
      <c r="O54" s="1067"/>
      <c r="P54" s="1143"/>
      <c r="Q54" s="1103">
        <v>49</v>
      </c>
      <c r="R54" s="1119">
        <v>20000</v>
      </c>
      <c r="S54" s="1105" cm="1">
        <f t="array" ref="S54">U54+W54</f>
        <v>20000.36</v>
      </c>
      <c r="T54" s="1103" cm="1">
        <f t="array" ref="T54">X54</f>
        <v>0.33</v>
      </c>
      <c r="U54" s="1120">
        <v>20000</v>
      </c>
      <c r="V54" t="s" s="1116">
        <v>387</v>
      </c>
      <c r="W54" s="1150">
        <v>0.36</v>
      </c>
      <c r="X54" s="1122">
        <v>0.33</v>
      </c>
      <c r="Y54" s="1083"/>
      <c r="Z54" s="923"/>
      <c r="AA54" s="923"/>
      <c r="AB54" s="923"/>
      <c r="AC54" s="923"/>
      <c r="AD54" s="923"/>
      <c r="AE54" s="923"/>
      <c r="AF54" s="923"/>
      <c r="AG54" s="923"/>
      <c r="AH54" s="923"/>
      <c r="AI54" s="923"/>
      <c r="AJ54" s="923"/>
      <c r="AK54" s="923"/>
    </row>
    <row r="55" ht="13.5" customHeight="1">
      <c r="A55" s="923"/>
      <c r="B55" s="923"/>
      <c r="C55" s="923"/>
      <c r="D55" s="923"/>
      <c r="E55" s="923"/>
      <c r="F55" s="923"/>
      <c r="G55" s="923"/>
      <c r="H55" s="923"/>
      <c r="I55" s="923"/>
      <c r="J55" s="1067"/>
      <c r="K55" s="1067"/>
      <c r="L55" s="1067"/>
      <c r="M55" s="1067"/>
      <c r="N55" s="1067"/>
      <c r="O55" s="1067"/>
      <c r="P55" s="1143"/>
      <c r="Q55" s="1103">
        <v>50</v>
      </c>
      <c r="R55" s="1152">
        <v>20000</v>
      </c>
      <c r="S55" s="1105" cm="1">
        <f t="array" ref="S55">U55+W55</f>
        <v>20000.42</v>
      </c>
      <c r="T55" s="1103" cm="1">
        <f t="array" ref="T55">X55</f>
        <v>0.33</v>
      </c>
      <c r="U55" s="1149">
        <v>20000</v>
      </c>
      <c r="V55" t="s" s="1139">
        <v>387</v>
      </c>
      <c r="W55" s="1153">
        <v>0.42</v>
      </c>
      <c r="X55" s="1154">
        <v>0.33</v>
      </c>
      <c r="Y55" s="1083"/>
      <c r="Z55" s="923"/>
      <c r="AA55" s="923"/>
      <c r="AB55" s="923"/>
      <c r="AC55" s="923"/>
      <c r="AD55" s="923"/>
      <c r="AE55" s="923"/>
      <c r="AF55" s="923"/>
      <c r="AG55" s="923"/>
      <c r="AH55" s="923"/>
      <c r="AI55" s="923"/>
      <c r="AJ55" s="923"/>
      <c r="AK55" s="923"/>
    </row>
    <row r="56" ht="13.5" customHeight="1">
      <c r="A56" s="923"/>
      <c r="B56" s="923"/>
      <c r="C56" s="923"/>
      <c r="D56" s="923"/>
      <c r="E56" s="923"/>
      <c r="F56" s="923"/>
      <c r="G56" s="923"/>
      <c r="H56" s="923"/>
      <c r="I56" s="923"/>
      <c r="J56" s="1067"/>
      <c r="K56" s="1067"/>
      <c r="L56" s="1067"/>
      <c r="M56" s="1067"/>
      <c r="N56" s="1067"/>
      <c r="O56" s="1067"/>
      <c r="P56" s="1067"/>
      <c r="Q56" s="1155"/>
      <c r="R56" s="1105">
        <v>40000</v>
      </c>
      <c r="S56" s="1105" cm="1">
        <f t="array" ref="S56">U56+W56</f>
        <v>0.74</v>
      </c>
      <c r="T56" s="1156" cm="1">
        <f t="array" ref="T56">X56</f>
        <v>0.466690475583121</v>
      </c>
      <c r="U56" s="1134"/>
      <c r="V56" s="1134"/>
      <c r="W56" s="1157" cm="1">
        <f t="array" ref="W56">W6+W7</f>
        <v>0.74</v>
      </c>
      <c r="X56" s="1157" cm="1">
        <f t="array" ref="X56">SQRT(X6^2+X7^2)</f>
        <v>0.466690475583121</v>
      </c>
      <c r="Y56" s="923"/>
      <c r="Z56" s="923"/>
      <c r="AA56" s="923"/>
      <c r="AB56" s="923"/>
      <c r="AC56" s="923"/>
      <c r="AD56" s="923"/>
      <c r="AE56" s="923"/>
      <c r="AF56" s="923"/>
      <c r="AG56" s="923"/>
      <c r="AH56" s="923"/>
      <c r="AI56" s="923"/>
      <c r="AJ56" s="923"/>
      <c r="AK56" s="923"/>
    </row>
    <row r="57" ht="13.5" customHeight="1">
      <c r="A57" s="923"/>
      <c r="B57" s="923"/>
      <c r="C57" s="923"/>
      <c r="D57" s="923"/>
      <c r="E57" s="923"/>
      <c r="F57" s="923"/>
      <c r="G57" s="923"/>
      <c r="H57" s="923"/>
      <c r="I57" s="923"/>
      <c r="J57" s="923"/>
      <c r="K57" s="923"/>
      <c r="L57" s="923"/>
      <c r="M57" s="923"/>
      <c r="N57" s="923"/>
      <c r="O57" s="923"/>
      <c r="P57" s="923"/>
      <c r="Q57" s="923"/>
      <c r="R57" s="1158">
        <v>60000</v>
      </c>
      <c r="S57" s="1105" cm="1">
        <f t="array" ref="S57">U57+W57</f>
        <v>1.13</v>
      </c>
      <c r="T57" s="1156" cm="1">
        <f t="array" ref="T57">X57</f>
        <v>0.571576766497729</v>
      </c>
      <c r="U57" s="923"/>
      <c r="V57" s="923"/>
      <c r="W57" s="1159" cm="1">
        <f t="array" ref="W57">W56+W8</f>
        <v>1.13</v>
      </c>
      <c r="X57" s="1159" cm="1">
        <f t="array" ref="X57">SQRT(X56^2+X8^2)</f>
        <v>0.571576766497729</v>
      </c>
      <c r="Y57" s="923"/>
      <c r="Z57" s="923"/>
      <c r="AA57" s="923"/>
      <c r="AB57" s="923"/>
      <c r="AC57" s="923"/>
      <c r="AD57" s="923"/>
      <c r="AE57" s="923"/>
      <c r="AF57" s="923"/>
      <c r="AG57" s="923"/>
      <c r="AH57" s="923"/>
      <c r="AI57" s="923"/>
      <c r="AJ57" s="923"/>
      <c r="AK57" s="923"/>
    </row>
    <row r="58" ht="13.5" customHeight="1">
      <c r="A58" s="923"/>
      <c r="B58" s="923"/>
      <c r="C58" s="923"/>
      <c r="D58" s="923"/>
      <c r="E58" s="923"/>
      <c r="F58" s="923"/>
      <c r="G58" s="923"/>
      <c r="H58" s="923"/>
      <c r="I58" s="923"/>
      <c r="J58" s="923"/>
      <c r="K58" s="923"/>
      <c r="L58" s="923"/>
      <c r="M58" s="923"/>
      <c r="N58" s="923"/>
      <c r="O58" s="923"/>
      <c r="P58" s="923"/>
      <c r="Q58" s="1084"/>
      <c r="R58" s="1152">
        <v>80000</v>
      </c>
      <c r="S58" s="1105" cm="1">
        <f t="array" ref="S58">U58+W58</f>
        <v>1.52</v>
      </c>
      <c r="T58" s="1156" cm="1">
        <f t="array" ref="T58">X58</f>
        <v>0.66</v>
      </c>
      <c r="U58" s="923"/>
      <c r="V58" s="923"/>
      <c r="W58" s="1159" cm="1">
        <f t="array" ref="W58">W57+W9</f>
        <v>1.52</v>
      </c>
      <c r="X58" s="1159" cm="1">
        <f t="array" ref="X58">SQRT(X57^2+X9^2)</f>
        <v>0.66</v>
      </c>
      <c r="Y58" s="923"/>
      <c r="Z58" s="923"/>
      <c r="AA58" s="923"/>
      <c r="AB58" s="923"/>
      <c r="AC58" s="923"/>
      <c r="AD58" s="923"/>
      <c r="AE58" s="923"/>
      <c r="AF58" s="923"/>
      <c r="AG58" s="923"/>
      <c r="AH58" s="923"/>
      <c r="AI58" s="923"/>
      <c r="AJ58" s="923"/>
      <c r="AK58" s="923"/>
    </row>
    <row r="59" ht="13.5" customHeight="1">
      <c r="A59" s="923"/>
      <c r="B59" s="923"/>
      <c r="C59" s="923"/>
      <c r="D59" s="923"/>
      <c r="E59" s="923"/>
      <c r="F59" s="923"/>
      <c r="G59" s="923"/>
      <c r="H59" s="923"/>
      <c r="I59" s="923"/>
      <c r="J59" s="923"/>
      <c r="K59" s="923"/>
      <c r="L59" s="923"/>
      <c r="M59" s="923"/>
      <c r="N59" s="923"/>
      <c r="O59" s="923"/>
      <c r="P59" s="923"/>
      <c r="Q59" s="923"/>
      <c r="R59" s="1158">
        <v>100000</v>
      </c>
      <c r="S59" s="1105" cm="1">
        <f t="array" ref="S59">U59+W59</f>
        <v>1.83</v>
      </c>
      <c r="T59" s="1156" cm="1">
        <f t="array" ref="T59">X59</f>
        <v>0.737902432574931</v>
      </c>
      <c r="U59" s="923"/>
      <c r="V59" s="923"/>
      <c r="W59" s="1159" cm="1">
        <f t="array" ref="W59">W58+W10</f>
        <v>1.83</v>
      </c>
      <c r="X59" s="1159" cm="1">
        <f t="array" ref="X59">SQRT(X58^2+X10^2)</f>
        <v>0.737902432574931</v>
      </c>
      <c r="Y59" s="923"/>
      <c r="Z59" s="923"/>
      <c r="AA59" s="923"/>
      <c r="AB59" s="923"/>
      <c r="AC59" s="923"/>
      <c r="AD59" s="923"/>
      <c r="AE59" s="923"/>
      <c r="AF59" s="923"/>
      <c r="AG59" s="923"/>
      <c r="AH59" s="923"/>
      <c r="AI59" s="923"/>
      <c r="AJ59" s="923"/>
      <c r="AK59" s="923"/>
    </row>
    <row r="60" ht="13.5" customHeight="1">
      <c r="A60" s="923"/>
      <c r="B60" s="923"/>
      <c r="C60" s="923"/>
      <c r="D60" s="923"/>
      <c r="E60" s="923"/>
      <c r="F60" s="923"/>
      <c r="G60" s="923"/>
      <c r="H60" s="923"/>
      <c r="I60" s="923"/>
      <c r="J60" s="923"/>
      <c r="K60" s="923"/>
      <c r="L60" s="923"/>
      <c r="M60" s="923"/>
      <c r="N60" s="923"/>
      <c r="O60" s="923"/>
      <c r="P60" s="923"/>
      <c r="Q60" s="1084"/>
      <c r="R60" s="1152">
        <v>120000</v>
      </c>
      <c r="S60" s="1105" cm="1">
        <f t="array" ref="S60">U60+W60</f>
        <v>2.19</v>
      </c>
      <c r="T60" s="1156" cm="1">
        <f t="array" ref="T60">X60</f>
        <v>0.808331615118449</v>
      </c>
      <c r="U60" s="923"/>
      <c r="V60" s="923"/>
      <c r="W60" s="1159" cm="1">
        <f t="array" ref="W60">W59+W11</f>
        <v>2.19</v>
      </c>
      <c r="X60" s="1159" cm="1">
        <f t="array" ref="X60">SQRT(X59^2+X11^2)</f>
        <v>0.808331615118449</v>
      </c>
      <c r="Y60" s="923"/>
      <c r="Z60" s="923"/>
      <c r="AA60" s="923"/>
      <c r="AB60" s="923"/>
      <c r="AC60" s="923"/>
      <c r="AD60" s="923"/>
      <c r="AE60" s="923"/>
      <c r="AF60" s="923"/>
      <c r="AG60" s="923"/>
      <c r="AH60" s="923"/>
      <c r="AI60" s="923"/>
      <c r="AJ60" s="923"/>
      <c r="AK60" s="923"/>
    </row>
    <row r="61" ht="13.5" customHeight="1">
      <c r="A61" s="923"/>
      <c r="B61" s="923"/>
      <c r="C61" s="923"/>
      <c r="D61" s="923"/>
      <c r="E61" s="923"/>
      <c r="F61" s="923"/>
      <c r="G61" s="923"/>
      <c r="H61" s="923"/>
      <c r="I61" s="923"/>
      <c r="J61" s="923"/>
      <c r="K61" s="923"/>
      <c r="L61" s="923"/>
      <c r="M61" s="923"/>
      <c r="N61" s="923"/>
      <c r="O61" s="923"/>
      <c r="P61" s="923"/>
      <c r="Q61" s="923"/>
      <c r="R61" s="1158">
        <v>140000</v>
      </c>
      <c r="S61" s="1105" cm="1">
        <f t="array" ref="S61">U61+W61</f>
        <v>2.56</v>
      </c>
      <c r="T61" s="1156" cm="1">
        <f t="array" ref="T61">X61</f>
        <v>0.873097932651315</v>
      </c>
      <c r="U61" s="923"/>
      <c r="V61" s="923"/>
      <c r="W61" s="1159" cm="1">
        <f t="array" ref="W61">W60+W12</f>
        <v>2.56</v>
      </c>
      <c r="X61" s="1159" cm="1">
        <f t="array" ref="X61">SQRT(X60^2+X12^2)</f>
        <v>0.873097932651315</v>
      </c>
      <c r="Y61" s="923"/>
      <c r="Z61" s="923"/>
      <c r="AA61" s="923"/>
      <c r="AB61" s="923"/>
      <c r="AC61" s="923"/>
      <c r="AD61" s="923"/>
      <c r="AE61" s="923"/>
      <c r="AF61" s="923"/>
      <c r="AG61" s="923"/>
      <c r="AH61" s="923"/>
      <c r="AI61" s="923"/>
      <c r="AJ61" s="923"/>
      <c r="AK61" s="923"/>
    </row>
    <row r="62" ht="13.5" customHeight="1">
      <c r="A62" s="923"/>
      <c r="B62" s="923"/>
      <c r="C62" s="923"/>
      <c r="D62" s="923"/>
      <c r="E62" s="923"/>
      <c r="F62" s="923"/>
      <c r="G62" s="923"/>
      <c r="H62" s="923"/>
      <c r="I62" s="923"/>
      <c r="J62" s="923"/>
      <c r="K62" s="923"/>
      <c r="L62" s="923"/>
      <c r="M62" s="923"/>
      <c r="N62" s="923"/>
      <c r="O62" s="923"/>
      <c r="P62" s="923"/>
      <c r="Q62" s="1084"/>
      <c r="R62" s="1152">
        <v>160000</v>
      </c>
      <c r="S62" s="1105" cm="1">
        <f t="array" ref="S62">U62+W62</f>
        <v>2.93</v>
      </c>
      <c r="T62" s="1156" cm="1">
        <f t="array" ref="T62">X62</f>
        <v>0.933380951166243</v>
      </c>
      <c r="U62" s="923"/>
      <c r="V62" s="923"/>
      <c r="W62" s="1159" cm="1">
        <f t="array" ref="W62">W61+W13</f>
        <v>2.93</v>
      </c>
      <c r="X62" s="1159" cm="1">
        <f t="array" ref="X62">SQRT(X61^2+X13^2)</f>
        <v>0.933380951166243</v>
      </c>
      <c r="Y62" s="923"/>
      <c r="Z62" s="923"/>
      <c r="AA62" s="923"/>
      <c r="AB62" s="923"/>
      <c r="AC62" s="923"/>
      <c r="AD62" s="923"/>
      <c r="AE62" s="923"/>
      <c r="AF62" s="923"/>
      <c r="AG62" s="923"/>
      <c r="AH62" s="923"/>
      <c r="AI62" s="923"/>
      <c r="AJ62" s="923"/>
      <c r="AK62" s="923"/>
    </row>
    <row r="63" ht="13.5" customHeight="1">
      <c r="A63" s="923"/>
      <c r="B63" s="923"/>
      <c r="C63" s="923"/>
      <c r="D63" s="923"/>
      <c r="E63" s="923"/>
      <c r="F63" s="923"/>
      <c r="G63" s="923"/>
      <c r="H63" s="923"/>
      <c r="I63" s="923"/>
      <c r="J63" s="923"/>
      <c r="K63" s="923"/>
      <c r="L63" s="923"/>
      <c r="M63" s="923"/>
      <c r="N63" s="923"/>
      <c r="O63" s="923"/>
      <c r="P63" s="923"/>
      <c r="Q63" s="923"/>
      <c r="R63" s="1158">
        <v>180000</v>
      </c>
      <c r="S63" s="1105" cm="1">
        <f t="array" ref="S63">U63+W63</f>
        <v>3.21</v>
      </c>
      <c r="T63" s="1156" cm="1">
        <f t="array" ref="T63">X63</f>
        <v>0.99</v>
      </c>
      <c r="U63" s="923"/>
      <c r="V63" s="923"/>
      <c r="W63" s="1159" cm="1">
        <f t="array" ref="W63">W62+W14</f>
        <v>3.21</v>
      </c>
      <c r="X63" s="1159" cm="1">
        <f t="array" ref="X63">SQRT(X62^2+X14^2)</f>
        <v>0.99</v>
      </c>
      <c r="Y63" s="923"/>
      <c r="Z63" s="923"/>
      <c r="AA63" s="923"/>
      <c r="AB63" s="923"/>
      <c r="AC63" s="923"/>
      <c r="AD63" s="923"/>
      <c r="AE63" s="923"/>
      <c r="AF63" s="923"/>
      <c r="AG63" s="923"/>
      <c r="AH63" s="923"/>
      <c r="AI63" s="923"/>
      <c r="AJ63" s="923"/>
      <c r="AK63" s="923"/>
    </row>
    <row r="64" ht="13.5" customHeight="1">
      <c r="A64" s="923"/>
      <c r="B64" s="923"/>
      <c r="C64" s="923"/>
      <c r="D64" s="923"/>
      <c r="E64" s="923"/>
      <c r="F64" s="923"/>
      <c r="G64" s="923"/>
      <c r="H64" s="923"/>
      <c r="I64" s="923"/>
      <c r="J64" s="923"/>
      <c r="K64" s="923"/>
      <c r="L64" s="923"/>
      <c r="M64" s="923"/>
      <c r="N64" s="923"/>
      <c r="O64" s="923"/>
      <c r="P64" s="923"/>
      <c r="Q64" s="1084"/>
      <c r="R64" s="1152">
        <v>200000</v>
      </c>
      <c r="S64" s="1104" cm="1">
        <f t="array" ref="S64">U64+W64</f>
        <v>3.57</v>
      </c>
      <c r="T64" s="1160" cm="1">
        <f t="array" ref="T64">X64</f>
        <v>1.04355162785557</v>
      </c>
      <c r="U64" s="923"/>
      <c r="V64" s="923"/>
      <c r="W64" s="1159" cm="1">
        <f t="array" ref="W64">W63+W15</f>
        <v>3.57</v>
      </c>
      <c r="X64" s="1159" cm="1">
        <f t="array" ref="X64">SQRT(X63^2+X15^2)</f>
        <v>1.04355162785557</v>
      </c>
      <c r="Y64" s="923"/>
      <c r="Z64" s="923"/>
      <c r="AA64" s="923"/>
      <c r="AB64" s="923"/>
      <c r="AC64" s="923"/>
      <c r="AD64" s="923"/>
      <c r="AE64" s="923"/>
      <c r="AF64" s="923"/>
      <c r="AG64" s="923"/>
      <c r="AH64" s="923"/>
      <c r="AI64" s="923"/>
      <c r="AJ64" s="923"/>
      <c r="AK64" s="923"/>
    </row>
  </sheetData>
  <mergeCells count="5">
    <mergeCell ref="U4:W4"/>
    <mergeCell ref="AA5:AD5"/>
    <mergeCell ref="L4:N4"/>
    <mergeCell ref="L29:N29"/>
    <mergeCell ref="AH4:AJ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