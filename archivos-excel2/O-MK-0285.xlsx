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álculos" sheetId="1" r:id="rId5"/>
    <sheet state="visible" name="Certificado" sheetId="2" r:id="rId6"/>
    <sheet state="visible" name="Anexo II" sheetId="3" r:id="rId7"/>
    <sheet state="visible" name="Resultados I" sheetId="4" r:id="rId8"/>
    <sheet state="visible" name="ETIQUETA" sheetId="5" r:id="rId9"/>
  </sheets>
  <definedNames/>
  <calcPr/>
</workbook>
</file>

<file path=xl/sharedStrings.xml><?xml version="1.0" encoding="utf-8"?>
<sst xmlns="http://schemas.openxmlformats.org/spreadsheetml/2006/main" count="147" uniqueCount="143">
  <si>
    <t>MVRC</t>
  </si>
  <si>
    <t>Ing. J. Oscar T. Morales García</t>
  </si>
  <si>
    <t>Director técnico</t>
  </si>
  <si>
    <t>Jefe de área SF&amp;G</t>
  </si>
  <si>
    <t>Mess Servicios Metrológicos S. de R.L. de C.V.</t>
  </si>
  <si>
    <t>Instalaciones del cliente</t>
  </si>
  <si>
    <t>Ing. Pablo Lopez Perez</t>
  </si>
  <si>
    <t>FRECUENCIA</t>
  </si>
  <si>
    <t>INTERVALO</t>
  </si>
  <si>
    <t>A</t>
  </si>
  <si>
    <t>4 000</t>
  </si>
  <si>
    <t>RESOLUCION</t>
  </si>
  <si>
    <t>para 5</t>
  </si>
  <si>
    <t>UNIDAD</t>
  </si>
  <si>
    <t>Lux</t>
  </si>
  <si>
    <t>Error max:</t>
  </si>
  <si>
    <t>muestras</t>
  </si>
  <si>
    <t>Especificación</t>
  </si>
  <si>
    <t xml:space="preserve">distribución </t>
  </si>
  <si>
    <t>Incertidumbre max:</t>
  </si>
  <si>
    <t>Valor Nominal</t>
  </si>
  <si>
    <t>t= 1.4</t>
  </si>
  <si>
    <t>rectangular</t>
  </si>
  <si>
    <t>Uexpandida</t>
  </si>
  <si>
    <t>cmc</t>
  </si>
  <si>
    <t>del Patrón</t>
  </si>
  <si>
    <t>Muestra 1</t>
  </si>
  <si>
    <t>Muestra 2</t>
  </si>
  <si>
    <t>Muestra 3</t>
  </si>
  <si>
    <t>Muestra 4</t>
  </si>
  <si>
    <t>Muestra 5</t>
  </si>
  <si>
    <t>uA</t>
  </si>
  <si>
    <t>Tol.de Patrón</t>
  </si>
  <si>
    <t>uB de Patrón</t>
  </si>
  <si>
    <t>uB resol.</t>
  </si>
  <si>
    <t>uC</t>
  </si>
  <si>
    <t xml:space="preserve">Grados </t>
  </si>
  <si>
    <t>para 95.45%</t>
  </si>
  <si>
    <t>de libertad</t>
  </si>
  <si>
    <t>Factor k</t>
  </si>
  <si>
    <t>error</t>
  </si>
  <si>
    <t>error +U</t>
  </si>
  <si>
    <t>error -U</t>
  </si>
  <si>
    <t>error_abs</t>
  </si>
  <si>
    <t xml:space="preserve">Formato:    </t>
  </si>
  <si>
    <t>Revisión :</t>
  </si>
  <si>
    <t>O-MK-0285/26</t>
  </si>
  <si>
    <t>LUXOMETRO</t>
  </si>
  <si>
    <t>EXTECH</t>
  </si>
  <si>
    <t>LT45</t>
  </si>
  <si>
    <t>THREE CONSULTORIA MEDIO AMBIENTE, S.A. DE C.V.</t>
  </si>
  <si>
    <t>GALICIA No. 347, COL. ALTAVISTA, C.P. 64840</t>
  </si>
  <si>
    <t>MONTERREY</t>
  </si>
  <si>
    <t>NUEVO LEÓN</t>
  </si>
  <si>
    <r>
      <rPr>
        <rFont val="Century Gothic"/>
        <b/>
        <color rgb="FF000000"/>
        <sz val="19.0"/>
      </rPr>
      <t xml:space="preserve">CERTIFICADO DE CALIBRACIÓN  </t>
    </r>
    <r>
      <rPr>
        <rFont val="Century Gothic"/>
        <b val="0"/>
        <color rgb="FF000000"/>
        <sz val="19.0"/>
      </rPr>
      <t>(CALIBRATION CERTIFICATE)</t>
    </r>
  </si>
  <si>
    <r>
      <rPr>
        <rFont val="Century Gothic"/>
        <b/>
        <color rgb="FF000000"/>
        <sz val="10.0"/>
      </rPr>
      <t xml:space="preserve">  No. de certificado: </t>
    </r>
    <r>
      <rPr>
        <rFont val="Century Gothic"/>
        <color rgb="FF000000"/>
        <sz val="10.0"/>
      </rPr>
      <t xml:space="preserve">   (Certificate number)</t>
    </r>
  </si>
  <si>
    <t>Datos del cliente: ( Customer )</t>
  </si>
  <si>
    <r>
      <rPr>
        <rFont val="Century Gothic"/>
        <b/>
        <color rgb="FF000000"/>
        <sz val="9.0"/>
      </rPr>
      <t xml:space="preserve">Fecha de calibración: </t>
    </r>
    <r>
      <rPr>
        <rFont val="Century Gothic"/>
        <color rgb="FF000000"/>
        <sz val="9.0"/>
      </rPr>
      <t xml:space="preserve">
</t>
    </r>
    <r>
      <rPr>
        <rFont val="Century Gothic"/>
        <color rgb="FF000000"/>
        <sz val="9.0"/>
      </rPr>
      <t>(Calibration date)</t>
    </r>
  </si>
  <si>
    <t>Nombre:
(Name)</t>
  </si>
  <si>
    <r>
      <rPr>
        <rFont val="Century Gothic"/>
        <b/>
        <color rgb="FF000000"/>
        <sz val="9.0"/>
      </rPr>
      <t xml:space="preserve">Fecha de emisión: </t>
    </r>
    <r>
      <rPr>
        <rFont val="Century Gothic"/>
        <color rgb="FF000000"/>
        <sz val="9.0"/>
      </rPr>
      <t xml:space="preserve">
</t>
    </r>
    <r>
      <rPr>
        <rFont val="Century Gothic"/>
        <color rgb="FF000000"/>
        <sz val="9.0"/>
      </rPr>
      <t>(Date issued)</t>
    </r>
  </si>
  <si>
    <t>Domicilio: 
(Address)</t>
  </si>
  <si>
    <r>
      <rPr>
        <rFont val="Century Gothic"/>
        <b/>
        <color rgb="FF000000"/>
        <sz val="9.0"/>
      </rPr>
      <t xml:space="preserve">Vigencia solicitada: </t>
    </r>
    <r>
      <rPr>
        <rFont val="Century Gothic"/>
        <color rgb="FF000000"/>
        <sz val="9.0"/>
      </rPr>
      <t xml:space="preserve">          (Due date required)</t>
    </r>
  </si>
  <si>
    <r>
      <rPr>
        <rFont val="Century Gothic"/>
        <b/>
        <color rgb="FF000000"/>
        <sz val="9.0"/>
      </rPr>
      <t>Fecha de recepcion:</t>
    </r>
    <r>
      <rPr>
        <rFont val="Century Gothic"/>
        <color rgb="FF000000"/>
        <sz val="9.0"/>
      </rPr>
      <t xml:space="preserve">  </t>
    </r>
    <r>
      <rPr>
        <rFont val="Century Gothic"/>
        <i/>
        <color rgb="FF000000"/>
        <sz val="9.0"/>
      </rPr>
      <t>(Reception date)</t>
    </r>
  </si>
  <si>
    <t>Página (Page):</t>
  </si>
  <si>
    <t>1 de 2</t>
  </si>
  <si>
    <t>Descripción del Instrumento: (Instrument description)</t>
  </si>
  <si>
    <t>Lugar de la calibración:</t>
  </si>
  <si>
    <t>METKAL</t>
  </si>
  <si>
    <t>Instrumento :</t>
  </si>
  <si>
    <t>(Instrument)</t>
  </si>
  <si>
    <t>Temperatura :</t>
  </si>
  <si>
    <t>Marca:</t>
  </si>
  <si>
    <t>(Temperature)</t>
  </si>
  <si>
    <t>(Manufacturer)</t>
  </si>
  <si>
    <t>Humedad Relativa :</t>
  </si>
  <si>
    <t>Modelo:</t>
  </si>
  <si>
    <t>(Relative Humidity)</t>
  </si>
  <si>
    <t>(Model)</t>
  </si>
  <si>
    <t>No. serie:</t>
  </si>
  <si>
    <t>(Serial number)</t>
  </si>
  <si>
    <t>ID Interno:</t>
  </si>
  <si>
    <t>(Customer ID)</t>
  </si>
  <si>
    <t>Intervalo :</t>
  </si>
  <si>
    <t xml:space="preserve"> VER RESULTADOS</t>
  </si>
  <si>
    <t>(Range)</t>
  </si>
  <si>
    <t>Resolución:</t>
  </si>
  <si>
    <t>(Resolution)</t>
  </si>
  <si>
    <t xml:space="preserve">El  laboratorio  de  calibraciones  cuenta  con  un  sistema  de  Gestión de Procesos basado en: </t>
  </si>
  <si>
    <t>ISO/IEC 17025:2017</t>
  </si>
  <si>
    <t>Requisitos  generales  para  la competencia  de los  laboratorios  de  ensayo  y  de  calibración.</t>
  </si>
  <si>
    <t>Procedimiento    utilizado</t>
  </si>
  <si>
    <t>7.2O1</t>
  </si>
  <si>
    <t>Método:</t>
  </si>
  <si>
    <t>Comparación directa</t>
  </si>
  <si>
    <t>(Procedure used)</t>
  </si>
  <si>
    <t>(Method)</t>
  </si>
  <si>
    <r>
      <rPr>
        <rFont val="Century Gothic"/>
        <b/>
        <color rgb="FF000000"/>
        <sz val="10.0"/>
      </rPr>
      <t>Patrones empleados en la calibración</t>
    </r>
    <r>
      <rPr>
        <rFont val="Century Gothic"/>
        <b/>
        <color rgb="FF000000"/>
        <sz val="8.0"/>
      </rPr>
      <t xml:space="preserve"> </t>
    </r>
    <r>
      <rPr>
        <rFont val="Century Gothic"/>
        <b val="0"/>
        <i/>
        <color rgb="FF000000"/>
        <sz val="8.0"/>
      </rPr>
      <t>(Measurement standard description)</t>
    </r>
  </si>
  <si>
    <t>Descripción del patrón</t>
  </si>
  <si>
    <t xml:space="preserve">Certificado / Informe                </t>
  </si>
  <si>
    <r>
      <rPr>
        <rFont val="Century Gothic"/>
        <b/>
        <color rgb="FF000000"/>
        <sz val="8.0"/>
      </rPr>
      <t xml:space="preserve">Vigencia          </t>
    </r>
    <r>
      <rPr>
        <rFont val="Century Gothic"/>
        <b val="0"/>
        <color rgb="FF000000"/>
        <sz val="8.0"/>
      </rPr>
      <t xml:space="preserve">  </t>
    </r>
  </si>
  <si>
    <t xml:space="preserve">ID interno          </t>
  </si>
  <si>
    <t>(Description)</t>
  </si>
  <si>
    <t xml:space="preserve"> (Certificate number)</t>
  </si>
  <si>
    <t>(Validity)</t>
  </si>
  <si>
    <t>(Internal ID)</t>
  </si>
  <si>
    <t xml:space="preserve">LUXOMETRO </t>
  </si>
  <si>
    <t>EPS25MY1-40498</t>
  </si>
  <si>
    <t>MK-030</t>
  </si>
  <si>
    <t>Calibró:</t>
  </si>
  <si>
    <t>Miguel A. Bernal Cordero</t>
  </si>
  <si>
    <t>Firma</t>
  </si>
  <si>
    <t>(Calibrated by:)</t>
  </si>
  <si>
    <t>Ingeniero de servicio</t>
  </si>
  <si>
    <t>(Signature)</t>
  </si>
  <si>
    <t>Aprobó:</t>
  </si>
  <si>
    <t>Sergio Garza Rangel</t>
  </si>
  <si>
    <t>(Approved by:)</t>
  </si>
  <si>
    <t>Director Administrativo</t>
  </si>
  <si>
    <r>
      <rPr>
        <rFont val="Century Gothic"/>
        <color rgb="FF000000"/>
        <sz val="10.0"/>
      </rPr>
      <t xml:space="preserve">   No. de certificado:
</t>
    </r>
    <r>
      <rPr>
        <rFont val="Century Gothic"/>
        <i/>
        <color rgb="FF000000"/>
        <sz val="8.0"/>
      </rPr>
      <t xml:space="preserve">   (Calibration number)</t>
    </r>
  </si>
  <si>
    <t xml:space="preserve">CERTIFICADO DE CALIBRACIÓN
(CALIBRATION CERTIFICATE)
</t>
  </si>
  <si>
    <r>
      <rPr>
        <rFont val="Century Gothic"/>
        <color rgb="FF000000"/>
        <sz val="10.0"/>
      </rPr>
      <t xml:space="preserve">   Fecha de calibración:
</t>
    </r>
    <r>
      <rPr>
        <rFont val="Century Gothic"/>
        <i/>
        <color rgb="FF000000"/>
        <sz val="8.0"/>
      </rPr>
      <t xml:space="preserve">   (Calibration date)</t>
    </r>
  </si>
  <si>
    <r>
      <rPr>
        <rFont val="Century Gothic"/>
        <color rgb="FF000000"/>
        <sz val="10.0"/>
      </rPr>
      <t xml:space="preserve">   Fecha de emision:
</t>
    </r>
    <r>
      <rPr>
        <rFont val="Century Gothic"/>
        <i/>
        <color rgb="FF000000"/>
        <sz val="8.0"/>
      </rPr>
      <t xml:space="preserve">   (Issued date)</t>
    </r>
  </si>
  <si>
    <r>
      <rPr>
        <rFont val="Century Gothic"/>
        <color rgb="FF000000"/>
        <sz val="10.0"/>
      </rPr>
      <t xml:space="preserve">   Página:
</t>
    </r>
    <r>
      <rPr>
        <rFont val="Century Gothic"/>
        <i/>
        <color rgb="FF000000"/>
        <sz val="8.0"/>
      </rPr>
      <t xml:space="preserve">   (Page)</t>
    </r>
  </si>
  <si>
    <t>2 de 2</t>
  </si>
  <si>
    <t>lux</t>
  </si>
  <si>
    <t>Magnitud:</t>
  </si>
  <si>
    <t>Unidad</t>
  </si>
  <si>
    <t>Intervalo de medida:</t>
  </si>
  <si>
    <t>a</t>
  </si>
  <si>
    <t>Division minima:</t>
  </si>
  <si>
    <t>Valor medido  Instrumento</t>
  </si>
  <si>
    <t>Valor medido del instrumento</t>
  </si>
  <si>
    <t>Error de medida</t>
  </si>
  <si>
    <t>Incertidumbre
(%) Read</t>
  </si>
  <si>
    <t xml:space="preserve">La incertidumbre expandida se obtuvo de multiplicar la incertidumbre estándar combinada por un factor de cobertura de k=2, 
que asegura un nivel de confianza de 95% aproximadamente. </t>
  </si>
  <si>
    <t>Observaciones: Ninguna.</t>
  </si>
  <si>
    <t>CALIBRADO</t>
  </si>
  <si>
    <t>CERTIFICADO:</t>
  </si>
  <si>
    <t xml:space="preserve"> Fecha de calibración:</t>
  </si>
  <si>
    <t xml:space="preserve"> Vigencia de cliente:</t>
  </si>
  <si>
    <t xml:space="preserve"> ID:</t>
  </si>
  <si>
    <t>Metkal</t>
  </si>
  <si>
    <t>MK-ET-01</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</si>
</sst>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quot;-&quot;mm&quot;-&quot;dd"/>
    <numFmt numFmtId="165" formatCode="0.000"/>
    <numFmt numFmtId="166" formatCode="0.0"/>
    <numFmt numFmtId="167" formatCode="0.0000"/>
    <numFmt numFmtId="168" formatCode="0.000000"/>
    <numFmt numFmtId="169" formatCode="0.00000"/>
    <numFmt numFmtId="170" formatCode="0.0&quot; °C&quot;"/>
    <numFmt numFmtId="171" formatCode="0.0%"/>
    <numFmt numFmtId="172" formatCode="0&quot; °C&quot;"/>
    <numFmt numFmtId="173" formatCode="0&quot; &quot;000"/>
  </numFmts>
  <fonts count="62">
    <font>
      <sz val="10.0"/>
      <color rgb="FF000000"/>
      <name val="Arial"/>
      <scheme val="minor"/>
    </font>
    <font>
      <sz val="10.0"/>
      <color rgb="FFDBE5F1"/>
      <name val="Arial"/>
    </font>
    <font>
      <sz val="10.0"/>
      <color rgb="FF000000"/>
      <name val="Arial"/>
    </font>
    <font>
      <b/>
      <sz val="10.0"/>
      <color rgb="FFFFFFFF"/>
      <name val="Tahoma"/>
    </font>
    <font/>
    <font>
      <sz val="10.0"/>
      <color rgb="FFFFFFFF"/>
      <name val="Arial"/>
    </font>
    <font>
      <sz val="10.0"/>
      <color rgb="FFFFFFFF"/>
      <name val="Tahoma"/>
    </font>
    <font>
      <b/>
      <sz val="8.0"/>
      <color rgb="FFFFFFFF"/>
      <name val="Tahoma"/>
    </font>
    <font>
      <sz val="8.0"/>
      <color rgb="FFFFFFFF"/>
      <name val="Tahoma"/>
    </font>
    <font>
      <sz val="6.0"/>
      <color rgb="FFFFFFFF"/>
      <name val="Tahoma"/>
    </font>
    <font>
      <b/>
      <sz val="20.0"/>
      <color rgb="FF000000"/>
      <name val="Arial"/>
    </font>
    <font>
      <sz val="10.0"/>
      <color rgb="FF000000"/>
      <name val="Tahoma"/>
    </font>
    <font>
      <b/>
      <sz val="10.0"/>
      <color rgb="FFA5A5A5"/>
      <name val="Tahoma"/>
    </font>
    <font>
      <sz val="10.0"/>
      <color rgb="FFA5A5A5"/>
      <name val="Tahoma"/>
    </font>
    <font>
      <sz val="10.0"/>
      <color rgb="FFA5A5A5"/>
      <name val="Arial"/>
    </font>
    <font>
      <sz val="8.0"/>
      <color rgb="FF000000"/>
      <name val="Arial"/>
    </font>
    <font>
      <b/>
      <sz val="8.0"/>
      <color rgb="FF000000"/>
      <name val="Arial"/>
    </font>
    <font>
      <sz val="12.0"/>
      <color rgb="FF000000"/>
      <name val="Tahoma"/>
    </font>
    <font>
      <sz val="8.0"/>
      <color rgb="FF000000"/>
      <name val="Tahoma"/>
    </font>
    <font>
      <sz val="12.0"/>
      <color rgb="FF000000"/>
      <name val="Arial"/>
    </font>
    <font>
      <sz val="10.0"/>
      <color rgb="FF7F7F7F"/>
      <name val="Arial"/>
    </font>
    <font>
      <sz val="11.0"/>
      <color rgb="FFFFFFFF"/>
      <name val="Century Gothic"/>
    </font>
    <font>
      <sz val="11.0"/>
      <color rgb="FF000000"/>
      <name val="Tahoma"/>
    </font>
    <font>
      <sz val="11.0"/>
      <color rgb="FF000000"/>
      <name val="Century Gothic"/>
    </font>
    <font>
      <b/>
      <sz val="18.0"/>
      <color rgb="FF002060"/>
      <name val="Century Gothic"/>
    </font>
    <font>
      <i/>
      <sz val="8.0"/>
      <color rgb="FF000000"/>
      <name val="Century Gothic"/>
    </font>
    <font>
      <sz val="12.0"/>
      <color rgb="FF000000"/>
      <name val="Century Gothic"/>
    </font>
    <font>
      <sz val="10.0"/>
      <color rgb="FF000000"/>
      <name val="Century Gothic"/>
    </font>
    <font>
      <b/>
      <sz val="19.0"/>
      <color rgb="FF000000"/>
      <name val="Century Gothic"/>
    </font>
    <font>
      <b/>
      <sz val="14.0"/>
      <color rgb="FF000000"/>
      <name val="Century Gothic"/>
    </font>
    <font>
      <b/>
      <sz val="12.0"/>
      <color rgb="FF000000"/>
      <name val="Century Gothic"/>
    </font>
    <font>
      <sz val="8.0"/>
      <color rgb="FFFF0000"/>
      <name val="Century Gothic"/>
    </font>
    <font>
      <sz val="9.0"/>
      <color rgb="FF000000"/>
      <name val="Century Gothic"/>
    </font>
    <font>
      <b/>
      <sz val="12.0"/>
      <color rgb="FFFFFFFF"/>
      <name val="Arial"/>
    </font>
    <font>
      <b/>
      <sz val="10.0"/>
      <color rgb="FF000000"/>
      <name val="Century Gothic"/>
    </font>
    <font>
      <b/>
      <sz val="9.0"/>
      <color rgb="FF000000"/>
      <name val="Century Gothic"/>
    </font>
    <font>
      <b/>
      <sz val="8.0"/>
      <color rgb="FF000000"/>
      <name val="Century Gothic"/>
    </font>
    <font>
      <sz val="8.0"/>
      <color rgb="FF000000"/>
      <name val="Century Gothic"/>
    </font>
    <font>
      <sz val="10.0"/>
      <color rgb="FFFFFFFF"/>
      <name val="Century Gothic"/>
    </font>
    <font>
      <sz val="7.0"/>
      <color rgb="FFFFFFFF"/>
      <name val="Century Gothic"/>
    </font>
    <font>
      <i/>
      <sz val="9.0"/>
      <color rgb="FF000000"/>
      <name val="Century Gothic"/>
    </font>
    <font>
      <sz val="9.0"/>
      <color rgb="FF000000"/>
      <name val="Tahoma"/>
    </font>
    <font>
      <b/>
      <sz val="10.0"/>
      <color rgb="FF000000"/>
      <name val="Arial"/>
    </font>
    <font>
      <b/>
      <sz val="16.0"/>
      <color rgb="FF000000"/>
      <name val="Tahoma"/>
    </font>
    <font>
      <b/>
      <sz val="15.0"/>
      <color rgb="FF000000"/>
      <name val="Century Gothic"/>
    </font>
    <font>
      <sz val="10.0"/>
      <color rgb="FF000000"/>
      <name val="Calibri"/>
    </font>
    <font>
      <b/>
      <sz val="8.0"/>
      <color rgb="FF000000"/>
      <name val="Tahoma"/>
    </font>
    <font>
      <sz val="10.0"/>
      <color rgb="FF000000"/>
      <name val="Baumans"/>
    </font>
    <font>
      <b/>
      <sz val="55.0"/>
      <color rgb="FF000000"/>
      <name val="Tahoma"/>
    </font>
    <font>
      <sz val="17.0"/>
      <color rgb="FF000000"/>
      <name val="Arial"/>
    </font>
    <font>
      <sz val="120.0"/>
      <color rgb="FF000000"/>
      <name val="Tahoma"/>
    </font>
    <font>
      <sz val="72.0"/>
      <color rgb="FF000000"/>
      <name val="Tahoma"/>
    </font>
    <font>
      <sz val="17.0"/>
      <color rgb="FF000000"/>
      <name val="Tahoma"/>
    </font>
    <font>
      <b/>
      <sz val="23.0"/>
      <color rgb="FF000000"/>
      <name val="Tahoma"/>
    </font>
    <font>
      <b/>
      <sz val="28.0"/>
      <color rgb="FF000000"/>
      <name val="Tahoma"/>
    </font>
    <font>
      <b/>
      <sz val="27.0"/>
      <color rgb="FF000000"/>
      <name val="Arial"/>
    </font>
    <font>
      <b/>
      <sz val="19.0"/>
      <color rgb="FF000000"/>
      <name val="Arial"/>
    </font>
    <font>
      <b/>
      <sz val="21.0"/>
      <color rgb="FF000000"/>
      <name val="Tahoma"/>
    </font>
    <font>
      <b/>
      <sz val="24.0"/>
      <color rgb="FF000000"/>
      <name val="Arial"/>
    </font>
    <font>
      <b/>
      <sz val="20.0"/>
      <color rgb="FF000000"/>
      <name val="Tahoma"/>
    </font>
    <font>
      <b/>
      <sz val="65.0"/>
      <color rgb="FFFFFFFF"/>
      <name val="Tahoma"/>
    </font>
    <font>
      <sz val="11.0"/>
      <color rgb="FF000000"/>
      <name val="Calibri"/>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0000"/>
        <bgColor rgb="FF000000"/>
      </patternFill>
    </fill>
  </fills>
  <borders count="145">
    <border/>
    <border>
      <left style="thin">
        <color rgb="FFAAAAAA"/>
      </left>
      <top style="thin">
        <color rgb="FFAAAAAA"/>
      </top>
      <bottom style="thin">
        <color rgb="FFAAAAAA"/>
      </bottom>
    </border>
    <border>
      <top style="thin">
        <color rgb="FFAAAAAA"/>
      </top>
      <bottom style="thin">
        <color rgb="FFAAAAAA"/>
      </bottom>
    </border>
    <border>
      <left/>
      <right/>
      <top style="thin">
        <color rgb="FFFFFFFF"/>
      </top>
      <bottom style="thin">
        <color rgb="FFFFFFFF"/>
      </bottom>
    </border>
    <border>
      <left/>
      <right/>
      <top style="thin">
        <color rgb="FFAAAAAA"/>
      </top>
      <bottom style="thin">
        <color rgb="FFAAAAAA"/>
      </bottom>
    </border>
    <border>
      <left/>
      <right style="thin">
        <color rgb="FFAAAAAA"/>
      </right>
      <top style="thin">
        <color rgb="FFAAAAAA"/>
      </top>
      <bottom style="thin">
        <color rgb="FFAAAAAA"/>
      </bottom>
    </border>
    <border>
      <left style="thin">
        <color rgb="FFAAAAAA"/>
      </left>
      <top style="thin">
        <color rgb="FFAAAAAA"/>
      </top>
    </border>
    <border>
      <top style="thin">
        <color rgb="FFAAAAAA"/>
      </top>
    </border>
    <border>
      <right style="thin">
        <color rgb="FFFFFFFF"/>
      </right>
      <top style="thin">
        <color rgb="FFAAAAAA"/>
      </top>
    </border>
    <border>
      <left style="thin">
        <color rgb="FFFFFFFF"/>
      </left>
      <top style="thin">
        <color rgb="FFFFFFFF"/>
      </top>
      <bottom/>
    </border>
    <border>
      <top style="thin">
        <color rgb="FFFFFFFF"/>
      </top>
      <bottom/>
    </border>
    <border>
      <right style="thin">
        <color rgb="FFFFFFFF"/>
      </right>
      <top style="thin">
        <color rgb="FFFFFFFF"/>
      </top>
      <bottom/>
    </border>
    <border>
      <left style="thin">
        <color rgb="FFFFFFFF"/>
      </left>
      <right/>
      <top style="thin">
        <color rgb="FFAAAAAA"/>
      </top>
      <bottom/>
    </border>
    <border>
      <left/>
      <right/>
      <top style="thin">
        <color rgb="FFAAAAAA"/>
      </top>
      <bottom/>
    </border>
    <border>
      <left/>
      <right style="thin">
        <color rgb="FFAAAAAA"/>
      </right>
      <top style="thin">
        <color rgb="FFAAAAAA"/>
      </top>
      <bottom/>
    </border>
    <border>
      <left style="thin">
        <color rgb="FFAAAAAA"/>
      </left>
    </border>
    <border>
      <right style="thin">
        <color rgb="FFFFFFFF"/>
      </right>
    </border>
    <border>
      <left style="thin">
        <color rgb="FFFFFFFF"/>
      </left>
      <top/>
      <bottom/>
    </border>
    <border>
      <top/>
      <bottom/>
    </border>
    <border>
      <right style="thin">
        <color rgb="FFFFFFFF"/>
      </right>
      <top/>
      <bottom/>
    </border>
    <border>
      <left style="thin">
        <color rgb="FFFFFFFF"/>
      </left>
      <right/>
      <top/>
      <bottom/>
    </border>
    <border>
      <left/>
      <right/>
      <top/>
      <bottom/>
    </border>
    <border>
      <left/>
      <right style="thin">
        <color rgb="FFAAAAAA"/>
      </right>
      <top/>
      <bottom/>
    </border>
    <border>
      <left style="thin">
        <color rgb="FFFFFFFF"/>
      </left>
      <right/>
      <top/>
    </border>
    <border>
      <left/>
      <right style="thin">
        <color rgb="FFFFFFFF"/>
      </right>
      <top/>
      <bottom/>
    </border>
    <border>
      <left style="thin">
        <color rgb="FFFFFFFF"/>
      </left>
      <right/>
      <bottom/>
    </border>
    <border>
      <bottom style="medium">
        <color rgb="FF000000"/>
      </bottom>
    </border>
    <border>
      <left style="thin">
        <color rgb="FFAAAAAA"/>
      </left>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thin">
        <color rgb="FF000000"/>
      </right>
      <top/>
      <bottom/>
    </border>
    <border>
      <left style="thin">
        <color rgb="FF000000"/>
      </left>
      <right style="thin">
        <color rgb="FF000000"/>
      </right>
      <top/>
      <bottom/>
    </border>
    <border>
      <left style="thin">
        <color rgb="FF000000"/>
      </left>
      <right/>
      <top/>
      <bottom style="thin">
        <color rgb="FF000000"/>
      </bottom>
    </border>
    <border>
      <left/>
      <right/>
      <top/>
      <bottom style="thin">
        <color rgb="FF000000"/>
      </bottom>
    </border>
    <border>
      <left/>
      <right style="medium">
        <color rgb="FF000000"/>
      </right>
      <top/>
      <bottom/>
    </border>
    <border>
      <left style="medium">
        <color rgb="FF000000"/>
      </left>
      <right/>
      <top/>
      <bottom/>
    </border>
    <border>
      <left style="thin">
        <color rgb="FF000000"/>
      </left>
      <right style="thin">
        <color rgb="FF000000"/>
      </right>
      <top style="thin">
        <color rgb="FF000000"/>
      </top>
      <bottom/>
    </border>
    <border>
      <left style="thin">
        <color rgb="FF000000"/>
      </left>
      <right/>
      <top/>
      <bottom/>
    </border>
    <border>
      <left style="medium">
        <color rgb="FF000000"/>
      </left>
      <right/>
      <top/>
      <bottom style="thin">
        <color rgb="FF000000"/>
      </bottom>
    </border>
    <border>
      <left/>
      <right style="medium">
        <color rgb="FF000000"/>
      </right>
      <top/>
      <bottom style="thin">
        <color rgb="FF000000"/>
      </bottom>
    </border>
    <border>
      <left style="medium">
        <color rgb="FF000000"/>
      </left>
      <bottom style="thin">
        <color rgb="FF000000"/>
      </bottom>
    </border>
    <border>
      <left style="medium">
        <color rgb="FF000000"/>
      </left>
      <right style="thin">
        <color rgb="FF000000"/>
      </right>
      <top style="thin">
        <color rgb="FF000000"/>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border>
    <border>
      <left style="medium">
        <color rgb="FF000000"/>
      </left>
      <right style="thin">
        <color rgb="FF000000"/>
      </right>
      <top/>
      <bottom/>
    </border>
    <border>
      <left style="thin">
        <color rgb="FF000000"/>
      </left>
      <right style="thin">
        <color rgb="FF000000"/>
      </right>
    </border>
    <border>
      <left style="medium">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AAAAAA"/>
      </left>
      <right style="thin">
        <color rgb="FF000000"/>
      </right>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medium">
        <color rgb="FF000000"/>
      </bottom>
    </border>
    <border>
      <top style="thin">
        <color rgb="FF000000"/>
      </top>
    </border>
    <border>
      <left style="thin">
        <color rgb="FFAAAAAA"/>
      </left>
      <right/>
      <top/>
      <bottom/>
    </border>
    <border>
      <left style="thin">
        <color rgb="FFAAAAAA"/>
      </left>
      <right/>
      <top/>
      <bottom style="thin">
        <color rgb="FFAAAAAA"/>
      </bottom>
    </border>
    <border>
      <bottom style="thin">
        <color rgb="FFAAAAAA"/>
      </bottom>
    </border>
    <border>
      <left/>
      <right/>
      <top/>
      <bottom style="thin">
        <color rgb="FFAAAAAA"/>
      </bottom>
    </border>
    <border>
      <left/>
      <right style="thin">
        <color rgb="FFAAAAAA"/>
      </right>
      <top/>
      <bottom style="thin">
        <color rgb="FFAAAAAA"/>
      </bottom>
    </border>
    <border>
      <left style="thin">
        <color rgb="FFAAAAAA"/>
      </left>
      <right/>
      <top style="thin">
        <color rgb="FFAAAAAA"/>
      </top>
      <bottom/>
    </border>
    <border>
      <left/>
      <top/>
      <bottom/>
    </border>
    <border>
      <right/>
      <top/>
      <bottom/>
    </border>
    <border>
      <left/>
      <right/>
      <top/>
    </border>
    <border>
      <left/>
      <right/>
      <bottom/>
    </border>
    <border>
      <left style="thin">
        <color rgb="FFAAAAAA"/>
      </left>
      <right style="thin">
        <color rgb="FFAAAAAA"/>
      </right>
      <top style="thin">
        <color rgb="FFAAAAAA"/>
      </top>
      <bottom style="thin">
        <color rgb="FFAAAAAA"/>
      </bottom>
    </border>
    <border>
      <right style="thin">
        <color rgb="FFAAAAAA"/>
      </right>
      <top style="thin">
        <color rgb="FFAAAAAA"/>
      </top>
    </border>
    <border>
      <left style="thin">
        <color rgb="FFAAAAAA"/>
      </left>
      <right style="thin">
        <color rgb="FFAAAAAA"/>
      </right>
      <top style="thin">
        <color rgb="FFAAAAAA"/>
      </top>
    </border>
    <border>
      <right style="thin">
        <color rgb="FFAAAAAA"/>
      </right>
    </border>
    <border>
      <left style="thin">
        <color rgb="FFAAAAAA"/>
      </left>
      <right style="thin">
        <color rgb="FFAAAAAA"/>
      </right>
    </border>
    <border>
      <left/>
      <top/>
    </border>
    <border>
      <top/>
    </border>
    <border>
      <right/>
      <top/>
    </border>
    <border>
      <left/>
      <bottom/>
    </border>
    <border>
      <bottom/>
    </border>
    <border>
      <right/>
      <bottom/>
    </border>
    <border>
      <right style="medium">
        <color rgb="FF000000"/>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thin">
        <color rgb="FF000000"/>
      </bottom>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top style="thin">
        <color rgb="FF000000"/>
      </top>
    </border>
    <border>
      <left style="thin">
        <color rgb="FF000000"/>
      </left>
      <top style="thin">
        <color rgb="FF000000"/>
      </top>
    </border>
    <border>
      <right style="medium">
        <color rgb="FF000000"/>
      </right>
      <top style="thin">
        <color rgb="FF000000"/>
      </top>
    </border>
    <border>
      <left style="medium">
        <color rgb="FF000000"/>
      </left>
      <right/>
      <bottom style="thin">
        <color rgb="FF000000"/>
      </bottom>
    </border>
    <border>
      <left style="thin">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top style="thin">
        <color rgb="FF000000"/>
      </top>
      <bottom/>
    </border>
    <border>
      <left style="medium">
        <color rgb="FF000000"/>
      </left>
      <bottom style="medium">
        <color rgb="FF000000"/>
      </bottom>
    </border>
    <border>
      <right style="medium">
        <color rgb="FF000000"/>
      </right>
      <bottom style="medium">
        <color rgb="FF000000"/>
      </bottom>
    </border>
    <border>
      <left style="thin">
        <color rgb="FF000000"/>
      </left>
      <right style="thin">
        <color rgb="FFAAAAAA"/>
      </right>
      <top/>
      <bottom/>
    </border>
    <border>
      <right style="thin">
        <color rgb="FF000000"/>
      </right>
      <top style="thin">
        <color rgb="FF000000"/>
      </top>
    </border>
    <border>
      <right style="thin">
        <color rgb="FF000000"/>
      </right>
      <bottom style="thin">
        <color rgb="FF000000"/>
      </bottom>
    </border>
    <border>
      <left style="thin">
        <color rgb="FFAAAAAA"/>
      </left>
      <bottom style="thin">
        <color rgb="FFAAAAAA"/>
      </bottom>
    </border>
    <border>
      <right style="thin">
        <color rgb="FFAAAAAA"/>
      </right>
      <bottom style="thin">
        <color rgb="FFAAAAAA"/>
      </bottom>
    </border>
    <border>
      <left style="thin">
        <color rgb="FFAAAAAA"/>
      </left>
      <right style="thin">
        <color rgb="FFAAAAAA"/>
      </right>
      <bottom style="thin">
        <color rgb="FFAAAAAA"/>
      </bottom>
    </border>
    <border>
      <left style="thin">
        <color rgb="FF000000"/>
      </left>
      <right style="thin">
        <color rgb="FFAAAAAA"/>
      </right>
      <top style="thin">
        <color rgb="FFAAAAAA"/>
      </top>
      <bottom style="thin">
        <color rgb="FFAAAAAA"/>
      </bottom>
    </border>
    <border>
      <left style="thin">
        <color rgb="FFAAAAAA"/>
      </left>
      <right style="thin">
        <color rgb="FFAAAAAA"/>
      </right>
      <top style="thin">
        <color rgb="FF000000"/>
      </top>
      <bottom/>
    </border>
    <border>
      <left style="thin">
        <color rgb="FFAAAAAA"/>
      </left>
      <right/>
      <top/>
      <bottom style="thin">
        <color rgb="FF000000"/>
      </bottom>
    </border>
    <border>
      <left style="thin">
        <color rgb="FF000000"/>
      </left>
      <top style="thin">
        <color rgb="FF000000"/>
      </top>
      <bottom style="thin">
        <color rgb="FFAAAAAA"/>
      </bottom>
    </border>
    <border>
      <top style="thin">
        <color rgb="FF000000"/>
      </top>
      <bottom style="thin">
        <color rgb="FFAAAAAA"/>
      </bottom>
    </border>
    <border>
      <right style="thin">
        <color rgb="FFAAAAAA"/>
      </right>
      <top style="thin">
        <color rgb="FF000000"/>
      </top>
      <bottom style="thin">
        <color rgb="FFAAAAAA"/>
      </bottom>
    </border>
    <border>
      <left style="thin">
        <color rgb="FFAAAAAA"/>
      </left>
      <top style="thin">
        <color rgb="FF000000"/>
      </top>
      <bottom style="thin">
        <color rgb="FFAAAAAA"/>
      </bottom>
    </border>
    <border>
      <right style="thin">
        <color rgb="FF000000"/>
      </right>
      <top style="thin">
        <color rgb="FF000000"/>
      </top>
      <bottom style="thin">
        <color rgb="FFAAAAAA"/>
      </bottom>
    </border>
    <border>
      <left style="thin">
        <color rgb="FF000000"/>
      </left>
      <top style="thin">
        <color rgb="FFAAAAAA"/>
      </top>
      <bottom style="thin">
        <color rgb="FFAAAAAA"/>
      </bottom>
    </border>
    <border>
      <right style="thin">
        <color rgb="FFAAAAAA"/>
      </right>
      <top style="thin">
        <color rgb="FFAAAAAA"/>
      </top>
      <bottom style="thin">
        <color rgb="FFAAAAAA"/>
      </bottom>
    </border>
    <border>
      <right style="thin">
        <color rgb="FF000000"/>
      </right>
      <top style="thin">
        <color rgb="FFAAAAAA"/>
      </top>
      <bottom style="thin">
        <color rgb="FFAAAAAA"/>
      </bottom>
    </border>
    <border>
      <left style="thin">
        <color rgb="FF000000"/>
      </left>
      <top style="thin">
        <color rgb="FFAAAAAA"/>
      </top>
      <bottom style="thin">
        <color rgb="FF000000"/>
      </bottom>
    </border>
    <border>
      <top style="thin">
        <color rgb="FFAAAAAA"/>
      </top>
      <bottom style="thin">
        <color rgb="FF000000"/>
      </bottom>
    </border>
    <border>
      <right style="thin">
        <color rgb="FFAAAAAA"/>
      </right>
      <top style="thin">
        <color rgb="FFAAAAAA"/>
      </top>
      <bottom style="thin">
        <color rgb="FF000000"/>
      </bottom>
    </border>
    <border>
      <left style="thin">
        <color rgb="FFAAAAAA"/>
      </left>
      <top style="thin">
        <color rgb="FFAAAAAA"/>
      </top>
      <bottom/>
    </border>
    <border>
      <top style="thin">
        <color rgb="FFAAAAAA"/>
      </top>
      <bottom/>
    </border>
    <border>
      <right style="thin">
        <color rgb="FFAAAAAA"/>
      </right>
      <top style="thin">
        <color rgb="FFAAAAAA"/>
      </top>
      <bottom/>
    </border>
    <border>
      <left style="thin">
        <color rgb="FFAAAAAA"/>
      </left>
      <right style="thin">
        <color rgb="FFAAAAAA"/>
      </right>
      <top style="thin">
        <color rgb="FFAAAAAA"/>
      </top>
      <bottom/>
    </border>
    <border>
      <left style="thin">
        <color rgb="FFAAAAAA"/>
      </left>
      <right/>
      <top style="thin">
        <color rgb="FF000000"/>
      </top>
      <bottom/>
    </border>
    <border>
      <left/>
      <top style="thin">
        <color rgb="FF000000"/>
      </top>
    </border>
    <border>
      <right/>
      <top style="thin">
        <color rgb="FF000000"/>
      </top>
    </border>
    <border>
      <right style="thin">
        <color rgb="FFAAAAAA"/>
      </right>
      <top/>
    </border>
    <border>
      <right style="thin">
        <color rgb="FFAAAAAA"/>
      </right>
      <bottom/>
    </border>
    <border>
      <left style="thin">
        <color rgb="FFAAAAAA"/>
      </left>
      <right style="thin">
        <color rgb="FFAAAAAA"/>
      </right>
      <top/>
      <bottom/>
    </border>
  </borders>
  <cellStyleXfs count="1">
    <xf borderId="0" fillId="0" fontId="0" numFmtId="0" applyAlignment="1" applyFont="1"/>
  </cellStyleXfs>
  <cellXfs count="440">
    <xf borderId="0" fillId="0" fontId="0" numFmtId="0" xfId="0" applyAlignment="1" applyFont="1">
      <alignment readingOrder="0" shrinkToFit="0" vertical="bottom" wrapText="0"/>
    </xf>
    <xf borderId="1" fillId="0" fontId="1" numFmtId="164" xfId="0" applyAlignment="1" applyBorder="1" applyFont="1" applyNumberFormat="1">
      <alignment vertical="bottom"/>
    </xf>
    <xf borderId="2" fillId="0" fontId="2" numFmtId="0" xfId="0" applyAlignment="1" applyBorder="1" applyFont="1">
      <alignment vertical="bottom"/>
    </xf>
    <xf borderId="3" fillId="2" fontId="2" numFmtId="0" xfId="0" applyAlignment="1" applyBorder="1" applyFill="1" applyFont="1">
      <alignment vertical="bottom"/>
    </xf>
    <xf borderId="4" fillId="2" fontId="2" numFmtId="0" xfId="0" applyAlignment="1" applyBorder="1" applyFont="1">
      <alignment vertical="bottom"/>
    </xf>
    <xf borderId="5" fillId="2" fontId="2" numFmtId="0" xfId="0" applyAlignment="1" applyBorder="1" applyFont="1">
      <alignment vertical="bottom"/>
    </xf>
    <xf borderId="1" fillId="0" fontId="1" numFmtId="49" xfId="0" applyAlignment="1" applyBorder="1" applyFont="1" applyNumberFormat="1">
      <alignment vertical="bottom"/>
    </xf>
    <xf borderId="6" fillId="0" fontId="2" numFmtId="0" xfId="0" applyAlignment="1" applyBorder="1" applyFont="1">
      <alignment vertical="bottom"/>
    </xf>
    <xf borderId="7" fillId="0" fontId="2" numFmtId="0" xfId="0" applyAlignment="1" applyBorder="1" applyFont="1">
      <alignment vertical="bottom"/>
    </xf>
    <xf borderId="8" fillId="0" fontId="2" numFmtId="0" xfId="0" applyAlignment="1" applyBorder="1" applyFont="1">
      <alignment vertical="bottom"/>
    </xf>
    <xf borderId="9" fillId="2" fontId="3" numFmtId="0" xfId="0" applyAlignment="1" applyBorder="1" applyFont="1">
      <alignment horizontal="center" vertical="center"/>
    </xf>
    <xf borderId="10" fillId="0" fontId="4" numFmtId="0" xfId="0" applyBorder="1" applyFont="1"/>
    <xf borderId="11" fillId="0" fontId="4" numFmtId="0" xfId="0" applyBorder="1" applyFont="1"/>
    <xf borderId="12" fillId="2" fontId="5" numFmtId="49" xfId="0" applyAlignment="1" applyBorder="1" applyFont="1" applyNumberFormat="1">
      <alignment vertical="bottom"/>
    </xf>
    <xf borderId="13" fillId="2" fontId="5" numFmtId="49" xfId="0" applyAlignment="1" applyBorder="1" applyFont="1" applyNumberFormat="1">
      <alignment vertical="bottom"/>
    </xf>
    <xf borderId="14" fillId="2" fontId="5" numFmtId="0" xfId="0" applyAlignment="1" applyBorder="1" applyFont="1">
      <alignment vertical="bottom"/>
    </xf>
    <xf borderId="15" fillId="0" fontId="2" numFmtId="0" xfId="0" applyAlignment="1" applyBorder="1" applyFont="1">
      <alignment vertical="bottom"/>
    </xf>
    <xf borderId="0" fillId="0" fontId="2" numFmtId="0" xfId="0" applyAlignment="1" applyFont="1">
      <alignment vertical="bottom"/>
    </xf>
    <xf borderId="16" fillId="0" fontId="2" numFmtId="0" xfId="0" applyAlignment="1" applyBorder="1" applyFont="1">
      <alignment vertical="bottom"/>
    </xf>
    <xf borderId="17" fillId="2" fontId="6" numFmtId="0" xfId="0" applyAlignment="1" applyBorder="1" applyFont="1">
      <alignment horizontal="center" vertical="center"/>
    </xf>
    <xf borderId="18" fillId="0" fontId="4" numFmtId="0" xfId="0" applyBorder="1" applyFont="1"/>
    <xf borderId="19" fillId="0" fontId="4" numFmtId="0" xfId="0" applyBorder="1" applyFont="1"/>
    <xf borderId="20" fillId="2" fontId="5" numFmtId="49" xfId="0" applyAlignment="1" applyBorder="1" applyFont="1" applyNumberFormat="1">
      <alignment vertical="bottom"/>
    </xf>
    <xf borderId="21" fillId="2" fontId="5" numFmtId="49" xfId="0" applyAlignment="1" applyBorder="1" applyFont="1" applyNumberFormat="1">
      <alignment vertical="bottom"/>
    </xf>
    <xf borderId="22" fillId="2" fontId="5" numFmtId="49" xfId="0" applyAlignment="1" applyBorder="1" applyFont="1" applyNumberFormat="1">
      <alignment vertical="bottom"/>
    </xf>
    <xf borderId="23" fillId="2" fontId="7" numFmtId="0" xfId="0" applyAlignment="1" applyBorder="1" applyFont="1">
      <alignment horizontal="center" shrinkToFit="0" vertical="center" wrapText="1"/>
    </xf>
    <xf borderId="21" fillId="2" fontId="8" numFmtId="0" xfId="0" applyAlignment="1" applyBorder="1" applyFont="1">
      <alignment horizontal="center" vertical="center"/>
    </xf>
    <xf borderId="21" fillId="2" fontId="9" numFmtId="0" xfId="0" applyAlignment="1" applyBorder="1" applyFont="1">
      <alignment horizontal="center" shrinkToFit="0" vertical="center" wrapText="1"/>
    </xf>
    <xf borderId="21" fillId="2" fontId="5" numFmtId="0" xfId="0" applyAlignment="1" applyBorder="1" applyFont="1">
      <alignment vertical="center"/>
    </xf>
    <xf borderId="21" fillId="2" fontId="6" numFmtId="0" xfId="0" applyAlignment="1" applyBorder="1" applyFont="1">
      <alignment horizontal="center" vertical="center"/>
    </xf>
    <xf borderId="21" fillId="2" fontId="3" numFmtId="0" xfId="0" applyAlignment="1" applyBorder="1" applyFont="1">
      <alignment horizontal="center" vertical="center"/>
    </xf>
    <xf borderId="21" fillId="2" fontId="7" numFmtId="0" xfId="0" applyAlignment="1" applyBorder="1" applyFont="1">
      <alignment horizontal="center" vertical="center"/>
    </xf>
    <xf borderId="24" fillId="2" fontId="7" numFmtId="0" xfId="0" applyAlignment="1" applyBorder="1" applyFont="1">
      <alignment horizontal="center" vertical="center"/>
    </xf>
    <xf borderId="20" fillId="2" fontId="5" numFmtId="0" xfId="0" applyAlignment="1" applyBorder="1" applyFont="1">
      <alignment vertical="bottom"/>
    </xf>
    <xf borderId="21" fillId="2" fontId="5" numFmtId="0" xfId="0" applyAlignment="1" applyBorder="1" applyFont="1">
      <alignment vertical="bottom"/>
    </xf>
    <xf borderId="25" fillId="0" fontId="4" numFmtId="0" xfId="0" applyBorder="1" applyFont="1"/>
    <xf borderId="24" fillId="2" fontId="3" numFmtId="0" xfId="0" applyAlignment="1" applyBorder="1" applyFont="1">
      <alignment horizontal="center" vertical="center"/>
    </xf>
    <xf borderId="22" fillId="2" fontId="5" numFmtId="0" xfId="0" applyAlignment="1" applyBorder="1" applyFont="1">
      <alignment vertical="bottom"/>
    </xf>
    <xf borderId="20" fillId="2" fontId="3" numFmtId="0" xfId="0" applyAlignment="1" applyBorder="1" applyFont="1">
      <alignment horizontal="center" vertical="center"/>
    </xf>
    <xf borderId="21" fillId="2" fontId="6" numFmtId="165" xfId="0" applyAlignment="1" applyBorder="1" applyFont="1" applyNumberFormat="1">
      <alignment horizontal="center" vertical="center"/>
    </xf>
    <xf borderId="21" fillId="2" fontId="3" numFmtId="165" xfId="0" applyAlignment="1" applyBorder="1" applyFont="1" applyNumberFormat="1">
      <alignment horizontal="center" vertical="center"/>
    </xf>
    <xf borderId="21" fillId="2" fontId="5" numFmtId="165" xfId="0" applyAlignment="1" applyBorder="1" applyFont="1" applyNumberFormat="1">
      <alignment horizontal="center" vertical="center"/>
    </xf>
    <xf borderId="24" fillId="2" fontId="5" numFmtId="166" xfId="0" applyAlignment="1" applyBorder="1" applyFont="1" applyNumberFormat="1">
      <alignment horizontal="center" vertical="center"/>
    </xf>
    <xf borderId="26" fillId="0" fontId="2" numFmtId="0" xfId="0" applyAlignment="1" applyBorder="1" applyFont="1">
      <alignment vertical="bottom"/>
    </xf>
    <xf borderId="21" fillId="2" fontId="5" numFmtId="166" xfId="0" applyAlignment="1" applyBorder="1" applyFont="1" applyNumberFormat="1">
      <alignment horizontal="center" vertical="center"/>
    </xf>
    <xf borderId="27" fillId="0" fontId="2" numFmtId="0" xfId="0" applyAlignment="1" applyBorder="1" applyFont="1">
      <alignment vertical="bottom"/>
    </xf>
    <xf borderId="28" fillId="0" fontId="10" numFmtId="49" xfId="0" applyAlignment="1" applyBorder="1" applyFont="1" applyNumberFormat="1">
      <alignment horizontal="center" vertical="bottom"/>
    </xf>
    <xf borderId="29" fillId="0" fontId="4" numFmtId="0" xfId="0" applyBorder="1" applyFont="1"/>
    <xf borderId="30" fillId="0" fontId="4" numFmtId="0" xfId="0" applyBorder="1" applyFont="1"/>
    <xf borderId="31" fillId="0" fontId="2" numFmtId="0" xfId="0" applyAlignment="1" applyBorder="1" applyFont="1">
      <alignment vertical="bottom"/>
    </xf>
    <xf borderId="32" fillId="0" fontId="11" numFmtId="49" xfId="0" applyAlignment="1" applyBorder="1" applyFont="1" applyNumberFormat="1">
      <alignment horizontal="left" vertical="bottom"/>
    </xf>
    <xf borderId="32" fillId="3" fontId="2" numFmtId="0" xfId="0" applyAlignment="1" applyBorder="1" applyFill="1" applyFont="1">
      <alignment horizontal="center" vertical="bottom"/>
    </xf>
    <xf borderId="32" fillId="0" fontId="2" numFmtId="49" xfId="0" applyAlignment="1" applyBorder="1" applyFont="1" applyNumberFormat="1">
      <alignment horizontal="center" vertical="bottom"/>
    </xf>
    <xf borderId="32" fillId="3" fontId="2" numFmtId="49" xfId="0" applyAlignment="1" applyBorder="1" applyFont="1" applyNumberFormat="1">
      <alignment horizontal="center" vertical="bottom"/>
    </xf>
    <xf borderId="33" fillId="0" fontId="2" numFmtId="0" xfId="0" applyAlignment="1" applyBorder="1" applyFont="1">
      <alignment vertical="bottom"/>
    </xf>
    <xf borderId="34" fillId="0" fontId="2" numFmtId="0" xfId="0" applyAlignment="1" applyBorder="1" applyFont="1">
      <alignment vertical="bottom"/>
    </xf>
    <xf borderId="35" fillId="0" fontId="2" numFmtId="0" xfId="0" applyAlignment="1" applyBorder="1" applyFont="1">
      <alignment vertical="bottom"/>
    </xf>
    <xf borderId="21" fillId="2" fontId="12" numFmtId="0" xfId="0" applyAlignment="1" applyBorder="1" applyFont="1">
      <alignment horizontal="center" vertical="center"/>
    </xf>
    <xf borderId="21" fillId="2" fontId="13" numFmtId="0" xfId="0" applyAlignment="1" applyBorder="1" applyFont="1">
      <alignment horizontal="center" vertical="center"/>
    </xf>
    <xf borderId="21" fillId="2" fontId="13" numFmtId="165" xfId="0" applyAlignment="1" applyBorder="1" applyFont="1" applyNumberFormat="1">
      <alignment horizontal="center" vertical="center"/>
    </xf>
    <xf borderId="21" fillId="2" fontId="12" numFmtId="165" xfId="0" applyAlignment="1" applyBorder="1" applyFont="1" applyNumberFormat="1">
      <alignment horizontal="center" vertical="center"/>
    </xf>
    <xf borderId="21" fillId="2" fontId="14" numFmtId="165" xfId="0" applyAlignment="1" applyBorder="1" applyFont="1" applyNumberFormat="1">
      <alignment horizontal="center" vertical="center"/>
    </xf>
    <xf borderId="21" fillId="2" fontId="14" numFmtId="166" xfId="0" applyAlignment="1" applyBorder="1" applyFont="1" applyNumberFormat="1">
      <alignment horizontal="center" vertical="center"/>
    </xf>
    <xf borderId="21" fillId="2" fontId="2" numFmtId="0" xfId="0" applyAlignment="1" applyBorder="1" applyFont="1">
      <alignment vertical="bottom"/>
    </xf>
    <xf borderId="22" fillId="2" fontId="2" numFmtId="0" xfId="0" applyAlignment="1" applyBorder="1" applyFont="1">
      <alignment vertical="bottom"/>
    </xf>
    <xf borderId="32" fillId="2" fontId="11" numFmtId="49" xfId="0" applyAlignment="1" applyBorder="1" applyFont="1" applyNumberFormat="1">
      <alignment horizontal="left" vertical="center"/>
    </xf>
    <xf borderId="32" fillId="3" fontId="15" numFmtId="0" xfId="0" applyAlignment="1" applyBorder="1" applyFont="1">
      <alignment horizontal="center" vertical="center"/>
    </xf>
    <xf borderId="36" fillId="2" fontId="15" numFmtId="0" xfId="0" applyAlignment="1" applyBorder="1" applyFont="1">
      <alignment horizontal="center" vertical="center"/>
    </xf>
    <xf borderId="37" fillId="2" fontId="15" numFmtId="0" xfId="0" applyAlignment="1" applyBorder="1" applyFont="1">
      <alignment horizontal="center" vertical="center"/>
    </xf>
    <xf borderId="21" fillId="2" fontId="15" numFmtId="0" xfId="0" applyAlignment="1" applyBorder="1" applyFont="1">
      <alignment horizontal="center" vertical="center"/>
    </xf>
    <xf borderId="38" fillId="2" fontId="15" numFmtId="0" xfId="0" applyAlignment="1" applyBorder="1" applyFont="1">
      <alignment horizontal="center" vertical="center"/>
    </xf>
    <xf borderId="39" fillId="2" fontId="15" numFmtId="49" xfId="0" applyAlignment="1" applyBorder="1" applyFont="1" applyNumberFormat="1">
      <alignment horizontal="center" vertical="center"/>
    </xf>
    <xf borderId="40" fillId="2" fontId="15" numFmtId="0" xfId="0" applyAlignment="1" applyBorder="1" applyFont="1">
      <alignment horizontal="center" vertical="center"/>
    </xf>
    <xf borderId="41" fillId="2" fontId="15" numFmtId="0" xfId="0" applyAlignment="1" applyBorder="1" applyFont="1">
      <alignment horizontal="center" vertical="center"/>
    </xf>
    <xf borderId="42" fillId="2" fontId="15" numFmtId="0" xfId="0" applyAlignment="1" applyBorder="1" applyFont="1">
      <alignment horizontal="center" vertical="center"/>
    </xf>
    <xf borderId="32" fillId="2" fontId="2" numFmtId="49" xfId="0" applyAlignment="1" applyBorder="1" applyFont="1" applyNumberFormat="1">
      <alignment horizontal="left" vertical="center"/>
    </xf>
    <xf borderId="32" fillId="3" fontId="15" numFmtId="49" xfId="0" applyAlignment="1" applyBorder="1" applyFont="1" applyNumberFormat="1">
      <alignment horizontal="center" vertical="center"/>
    </xf>
    <xf borderId="43" fillId="2" fontId="16" numFmtId="49" xfId="0" applyAlignment="1" applyBorder="1" applyFont="1" applyNumberFormat="1">
      <alignment horizontal="center" vertical="center"/>
    </xf>
    <xf borderId="21" fillId="2" fontId="15" numFmtId="165" xfId="0" applyAlignment="1" applyBorder="1" applyFont="1" applyNumberFormat="1">
      <alignment horizontal="center" vertical="center"/>
    </xf>
    <xf borderId="21" fillId="2" fontId="16" numFmtId="49" xfId="0" applyAlignment="1" applyBorder="1" applyFont="1" applyNumberFormat="1">
      <alignment horizontal="center" vertical="center"/>
    </xf>
    <xf borderId="44" fillId="2" fontId="15" numFmtId="49" xfId="0" applyAlignment="1" applyBorder="1" applyFont="1" applyNumberFormat="1">
      <alignment horizontal="center" vertical="center"/>
    </xf>
    <xf borderId="45" fillId="2" fontId="15" numFmtId="0" xfId="0" applyAlignment="1" applyBorder="1" applyFont="1">
      <alignment horizontal="center" vertical="center"/>
    </xf>
    <xf borderId="21" fillId="2" fontId="15" numFmtId="167" xfId="0" applyAlignment="1" applyBorder="1" applyFont="1" applyNumberFormat="1">
      <alignment horizontal="center" vertical="center"/>
    </xf>
    <xf borderId="39" fillId="2" fontId="15" numFmtId="0" xfId="0" applyAlignment="1" applyBorder="1" applyFont="1">
      <alignment horizontal="center" vertical="center"/>
    </xf>
    <xf borderId="46" fillId="2" fontId="15" numFmtId="0" xfId="0" applyAlignment="1" applyBorder="1" applyFont="1">
      <alignment horizontal="center" vertical="center"/>
    </xf>
    <xf borderId="47" fillId="2" fontId="15" numFmtId="0" xfId="0" applyAlignment="1" applyBorder="1" applyFont="1">
      <alignment horizontal="center" vertical="center"/>
    </xf>
    <xf borderId="48" fillId="0" fontId="2" numFmtId="0" xfId="0" applyAlignment="1" applyBorder="1" applyFont="1">
      <alignment vertical="bottom"/>
    </xf>
    <xf borderId="49" fillId="2" fontId="15" numFmtId="49" xfId="0" applyAlignment="1" applyBorder="1" applyFont="1" applyNumberFormat="1">
      <alignment horizontal="center" vertical="center"/>
    </xf>
    <xf borderId="50" fillId="2" fontId="15" numFmtId="0" xfId="0" applyAlignment="1" applyBorder="1" applyFont="1">
      <alignment horizontal="center" vertical="center"/>
    </xf>
    <xf borderId="51" fillId="2" fontId="15" numFmtId="49" xfId="0" applyAlignment="1" applyBorder="1" applyFont="1" applyNumberFormat="1">
      <alignment horizontal="center" vertical="center"/>
    </xf>
    <xf borderId="51" fillId="2" fontId="15" numFmtId="0" xfId="0" applyAlignment="1" applyBorder="1" applyFont="1">
      <alignment horizontal="center" vertical="center"/>
    </xf>
    <xf borderId="52" fillId="0" fontId="2" numFmtId="49" xfId="0" applyAlignment="1" applyBorder="1" applyFont="1" applyNumberFormat="1">
      <alignment horizontal="center" vertical="bottom"/>
    </xf>
    <xf borderId="53" fillId="0" fontId="2" numFmtId="0" xfId="0" applyAlignment="1" applyBorder="1" applyFont="1">
      <alignment vertical="bottom"/>
    </xf>
    <xf borderId="54" fillId="2" fontId="15" numFmtId="49" xfId="0" applyAlignment="1" applyBorder="1" applyFont="1" applyNumberFormat="1">
      <alignment horizontal="center" vertical="center"/>
    </xf>
    <xf borderId="44" fillId="2" fontId="2" numFmtId="0" xfId="0" applyAlignment="1" applyBorder="1" applyFont="1">
      <alignment horizontal="center" vertical="center"/>
    </xf>
    <xf borderId="55" fillId="0" fontId="4" numFmtId="0" xfId="0" applyBorder="1" applyFont="1"/>
    <xf borderId="56" fillId="2" fontId="15" numFmtId="49" xfId="0" applyAlignment="1" applyBorder="1" applyFont="1" applyNumberFormat="1">
      <alignment horizontal="center" vertical="center"/>
    </xf>
    <xf borderId="51" fillId="2" fontId="2" numFmtId="49" xfId="0" applyAlignment="1" applyBorder="1" applyFont="1" applyNumberFormat="1">
      <alignment horizontal="center" vertical="center"/>
    </xf>
    <xf borderId="57" fillId="0" fontId="4" numFmtId="0" xfId="0" applyBorder="1" applyFont="1"/>
    <xf borderId="53" fillId="0" fontId="2" numFmtId="49" xfId="0" applyAlignment="1" applyBorder="1" applyFont="1" applyNumberFormat="1">
      <alignment horizontal="center" vertical="bottom"/>
    </xf>
    <xf borderId="0" fillId="0" fontId="2" numFmtId="49" xfId="0" applyAlignment="1" applyFont="1" applyNumberFormat="1">
      <alignment horizontal="center" vertical="bottom"/>
    </xf>
    <xf borderId="0" fillId="0" fontId="2" numFmtId="49" xfId="0" applyAlignment="1" applyFont="1" applyNumberFormat="1">
      <alignment horizontal="left" vertical="bottom"/>
    </xf>
    <xf borderId="58" fillId="0" fontId="2" numFmtId="0" xfId="0" applyAlignment="1" applyBorder="1" applyFont="1">
      <alignment vertical="bottom"/>
    </xf>
    <xf borderId="44" fillId="2" fontId="2" numFmtId="2" xfId="0" applyAlignment="1" applyBorder="1" applyFont="1" applyNumberFormat="1">
      <alignment horizontal="center" vertical="center"/>
    </xf>
    <xf borderId="59" fillId="3" fontId="2" numFmtId="166" xfId="0" applyAlignment="1" applyBorder="1" applyFont="1" applyNumberFormat="1">
      <alignment horizontal="center" vertical="center"/>
    </xf>
    <xf borderId="60" fillId="3" fontId="2" numFmtId="166" xfId="0" applyAlignment="1" applyBorder="1" applyFont="1" applyNumberFormat="1">
      <alignment horizontal="center" vertical="center"/>
    </xf>
    <xf borderId="61" fillId="3" fontId="2" numFmtId="166" xfId="0" applyAlignment="1" applyBorder="1" applyFont="1" applyNumberFormat="1">
      <alignment horizontal="center" vertical="center"/>
    </xf>
    <xf borderId="44" fillId="2" fontId="2" numFmtId="167" xfId="0" applyAlignment="1" applyBorder="1" applyFont="1" applyNumberFormat="1">
      <alignment horizontal="center" vertical="center"/>
    </xf>
    <xf borderId="44" fillId="2" fontId="2" numFmtId="168" xfId="0" applyAlignment="1" applyBorder="1" applyFont="1" applyNumberFormat="1">
      <alignment horizontal="center" vertical="center"/>
    </xf>
    <xf borderId="44" fillId="2" fontId="2" numFmtId="169" xfId="0" applyAlignment="1" applyBorder="1" applyFont="1" applyNumberFormat="1">
      <alignment horizontal="center" vertical="center"/>
    </xf>
    <xf borderId="62" fillId="0" fontId="2" numFmtId="0" xfId="0" applyAlignment="1" applyBorder="1" applyFont="1">
      <alignment vertical="bottom"/>
    </xf>
    <xf borderId="53" fillId="0" fontId="2" numFmtId="2" xfId="0" applyAlignment="1" applyBorder="1" applyFont="1" applyNumberFormat="1">
      <alignment horizontal="center" vertical="bottom"/>
    </xf>
    <xf borderId="0" fillId="0" fontId="2" numFmtId="165" xfId="0" applyAlignment="1" applyFont="1" applyNumberFormat="1">
      <alignment horizontal="center" vertical="bottom"/>
    </xf>
    <xf borderId="39" fillId="2" fontId="2" numFmtId="2" xfId="0" applyAlignment="1" applyBorder="1" applyFont="1" applyNumberFormat="1">
      <alignment horizontal="center" vertical="center"/>
    </xf>
    <xf borderId="45" fillId="3" fontId="2" numFmtId="166" xfId="0" applyAlignment="1" applyBorder="1" applyFont="1" applyNumberFormat="1">
      <alignment horizontal="center" vertical="center"/>
    </xf>
    <xf borderId="21" fillId="3" fontId="2" numFmtId="166" xfId="0" applyAlignment="1" applyBorder="1" applyFont="1" applyNumberFormat="1">
      <alignment horizontal="center" vertical="center"/>
    </xf>
    <xf borderId="38" fillId="3" fontId="2" numFmtId="166" xfId="0" applyAlignment="1" applyBorder="1" applyFont="1" applyNumberFormat="1">
      <alignment horizontal="center" vertical="center"/>
    </xf>
    <xf borderId="39" fillId="2" fontId="2" numFmtId="167" xfId="0" applyAlignment="1" applyBorder="1" applyFont="1" applyNumberFormat="1">
      <alignment horizontal="center" vertical="center"/>
    </xf>
    <xf borderId="39" fillId="2" fontId="2" numFmtId="168" xfId="0" applyAlignment="1" applyBorder="1" applyFont="1" applyNumberFormat="1">
      <alignment horizontal="center" vertical="center"/>
    </xf>
    <xf borderId="39" fillId="2" fontId="2" numFmtId="169" xfId="0" applyAlignment="1" applyBorder="1" applyFont="1" applyNumberFormat="1">
      <alignment horizontal="center" vertical="center"/>
    </xf>
    <xf borderId="39" fillId="2" fontId="2" numFmtId="0" xfId="0" applyAlignment="1" applyBorder="1" applyFont="1">
      <alignment horizontal="center" vertical="center"/>
    </xf>
    <xf borderId="51" fillId="2" fontId="2" numFmtId="2" xfId="0" applyAlignment="1" applyBorder="1" applyFont="1" applyNumberFormat="1">
      <alignment horizontal="center" vertical="center"/>
    </xf>
    <xf borderId="40" fillId="3" fontId="2" numFmtId="166" xfId="0" applyAlignment="1" applyBorder="1" applyFont="1" applyNumberFormat="1">
      <alignment horizontal="center" vertical="center"/>
    </xf>
    <xf borderId="41" fillId="3" fontId="2" numFmtId="166" xfId="0" applyAlignment="1" applyBorder="1" applyFont="1" applyNumberFormat="1">
      <alignment horizontal="center" vertical="center"/>
    </xf>
    <xf borderId="50" fillId="3" fontId="2" numFmtId="166" xfId="0" applyAlignment="1" applyBorder="1" applyFont="1" applyNumberFormat="1">
      <alignment horizontal="center" vertical="center"/>
    </xf>
    <xf borderId="63" fillId="2" fontId="2" numFmtId="167" xfId="0" applyAlignment="1" applyBorder="1" applyFont="1" applyNumberFormat="1">
      <alignment horizontal="center" vertical="center"/>
    </xf>
    <xf borderId="63" fillId="2" fontId="2" numFmtId="168" xfId="0" applyAlignment="1" applyBorder="1" applyFont="1" applyNumberFormat="1">
      <alignment horizontal="center" vertical="center"/>
    </xf>
    <xf borderId="63" fillId="2" fontId="2" numFmtId="169" xfId="0" applyAlignment="1" applyBorder="1" applyFont="1" applyNumberFormat="1">
      <alignment horizontal="center" vertical="center"/>
    </xf>
    <xf borderId="63" fillId="2" fontId="2" numFmtId="0" xfId="0" applyAlignment="1" applyBorder="1" applyFont="1">
      <alignment horizontal="center" vertical="center"/>
    </xf>
    <xf borderId="15" fillId="0" fontId="17" numFmtId="0" xfId="0" applyAlignment="1" applyBorder="1" applyFont="1">
      <alignment vertical="bottom"/>
    </xf>
    <xf borderId="64" fillId="0" fontId="2" numFmtId="49" xfId="0" applyAlignment="1" applyBorder="1" applyFont="1" applyNumberFormat="1">
      <alignment vertical="bottom"/>
    </xf>
    <xf borderId="64" fillId="0" fontId="2" numFmtId="0" xfId="0" applyAlignment="1" applyBorder="1" applyFont="1">
      <alignment vertical="bottom"/>
    </xf>
    <xf borderId="64" fillId="0" fontId="18" numFmtId="0" xfId="0" applyAlignment="1" applyBorder="1" applyFont="1">
      <alignment vertical="bottom"/>
    </xf>
    <xf borderId="34" fillId="0" fontId="18" numFmtId="0" xfId="0" applyAlignment="1" applyBorder="1" applyFont="1">
      <alignment vertical="bottom"/>
    </xf>
    <xf borderId="0" fillId="0" fontId="18" numFmtId="0" xfId="0" applyAlignment="1" applyFont="1">
      <alignment vertical="bottom"/>
    </xf>
    <xf borderId="34" fillId="0" fontId="17" numFmtId="0" xfId="0" applyAlignment="1" applyBorder="1" applyFont="1">
      <alignment vertical="bottom"/>
    </xf>
    <xf borderId="34" fillId="0" fontId="19" numFmtId="0" xfId="0" applyAlignment="1" applyBorder="1" applyFont="1">
      <alignment horizontal="left" vertical="bottom"/>
    </xf>
    <xf borderId="0" fillId="0" fontId="2" numFmtId="49" xfId="0" applyAlignment="1" applyFont="1" applyNumberFormat="1">
      <alignment vertical="bottom"/>
    </xf>
    <xf borderId="65" fillId="2" fontId="20" numFmtId="0" xfId="0" applyAlignment="1" applyBorder="1" applyFont="1">
      <alignment horizontal="center" vertical="center"/>
    </xf>
    <xf borderId="65" fillId="2" fontId="20" numFmtId="164" xfId="0" applyAlignment="1" applyBorder="1" applyFont="1" applyNumberFormat="1">
      <alignment horizontal="center" vertical="center"/>
    </xf>
    <xf borderId="66" fillId="2" fontId="20" numFmtId="0" xfId="0" applyAlignment="1" applyBorder="1" applyFont="1">
      <alignment horizontal="center" vertical="center"/>
    </xf>
    <xf borderId="67" fillId="0" fontId="2" numFmtId="0" xfId="0" applyAlignment="1" applyBorder="1" applyFont="1">
      <alignment vertical="bottom"/>
    </xf>
    <xf borderId="68" fillId="2" fontId="2" numFmtId="0" xfId="0" applyAlignment="1" applyBorder="1" applyFont="1">
      <alignment vertical="bottom"/>
    </xf>
    <xf borderId="69" fillId="2" fontId="2" numFmtId="0" xfId="0" applyAlignment="1" applyBorder="1" applyFont="1">
      <alignment vertical="bottom"/>
    </xf>
    <xf borderId="70" fillId="2" fontId="21" numFmtId="49" xfId="0" applyAlignment="1" applyBorder="1" applyFont="1" applyNumberFormat="1">
      <alignment vertical="bottom"/>
    </xf>
    <xf borderId="13" fillId="2" fontId="5" numFmtId="0" xfId="0" applyAlignment="1" applyBorder="1" applyFont="1">
      <alignment vertical="bottom"/>
    </xf>
    <xf borderId="13" fillId="2" fontId="21" numFmtId="49" xfId="0" applyAlignment="1" applyBorder="1" applyFont="1" applyNumberFormat="1">
      <alignment vertical="bottom"/>
    </xf>
    <xf borderId="13" fillId="2" fontId="21" numFmtId="164" xfId="0" applyAlignment="1" applyBorder="1" applyFont="1" applyNumberFormat="1">
      <alignment vertical="bottom"/>
    </xf>
    <xf borderId="13" fillId="2" fontId="2" numFmtId="0" xfId="0" applyAlignment="1" applyBorder="1" applyFont="1">
      <alignment vertical="bottom"/>
    </xf>
    <xf borderId="14" fillId="2" fontId="2" numFmtId="0" xfId="0" applyAlignment="1" applyBorder="1" applyFont="1">
      <alignment vertical="bottom"/>
    </xf>
    <xf borderId="65" fillId="2" fontId="22" numFmtId="0" xfId="0" applyAlignment="1" applyBorder="1" applyFont="1">
      <alignment vertical="bottom"/>
    </xf>
    <xf borderId="21" fillId="2" fontId="23" numFmtId="0" xfId="0" applyAlignment="1" applyBorder="1" applyFont="1">
      <alignment vertical="bottom"/>
    </xf>
    <xf borderId="21" fillId="2" fontId="24" numFmtId="0" xfId="0" applyAlignment="1" applyBorder="1" applyFont="1">
      <alignment shrinkToFit="0" vertical="center" wrapText="1"/>
    </xf>
    <xf borderId="21" fillId="2" fontId="25" numFmtId="0" xfId="0" applyAlignment="1" applyBorder="1" applyFont="1">
      <alignment vertical="top"/>
    </xf>
    <xf borderId="21" fillId="2" fontId="26" numFmtId="0" xfId="0" applyAlignment="1" applyBorder="1" applyFont="1">
      <alignment shrinkToFit="0" vertical="center" wrapText="1"/>
    </xf>
    <xf borderId="21" fillId="2" fontId="27" numFmtId="0" xfId="0" applyAlignment="1" applyBorder="1" applyFont="1">
      <alignment vertical="bottom"/>
    </xf>
    <xf borderId="71" fillId="2" fontId="28" numFmtId="49" xfId="0" applyAlignment="1" applyBorder="1" applyFont="1" applyNumberFormat="1">
      <alignment horizontal="center" shrinkToFit="0" vertical="top" wrapText="1"/>
    </xf>
    <xf borderId="72" fillId="0" fontId="4" numFmtId="0" xfId="0" applyBorder="1" applyFont="1"/>
    <xf borderId="21" fillId="2" fontId="27" numFmtId="49" xfId="0" applyAlignment="1" applyBorder="1" applyFont="1" applyNumberFormat="1">
      <alignment horizontal="center" shrinkToFit="0" vertical="center" wrapText="1"/>
    </xf>
    <xf borderId="21" fillId="2" fontId="27" numFmtId="0" xfId="0" applyAlignment="1" applyBorder="1" applyFont="1">
      <alignment horizontal="center" shrinkToFit="0" vertical="center" wrapText="1"/>
    </xf>
    <xf borderId="71" fillId="2" fontId="29" numFmtId="49" xfId="0" applyAlignment="1" applyBorder="1" applyFont="1" applyNumberFormat="1">
      <alignment horizontal="center" shrinkToFit="0" vertical="center" wrapText="1"/>
    </xf>
    <xf borderId="21" fillId="2" fontId="30" numFmtId="0" xfId="0" applyAlignment="1" applyBorder="1" applyFont="1">
      <alignment shrinkToFit="0" vertical="center" wrapText="1"/>
    </xf>
    <xf borderId="21" fillId="2" fontId="23" numFmtId="0" xfId="0" applyAlignment="1" applyBorder="1" applyFont="1">
      <alignment horizontal="center" vertical="bottom"/>
    </xf>
    <xf borderId="21" fillId="2" fontId="24" numFmtId="0" xfId="0" applyAlignment="1" applyBorder="1" applyFont="1">
      <alignment horizontal="center" shrinkToFit="0" vertical="center" wrapText="1"/>
    </xf>
    <xf borderId="73" fillId="2" fontId="31" numFmtId="0" xfId="0" applyAlignment="1" applyBorder="1" applyFont="1">
      <alignment horizontal="left" vertical="center"/>
    </xf>
    <xf borderId="21" fillId="2" fontId="27" numFmtId="49" xfId="0" applyAlignment="1" applyBorder="1" applyFont="1" applyNumberFormat="1">
      <alignment vertical="center"/>
    </xf>
    <xf borderId="21" fillId="2" fontId="32" numFmtId="49" xfId="0" applyAlignment="1" applyBorder="1" applyFont="1" applyNumberFormat="1">
      <alignment shrinkToFit="0" vertical="center" wrapText="1"/>
    </xf>
    <xf borderId="21" fillId="2" fontId="32" numFmtId="164" xfId="0" applyAlignment="1" applyBorder="1" applyFont="1" applyNumberFormat="1">
      <alignment horizontal="center" vertical="center"/>
    </xf>
    <xf borderId="21" fillId="2" fontId="6" numFmtId="0" xfId="0" applyAlignment="1" applyBorder="1" applyFont="1">
      <alignment horizontal="right" vertical="center"/>
    </xf>
    <xf borderId="21" fillId="2" fontId="5" numFmtId="0" xfId="0" applyAlignment="1" applyBorder="1" applyFont="1">
      <alignment horizontal="center" vertical="center"/>
    </xf>
    <xf borderId="21" fillId="2" fontId="33" numFmtId="0" xfId="0" applyAlignment="1" applyBorder="1" applyFont="1">
      <alignment horizontal="center" vertical="center"/>
    </xf>
    <xf borderId="65" fillId="2" fontId="11" numFmtId="0" xfId="0" applyAlignment="1" applyBorder="1" applyFont="1">
      <alignment vertical="bottom"/>
    </xf>
    <xf borderId="74" fillId="0" fontId="4" numFmtId="0" xfId="0" applyBorder="1" applyFont="1"/>
    <xf borderId="21" fillId="2" fontId="27" numFmtId="49" xfId="0" applyAlignment="1" applyBorder="1" applyFont="1" applyNumberFormat="1">
      <alignment horizontal="left" shrinkToFit="0" vertical="center" wrapText="1"/>
    </xf>
    <xf borderId="71" fillId="2" fontId="27" numFmtId="49" xfId="0" applyAlignment="1" applyBorder="1" applyFont="1" applyNumberFormat="1">
      <alignment horizontal="left" vertical="center"/>
    </xf>
    <xf borderId="21" fillId="2" fontId="27" numFmtId="0" xfId="0" applyAlignment="1" applyBorder="1" applyFont="1">
      <alignment horizontal="left" vertical="center"/>
    </xf>
    <xf borderId="71" fillId="2" fontId="27" numFmtId="49" xfId="0" applyAlignment="1" applyBorder="1" applyFont="1" applyNumberFormat="1">
      <alignment horizontal="left" vertical="top"/>
    </xf>
    <xf borderId="21" fillId="2" fontId="27" numFmtId="0" xfId="0" applyAlignment="1" applyBorder="1" applyFont="1">
      <alignment horizontal="left" shrinkToFit="0" vertical="center" wrapText="1"/>
    </xf>
    <xf borderId="71" fillId="2" fontId="27" numFmtId="0" xfId="0" applyAlignment="1" applyBorder="1" applyFont="1">
      <alignment horizontal="left" vertical="top"/>
    </xf>
    <xf borderId="21" fillId="2" fontId="27" numFmtId="0" xfId="0" applyAlignment="1" applyBorder="1" applyFont="1">
      <alignment shrinkToFit="0" vertical="center" wrapText="1"/>
    </xf>
    <xf borderId="21" fillId="2" fontId="32" numFmtId="49" xfId="0" applyAlignment="1" applyBorder="1" applyFont="1" applyNumberFormat="1">
      <alignment horizontal="center" shrinkToFit="0" vertical="top" wrapText="1"/>
    </xf>
    <xf borderId="21" fillId="2" fontId="32" numFmtId="49" xfId="0" applyAlignment="1" applyBorder="1" applyFont="1" applyNumberFormat="1">
      <alignment horizontal="center" vertical="top"/>
    </xf>
    <xf borderId="21" fillId="2" fontId="34" numFmtId="49" xfId="0" applyAlignment="1" applyBorder="1" applyFont="1" applyNumberFormat="1">
      <alignment horizontal="left" vertical="bottom"/>
    </xf>
    <xf borderId="21" fillId="2" fontId="27" numFmtId="164" xfId="0" applyAlignment="1" applyBorder="1" applyFont="1" applyNumberFormat="1">
      <alignment horizontal="center" vertical="bottom"/>
    </xf>
    <xf borderId="21" fillId="2" fontId="34" numFmtId="49" xfId="0" applyAlignment="1" applyBorder="1" applyFont="1" applyNumberFormat="1">
      <alignment horizontal="right" vertical="center"/>
    </xf>
    <xf borderId="21" fillId="2" fontId="27" numFmtId="49" xfId="0" applyAlignment="1" applyBorder="1" applyFont="1" applyNumberFormat="1">
      <alignment shrinkToFit="0" vertical="center" wrapText="1"/>
    </xf>
    <xf borderId="21" fillId="2" fontId="35" numFmtId="49" xfId="0" applyAlignment="1" applyBorder="1" applyFont="1" applyNumberFormat="1">
      <alignment horizontal="left" vertical="center"/>
    </xf>
    <xf borderId="71" fillId="2" fontId="32" numFmtId="49" xfId="0" applyAlignment="1" applyBorder="1" applyFont="1" applyNumberFormat="1">
      <alignment horizontal="left" shrinkToFit="0" vertical="center" wrapText="1"/>
    </xf>
    <xf borderId="21" fillId="2" fontId="25" numFmtId="49" xfId="0" applyAlignment="1" applyBorder="1" applyFont="1" applyNumberFormat="1">
      <alignment horizontal="left" vertical="center"/>
    </xf>
    <xf borderId="21" fillId="2" fontId="34" numFmtId="49" xfId="0" applyAlignment="1" applyBorder="1" applyFont="1" applyNumberFormat="1">
      <alignment shrinkToFit="0" vertical="bottom" wrapText="1"/>
    </xf>
    <xf borderId="21" fillId="2" fontId="32" numFmtId="0" xfId="0" applyAlignment="1" applyBorder="1" applyFont="1">
      <alignment horizontal="left" vertical="center"/>
    </xf>
    <xf borderId="21" fillId="2" fontId="27" numFmtId="170" xfId="0" applyAlignment="1" applyBorder="1" applyFont="1" applyNumberFormat="1">
      <alignment horizontal="left" shrinkToFit="0" vertical="center" wrapText="1"/>
    </xf>
    <xf borderId="71" fillId="2" fontId="27" numFmtId="49" xfId="0" applyAlignment="1" applyBorder="1" applyFont="1" applyNumberFormat="1">
      <alignment horizontal="left" shrinkToFit="0" vertical="center" wrapText="1"/>
    </xf>
    <xf borderId="21" fillId="2" fontId="27" numFmtId="171" xfId="0" applyAlignment="1" applyBorder="1" applyFont="1" applyNumberFormat="1">
      <alignment horizontal="left" shrinkToFit="0" vertical="center" wrapText="1"/>
    </xf>
    <xf borderId="21" fillId="2" fontId="27" numFmtId="172" xfId="0" applyAlignment="1" applyBorder="1" applyFont="1" applyNumberFormat="1">
      <alignment horizontal="left" shrinkToFit="0" vertical="center" wrapText="1"/>
    </xf>
    <xf borderId="71" fillId="2" fontId="27" numFmtId="0" xfId="0" applyAlignment="1" applyBorder="1" applyFont="1">
      <alignment horizontal="left" shrinkToFit="0" vertical="center" wrapText="1"/>
    </xf>
    <xf borderId="22" fillId="2" fontId="11" numFmtId="0" xfId="0" applyAlignment="1" applyBorder="1" applyFont="1">
      <alignment horizontal="left" vertical="bottom"/>
    </xf>
    <xf borderId="21" fillId="2" fontId="27" numFmtId="0" xfId="0" applyAlignment="1" applyBorder="1" applyFont="1">
      <alignment vertical="center"/>
    </xf>
    <xf borderId="21" fillId="2" fontId="25" numFmtId="0" xfId="0" applyAlignment="1" applyBorder="1" applyFont="1">
      <alignment horizontal="left" vertical="center"/>
    </xf>
    <xf borderId="21" fillId="2" fontId="34" numFmtId="0" xfId="0" applyAlignment="1" applyBorder="1" applyFont="1">
      <alignment horizontal="left" vertical="bottom"/>
    </xf>
    <xf borderId="21" fillId="2" fontId="27" numFmtId="0" xfId="0" applyAlignment="1" applyBorder="1" applyFont="1">
      <alignment horizontal="center" vertical="bottom"/>
    </xf>
    <xf borderId="21" fillId="2" fontId="27" numFmtId="0" xfId="0" applyAlignment="1" applyBorder="1" applyFont="1">
      <alignment horizontal="center" shrinkToFit="0" vertical="top" wrapText="1"/>
    </xf>
    <xf borderId="71" fillId="2" fontId="34" numFmtId="49" xfId="0" applyAlignment="1" applyBorder="1" applyFont="1" applyNumberFormat="1">
      <alignment horizontal="left" shrinkToFit="0" vertical="center" wrapText="1"/>
    </xf>
    <xf borderId="21" fillId="2" fontId="35" numFmtId="49" xfId="0" applyAlignment="1" applyBorder="1" applyFont="1" applyNumberFormat="1">
      <alignment vertical="bottom"/>
    </xf>
    <xf borderId="21" fillId="2" fontId="32" numFmtId="0" xfId="0" applyAlignment="1" applyBorder="1" applyFont="1">
      <alignment horizontal="left" shrinkToFit="0" vertical="center" wrapText="1"/>
    </xf>
    <xf borderId="71" fillId="2" fontId="34" numFmtId="0" xfId="0" applyAlignment="1" applyBorder="1" applyFont="1">
      <alignment shrinkToFit="0" vertical="center" wrapText="1"/>
    </xf>
    <xf borderId="21" fillId="2" fontId="32" numFmtId="0" xfId="0" applyAlignment="1" applyBorder="1" applyFont="1">
      <alignment shrinkToFit="0" vertical="top" wrapText="1"/>
    </xf>
    <xf borderId="71" fillId="2" fontId="35" numFmtId="49" xfId="0" applyAlignment="1" applyBorder="1" applyFont="1" applyNumberFormat="1">
      <alignment horizontal="left" shrinkToFit="0" vertical="top" wrapText="1"/>
    </xf>
    <xf borderId="21" fillId="2" fontId="34" numFmtId="49" xfId="0" applyAlignment="1" applyBorder="1" applyFont="1" applyNumberFormat="1">
      <alignment shrinkToFit="0" vertical="top" wrapText="1"/>
    </xf>
    <xf borderId="21" fillId="2" fontId="34" numFmtId="49" xfId="0" applyAlignment="1" applyBorder="1" applyFont="1" applyNumberFormat="1">
      <alignment vertical="bottom"/>
    </xf>
    <xf borderId="21" fillId="2" fontId="32" numFmtId="49" xfId="0" applyAlignment="1" applyBorder="1" applyFont="1" applyNumberFormat="1">
      <alignment vertical="bottom"/>
    </xf>
    <xf borderId="21" fillId="2" fontId="35" numFmtId="49" xfId="0" applyAlignment="1" applyBorder="1" applyFont="1" applyNumberFormat="1">
      <alignment shrinkToFit="0" vertical="top" wrapText="1"/>
    </xf>
    <xf borderId="21" fillId="2" fontId="34" numFmtId="0" xfId="0" applyAlignment="1" applyBorder="1" applyFont="1">
      <alignment vertical="bottom"/>
    </xf>
    <xf borderId="21" fillId="2" fontId="36" numFmtId="0" xfId="0" applyAlignment="1" applyBorder="1" applyFont="1">
      <alignment shrinkToFit="0" vertical="top" wrapText="1"/>
    </xf>
    <xf borderId="71" fillId="2" fontId="36" numFmtId="49" xfId="0" applyAlignment="1" applyBorder="1" applyFont="1" applyNumberFormat="1">
      <alignment horizontal="right" shrinkToFit="0" vertical="top" wrapText="1"/>
    </xf>
    <xf borderId="71" fillId="2" fontId="36" numFmtId="49" xfId="0" applyAlignment="1" applyBorder="1" applyFont="1" applyNumberFormat="1">
      <alignment horizontal="center" shrinkToFit="0" vertical="center" wrapText="1"/>
    </xf>
    <xf borderId="21" fillId="2" fontId="36" numFmtId="49" xfId="0" applyAlignment="1" applyBorder="1" applyFont="1" applyNumberFormat="1">
      <alignment horizontal="center" shrinkToFit="0" vertical="center" wrapText="1"/>
    </xf>
    <xf borderId="21" fillId="2" fontId="36" numFmtId="0" xfId="0" applyAlignment="1" applyBorder="1" applyFont="1">
      <alignment horizontal="center" shrinkToFit="0" vertical="center" wrapText="1"/>
    </xf>
    <xf borderId="71" fillId="2" fontId="36" numFmtId="0" xfId="0" applyAlignment="1" applyBorder="1" applyFont="1">
      <alignment horizontal="center" shrinkToFit="0" vertical="center" wrapText="1"/>
    </xf>
    <xf borderId="21" fillId="2" fontId="25" numFmtId="0" xfId="0" applyAlignment="1" applyBorder="1" applyFont="1">
      <alignment horizontal="center" shrinkToFit="0" vertical="center" wrapText="1"/>
    </xf>
    <xf borderId="21" fillId="2" fontId="25" numFmtId="49" xfId="0" applyAlignment="1" applyBorder="1" applyFont="1" applyNumberFormat="1">
      <alignment horizontal="center" shrinkToFit="0" vertical="center" wrapText="1"/>
    </xf>
    <xf borderId="71" fillId="2" fontId="25" numFmtId="49" xfId="0" applyAlignment="1" applyBorder="1" applyFont="1" applyNumberFormat="1">
      <alignment horizontal="center" vertical="center"/>
    </xf>
    <xf borderId="21" fillId="2" fontId="25" numFmtId="49" xfId="0" applyAlignment="1" applyBorder="1" applyFont="1" applyNumberFormat="1">
      <alignment horizontal="center" vertical="center"/>
    </xf>
    <xf borderId="21" fillId="2" fontId="25" numFmtId="0" xfId="0" applyAlignment="1" applyBorder="1" applyFont="1">
      <alignment horizontal="center" vertical="center"/>
    </xf>
    <xf borderId="71" fillId="2" fontId="25" numFmtId="0" xfId="0" applyAlignment="1" applyBorder="1" applyFont="1">
      <alignment horizontal="center" vertical="center"/>
    </xf>
    <xf borderId="71" fillId="2" fontId="27" numFmtId="0" xfId="0" applyAlignment="1" applyBorder="1" applyFont="1">
      <alignment horizontal="center" vertical="bottom"/>
    </xf>
    <xf borderId="21" fillId="2" fontId="27" numFmtId="0" xfId="0" applyAlignment="1" applyBorder="1" applyFont="1">
      <alignment shrinkToFit="0" vertical="top" wrapText="1"/>
    </xf>
    <xf borderId="21" fillId="2" fontId="27" numFmtId="49" xfId="0" applyAlignment="1" applyBorder="1" applyFont="1" applyNumberFormat="1">
      <alignment horizontal="center" vertical="center"/>
    </xf>
    <xf borderId="71" fillId="2" fontId="27" numFmtId="49" xfId="0" applyAlignment="1" applyBorder="1" applyFont="1" applyNumberFormat="1">
      <alignment horizontal="center" vertical="center"/>
    </xf>
    <xf borderId="21" fillId="2" fontId="27" numFmtId="164" xfId="0" applyAlignment="1" applyBorder="1" applyFont="1" applyNumberFormat="1">
      <alignment horizontal="center" shrinkToFit="0" vertical="center" wrapText="1"/>
    </xf>
    <xf borderId="21" fillId="2" fontId="37" numFmtId="0" xfId="0" applyAlignment="1" applyBorder="1" applyFont="1">
      <alignment horizontal="center" shrinkToFit="0" vertical="center" wrapText="1"/>
    </xf>
    <xf borderId="21" fillId="2" fontId="32" numFmtId="0" xfId="0" applyAlignment="1" applyBorder="1" applyFont="1">
      <alignment horizontal="center" shrinkToFit="0" vertical="center" wrapText="1"/>
    </xf>
    <xf borderId="21" fillId="2" fontId="23" numFmtId="0" xfId="0" applyAlignment="1" applyBorder="1" applyFont="1">
      <alignment shrinkToFit="0" vertical="center" wrapText="1"/>
    </xf>
    <xf borderId="21" fillId="2" fontId="27" numFmtId="0" xfId="0" applyAlignment="1" applyBorder="1" applyFont="1">
      <alignment horizontal="center" vertical="center"/>
    </xf>
    <xf borderId="71" fillId="2" fontId="27" numFmtId="164" xfId="0" applyAlignment="1" applyBorder="1" applyFont="1" applyNumberFormat="1">
      <alignment horizontal="center" vertical="center"/>
    </xf>
    <xf borderId="21" fillId="2" fontId="38" numFmtId="0" xfId="0" applyAlignment="1" applyBorder="1" applyFont="1">
      <alignment horizontal="center" vertical="center"/>
    </xf>
    <xf borderId="21" fillId="2" fontId="39" numFmtId="0" xfId="0" applyAlignment="1" applyBorder="1" applyFont="1">
      <alignment horizontal="center" shrinkToFit="0" vertical="center" wrapText="1"/>
    </xf>
    <xf borderId="21" fillId="2" fontId="38" numFmtId="164" xfId="0" applyAlignment="1" applyBorder="1" applyFont="1" applyNumberFormat="1">
      <alignment horizontal="center" vertical="center"/>
    </xf>
    <xf borderId="21" fillId="2" fontId="32" numFmtId="14" xfId="0" applyAlignment="1" applyBorder="1" applyFont="1" applyNumberFormat="1">
      <alignment horizontal="center" shrinkToFit="0" vertical="center" wrapText="1"/>
    </xf>
    <xf borderId="21" fillId="2" fontId="34" numFmtId="0" xfId="0" applyAlignment="1" applyBorder="1" applyFont="1">
      <alignment horizontal="left" vertical="center"/>
    </xf>
    <xf borderId="21" fillId="2" fontId="34" numFmtId="49" xfId="0" applyAlignment="1" applyBorder="1" applyFont="1" applyNumberFormat="1">
      <alignment horizontal="center" vertical="bottom"/>
    </xf>
    <xf borderId="71" fillId="2" fontId="27" numFmtId="49" xfId="0" applyAlignment="1" applyBorder="1" applyFont="1" applyNumberFormat="1">
      <alignment horizontal="center" vertical="bottom"/>
    </xf>
    <xf borderId="21" fillId="2" fontId="34" numFmtId="0" xfId="0" applyAlignment="1" applyBorder="1" applyFont="1">
      <alignment horizontal="center" vertical="bottom"/>
    </xf>
    <xf borderId="21" fillId="2" fontId="2" numFmtId="0" xfId="0" applyAlignment="1" applyBorder="1" applyFont="1">
      <alignment horizontal="center" vertical="center"/>
    </xf>
    <xf borderId="21" fillId="2" fontId="25" numFmtId="0" xfId="0" applyAlignment="1" applyBorder="1" applyFont="1">
      <alignment horizontal="left" vertical="top"/>
    </xf>
    <xf borderId="21" fillId="2" fontId="25" numFmtId="49" xfId="0" applyAlignment="1" applyBorder="1" applyFont="1" applyNumberFormat="1">
      <alignment horizontal="center" vertical="top"/>
    </xf>
    <xf borderId="71" fillId="2" fontId="40" numFmtId="49" xfId="0" applyAlignment="1" applyBorder="1" applyFont="1" applyNumberFormat="1">
      <alignment horizontal="center" vertical="bottom"/>
    </xf>
    <xf borderId="21" fillId="2" fontId="25" numFmtId="0" xfId="0" applyAlignment="1" applyBorder="1" applyFont="1">
      <alignment horizontal="center" vertical="top"/>
    </xf>
    <xf borderId="71" fillId="2" fontId="2" numFmtId="0" xfId="0" applyAlignment="1" applyBorder="1" applyFont="1">
      <alignment horizontal="center" vertical="bottom"/>
    </xf>
    <xf borderId="21" fillId="2" fontId="32" numFmtId="0" xfId="0" applyAlignment="1" applyBorder="1" applyFont="1">
      <alignment horizontal="center" vertical="bottom"/>
    </xf>
    <xf borderId="21" fillId="2" fontId="2" numFmtId="0" xfId="0" applyAlignment="1" applyBorder="1" applyFont="1">
      <alignment horizontal="left" vertical="top"/>
    </xf>
    <xf borderId="71" fillId="2" fontId="34" numFmtId="0" xfId="0" applyAlignment="1" applyBorder="1" applyFont="1">
      <alignment horizontal="center" vertical="bottom"/>
    </xf>
    <xf borderId="71" fillId="2" fontId="37" numFmtId="0" xfId="0" applyAlignment="1" applyBorder="1" applyFont="1">
      <alignment horizontal="center" shrinkToFit="0" vertical="center" wrapText="1"/>
    </xf>
    <xf borderId="71" fillId="2" fontId="37" numFmtId="0" xfId="0" applyAlignment="1" applyBorder="1" applyFont="1">
      <alignment horizontal="center" vertical="center"/>
    </xf>
    <xf borderId="65" fillId="2" fontId="2" numFmtId="0" xfId="0" applyAlignment="1" applyBorder="1" applyFont="1">
      <alignment vertical="bottom"/>
    </xf>
    <xf borderId="21" fillId="2" fontId="32" numFmtId="0" xfId="0" applyAlignment="1" applyBorder="1" applyFont="1">
      <alignment horizontal="left" vertical="bottom"/>
    </xf>
    <xf borderId="21" fillId="2" fontId="32" numFmtId="164" xfId="0" applyAlignment="1" applyBorder="1" applyFont="1" applyNumberFormat="1">
      <alignment horizontal="center" vertical="bottom"/>
    </xf>
    <xf borderId="21" fillId="2" fontId="37" numFmtId="0" xfId="0" applyAlignment="1" applyBorder="1" applyFont="1">
      <alignment horizontal="center" vertical="bottom"/>
    </xf>
    <xf borderId="21" fillId="2" fontId="41" numFmtId="0" xfId="0" applyAlignment="1" applyBorder="1" applyFont="1">
      <alignment horizontal="left" vertical="bottom"/>
    </xf>
    <xf borderId="21" fillId="2" fontId="41" numFmtId="0" xfId="0" applyAlignment="1" applyBorder="1" applyFont="1">
      <alignment horizontal="center" vertical="bottom"/>
    </xf>
    <xf borderId="21" fillId="2" fontId="41" numFmtId="164" xfId="0" applyAlignment="1" applyBorder="1" applyFont="1" applyNumberFormat="1">
      <alignment horizontal="center" vertical="bottom"/>
    </xf>
    <xf borderId="21" fillId="2" fontId="18" numFmtId="0" xfId="0" applyAlignment="1" applyBorder="1" applyFont="1">
      <alignment horizontal="center" vertical="bottom"/>
    </xf>
    <xf borderId="21" fillId="2" fontId="13" numFmtId="14" xfId="0" applyAlignment="1" applyBorder="1" applyFont="1" applyNumberFormat="1">
      <alignment vertical="bottom"/>
    </xf>
    <xf borderId="66" fillId="2" fontId="2" numFmtId="0" xfId="0" applyAlignment="1" applyBorder="1" applyFont="1">
      <alignment vertical="bottom"/>
    </xf>
    <xf borderId="68" fillId="2" fontId="12" numFmtId="0" xfId="0" applyAlignment="1" applyBorder="1" applyFont="1">
      <alignment vertical="bottom"/>
    </xf>
    <xf borderId="75" fillId="0" fontId="2" numFmtId="0" xfId="0" applyAlignment="1" applyBorder="1" applyFont="1">
      <alignment vertical="bottom"/>
    </xf>
    <xf borderId="75" fillId="0" fontId="42" numFmtId="0" xfId="0" applyAlignment="1" applyBorder="1" applyFont="1">
      <alignment vertical="bottom"/>
    </xf>
    <xf borderId="75" fillId="0" fontId="42" numFmtId="0" xfId="0" applyAlignment="1" applyBorder="1" applyFont="1">
      <alignment horizontal="right" vertical="bottom"/>
    </xf>
    <xf borderId="75" fillId="0" fontId="2" numFmtId="49" xfId="0" applyAlignment="1" applyBorder="1" applyFont="1" applyNumberFormat="1">
      <alignment vertical="bottom"/>
    </xf>
    <xf borderId="76" fillId="0" fontId="2" numFmtId="0" xfId="0" applyAlignment="1" applyBorder="1" applyFont="1">
      <alignment vertical="bottom"/>
    </xf>
    <xf borderId="77" fillId="0" fontId="2" numFmtId="0" xfId="0" applyAlignment="1" applyBorder="1" applyFont="1">
      <alignment vertical="bottom"/>
    </xf>
    <xf borderId="78" fillId="0" fontId="2" numFmtId="0" xfId="0" applyAlignment="1" applyBorder="1" applyFont="1">
      <alignment vertical="bottom"/>
    </xf>
    <xf borderId="79" fillId="0" fontId="2" numFmtId="0" xfId="0" applyAlignment="1" applyBorder="1" applyFont="1">
      <alignment vertical="bottom"/>
    </xf>
    <xf borderId="0" fillId="0" fontId="29" numFmtId="0" xfId="0" applyAlignment="1" applyFont="1">
      <alignment vertical="bottom"/>
    </xf>
    <xf borderId="0" fillId="0" fontId="42" numFmtId="0" xfId="0" applyAlignment="1" applyFont="1">
      <alignment vertical="bottom"/>
    </xf>
    <xf borderId="0" fillId="0" fontId="11" numFmtId="0" xfId="0" applyAlignment="1" applyFont="1">
      <alignment vertical="bottom"/>
    </xf>
    <xf borderId="71" fillId="2" fontId="29" numFmtId="49" xfId="0" applyAlignment="1" applyBorder="1" applyFont="1" applyNumberFormat="1">
      <alignment horizontal="left" vertical="top"/>
    </xf>
    <xf borderId="80" fillId="2" fontId="43" numFmtId="49" xfId="0" applyAlignment="1" applyBorder="1" applyFont="1" applyNumberFormat="1">
      <alignment horizontal="center" shrinkToFit="0" vertical="top" wrapText="1"/>
    </xf>
    <xf borderId="81" fillId="0" fontId="4" numFmtId="0" xfId="0" applyBorder="1" applyFont="1"/>
    <xf borderId="82" fillId="0" fontId="4" numFmtId="0" xfId="0" applyBorder="1" applyFont="1"/>
    <xf borderId="71" fillId="2" fontId="27" numFmtId="164" xfId="0" applyAlignment="1" applyBorder="1" applyFont="1" applyNumberFormat="1">
      <alignment horizontal="left" vertical="top"/>
    </xf>
    <xf borderId="83" fillId="0" fontId="4" numFmtId="0" xfId="0" applyBorder="1" applyFont="1"/>
    <xf borderId="84" fillId="0" fontId="4" numFmtId="0" xfId="0" applyBorder="1" applyFont="1"/>
    <xf borderId="85" fillId="0" fontId="4" numFmtId="0" xfId="0" applyBorder="1" applyFont="1"/>
    <xf borderId="0" fillId="0" fontId="27" numFmtId="0" xfId="0" applyAlignment="1" applyFont="1">
      <alignment vertical="bottom"/>
    </xf>
    <xf borderId="21" fillId="2" fontId="11" numFmtId="0" xfId="0" applyAlignment="1" applyBorder="1" applyFont="1">
      <alignment horizontal="left" shrinkToFit="0" vertical="center" wrapText="1"/>
    </xf>
    <xf borderId="21" fillId="2" fontId="11" numFmtId="0" xfId="0" applyAlignment="1" applyBorder="1" applyFont="1">
      <alignment horizontal="left" vertical="center"/>
    </xf>
    <xf borderId="21" fillId="2" fontId="11" numFmtId="0" xfId="0" applyAlignment="1" applyBorder="1" applyFont="1">
      <alignment vertical="top"/>
    </xf>
    <xf borderId="26" fillId="0" fontId="11" numFmtId="0" xfId="0" applyAlignment="1" applyBorder="1" applyFont="1">
      <alignment vertical="bottom"/>
    </xf>
    <xf borderId="86" fillId="0" fontId="2" numFmtId="0" xfId="0" applyAlignment="1" applyBorder="1" applyFont="1">
      <alignment horizontal="center" vertical="bottom"/>
    </xf>
    <xf borderId="87" fillId="0" fontId="44" numFmtId="49" xfId="0" applyAlignment="1" applyBorder="1" applyFont="1" applyNumberFormat="1">
      <alignment horizontal="center" vertical="bottom"/>
    </xf>
    <xf borderId="88" fillId="0" fontId="4" numFmtId="0" xfId="0" applyBorder="1" applyFont="1"/>
    <xf borderId="89" fillId="0" fontId="4" numFmtId="0" xfId="0" applyBorder="1" applyFont="1"/>
    <xf borderId="31" fillId="0" fontId="2" numFmtId="0" xfId="0" applyAlignment="1" applyBorder="1" applyFont="1">
      <alignment horizontal="center" vertical="bottom"/>
    </xf>
    <xf borderId="0" fillId="0" fontId="2" numFmtId="0" xfId="0" applyAlignment="1" applyFont="1">
      <alignment horizontal="center" vertical="bottom"/>
    </xf>
    <xf borderId="78" fillId="0" fontId="2" numFmtId="0" xfId="0" applyAlignment="1" applyBorder="1" applyFont="1">
      <alignment horizontal="center" vertical="bottom"/>
    </xf>
    <xf borderId="79" fillId="0" fontId="2" numFmtId="0" xfId="0" applyAlignment="1" applyBorder="1" applyFont="1">
      <alignment horizontal="center" vertical="bottom"/>
    </xf>
    <xf borderId="86" fillId="0" fontId="2" numFmtId="0" xfId="0" applyAlignment="1" applyBorder="1" applyFont="1">
      <alignment vertical="bottom"/>
    </xf>
    <xf borderId="90" fillId="0" fontId="34" numFmtId="49" xfId="0" applyAlignment="1" applyBorder="1" applyFont="1" applyNumberFormat="1">
      <alignment horizontal="center" vertical="bottom"/>
    </xf>
    <xf borderId="91" fillId="0" fontId="27" numFmtId="0" xfId="0" applyAlignment="1" applyBorder="1" applyFont="1">
      <alignment vertical="bottom"/>
    </xf>
    <xf borderId="92" fillId="0" fontId="27" numFmtId="0" xfId="0" applyAlignment="1" applyBorder="1" applyFont="1">
      <alignment vertical="bottom"/>
    </xf>
    <xf borderId="93" fillId="0" fontId="27" numFmtId="0" xfId="0" applyAlignment="1" applyBorder="1" applyFont="1">
      <alignment vertical="bottom"/>
    </xf>
    <xf borderId="94" fillId="0" fontId="34" numFmtId="49" xfId="0" applyAlignment="1" applyBorder="1" applyFont="1" applyNumberFormat="1">
      <alignment horizontal="center" vertical="bottom"/>
    </xf>
    <xf borderId="95" fillId="2" fontId="34" numFmtId="49" xfId="0" applyAlignment="1" applyBorder="1" applyFont="1" applyNumberFormat="1">
      <alignment horizontal="center" shrinkToFit="0" vertical="top" wrapText="1"/>
    </xf>
    <xf borderId="96" fillId="2" fontId="27" numFmtId="0" xfId="0" applyAlignment="1" applyBorder="1" applyFont="1">
      <alignment horizontal="center" vertical="center"/>
    </xf>
    <xf borderId="97" fillId="2" fontId="34" numFmtId="49" xfId="0" applyAlignment="1" applyBorder="1" applyFont="1" applyNumberFormat="1">
      <alignment horizontal="center" vertical="center"/>
    </xf>
    <xf borderId="98" fillId="2" fontId="27" numFmtId="173" xfId="0" applyAlignment="1" applyBorder="1" applyFont="1" applyNumberFormat="1">
      <alignment horizontal="center" vertical="center"/>
    </xf>
    <xf borderId="99" fillId="2" fontId="35" numFmtId="49" xfId="0" applyAlignment="1" applyBorder="1" applyFont="1" applyNumberFormat="1">
      <alignment horizontal="center" vertical="center"/>
    </xf>
    <xf borderId="100" fillId="0" fontId="4" numFmtId="0" xfId="0" applyBorder="1" applyFont="1"/>
    <xf borderId="101" fillId="0" fontId="4" numFmtId="0" xfId="0" applyBorder="1" applyFont="1"/>
    <xf borderId="102" fillId="0" fontId="4" numFmtId="0" xfId="0" applyBorder="1" applyFont="1"/>
    <xf borderId="103" fillId="0" fontId="4" numFmtId="0" xfId="0" applyBorder="1" applyFont="1"/>
    <xf borderId="104" fillId="0" fontId="4" numFmtId="0" xfId="0" applyBorder="1" applyFont="1"/>
    <xf borderId="105" fillId="2" fontId="35" numFmtId="49" xfId="0" applyAlignment="1" applyBorder="1" applyFont="1" applyNumberFormat="1">
      <alignment horizontal="center" vertical="center"/>
    </xf>
    <xf borderId="98" fillId="2" fontId="27" numFmtId="166" xfId="0" applyAlignment="1" applyBorder="1" applyFont="1" applyNumberFormat="1">
      <alignment horizontal="center" vertical="center"/>
    </xf>
    <xf borderId="106" fillId="0" fontId="34" numFmtId="0" xfId="0" applyAlignment="1" applyBorder="1" applyFont="1">
      <alignment horizontal="center" vertical="bottom"/>
    </xf>
    <xf borderId="64" fillId="0" fontId="27" numFmtId="0" xfId="0" applyAlignment="1" applyBorder="1" applyFont="1">
      <alignment horizontal="center" vertical="bottom"/>
    </xf>
    <xf borderId="107" fillId="0" fontId="35" numFmtId="0" xfId="0" applyAlignment="1" applyBorder="1" applyFont="1">
      <alignment horizontal="center" vertical="bottom"/>
    </xf>
    <xf borderId="108" fillId="0" fontId="4" numFmtId="0" xfId="0" applyBorder="1" applyFont="1"/>
    <xf borderId="109" fillId="0" fontId="27" numFmtId="2" xfId="0" applyAlignment="1" applyBorder="1" applyFont="1" applyNumberFormat="1">
      <alignment vertical="bottom"/>
    </xf>
    <xf borderId="110" fillId="0" fontId="27" numFmtId="2" xfId="0" applyAlignment="1" applyBorder="1" applyFont="1" applyNumberFormat="1">
      <alignment vertical="bottom"/>
    </xf>
    <xf borderId="111" fillId="0" fontId="35" numFmtId="0" xfId="0" applyAlignment="1" applyBorder="1" applyFont="1">
      <alignment horizontal="center" vertical="bottom"/>
    </xf>
    <xf borderId="112" fillId="2" fontId="36" numFmtId="49" xfId="0" applyAlignment="1" applyBorder="1" applyFont="1" applyNumberFormat="1">
      <alignment horizontal="center" shrinkToFit="0" vertical="top" wrapText="1"/>
    </xf>
    <xf borderId="97" fillId="2" fontId="36" numFmtId="49" xfId="0" applyAlignment="1" applyBorder="1" applyFont="1" applyNumberFormat="1">
      <alignment horizontal="center" shrinkToFit="0" vertical="top" wrapText="1"/>
    </xf>
    <xf borderId="97" fillId="2" fontId="36" numFmtId="49" xfId="0" applyAlignment="1" applyBorder="1" applyFont="1" applyNumberFormat="1">
      <alignment horizontal="center" shrinkToFit="0" vertical="center" wrapText="1"/>
    </xf>
    <xf borderId="107" fillId="0" fontId="27" numFmtId="0" xfId="0" applyAlignment="1" applyBorder="1" applyFont="1">
      <alignment horizontal="center" vertical="bottom"/>
    </xf>
    <xf borderId="43" fillId="2" fontId="36" numFmtId="49" xfId="0" applyAlignment="1" applyBorder="1" applyFont="1" applyNumberFormat="1">
      <alignment horizontal="center" shrinkToFit="0" vertical="top" wrapText="1"/>
    </xf>
    <xf borderId="86" fillId="0" fontId="27" numFmtId="0" xfId="0" applyAlignment="1" applyBorder="1" applyFont="1">
      <alignment horizontal="center" vertical="bottom"/>
    </xf>
    <xf borderId="86" fillId="0" fontId="42" numFmtId="0" xfId="0" applyAlignment="1" applyBorder="1" applyFont="1">
      <alignment horizontal="center" vertical="bottom"/>
    </xf>
    <xf borderId="31" fillId="0" fontId="27" numFmtId="1" xfId="0" applyAlignment="1" applyBorder="1" applyFont="1" applyNumberFormat="1">
      <alignment horizontal="center" vertical="bottom"/>
    </xf>
    <xf borderId="0" fillId="0" fontId="27" numFmtId="1" xfId="0" applyAlignment="1" applyFont="1" applyNumberFormat="1">
      <alignment horizontal="center" vertical="bottom"/>
    </xf>
    <xf borderId="0" fillId="0" fontId="27" numFmtId="166" xfId="0" applyAlignment="1" applyFont="1" applyNumberFormat="1">
      <alignment horizontal="center" vertical="bottom"/>
    </xf>
    <xf borderId="31" fillId="0" fontId="27" numFmtId="173" xfId="0" applyAlignment="1" applyBorder="1" applyFont="1" applyNumberFormat="1">
      <alignment horizontal="center" vertical="bottom"/>
    </xf>
    <xf borderId="0" fillId="0" fontId="27" numFmtId="173" xfId="0" applyAlignment="1" applyFont="1" applyNumberFormat="1">
      <alignment horizontal="center" vertical="bottom"/>
    </xf>
    <xf borderId="113" fillId="0" fontId="27" numFmtId="173" xfId="0" applyAlignment="1" applyBorder="1" applyFont="1" applyNumberFormat="1">
      <alignment horizontal="center" vertical="bottom"/>
    </xf>
    <xf borderId="26" fillId="0" fontId="27" numFmtId="173" xfId="0" applyAlignment="1" applyBorder="1" applyFont="1" applyNumberFormat="1">
      <alignment horizontal="center" vertical="bottom"/>
    </xf>
    <xf borderId="26" fillId="0" fontId="27" numFmtId="1" xfId="0" applyAlignment="1" applyBorder="1" applyFont="1" applyNumberFormat="1">
      <alignment horizontal="center" vertical="bottom"/>
    </xf>
    <xf borderId="26" fillId="0" fontId="27" numFmtId="166" xfId="0" applyAlignment="1" applyBorder="1" applyFont="1" applyNumberFormat="1">
      <alignment horizontal="center" vertical="bottom"/>
    </xf>
    <xf borderId="114" fillId="0" fontId="27" numFmtId="0" xfId="0" applyAlignment="1" applyBorder="1" applyFont="1">
      <alignment horizontal="center" vertical="bottom"/>
    </xf>
    <xf borderId="0" fillId="0" fontId="42" numFmtId="0" xfId="0" applyAlignment="1" applyFont="1">
      <alignment horizontal="center" vertical="bottom"/>
    </xf>
    <xf borderId="34" fillId="0" fontId="44" numFmtId="0" xfId="0" applyAlignment="1" applyBorder="1" applyFont="1">
      <alignment horizontal="center" vertical="bottom"/>
    </xf>
    <xf borderId="34" fillId="0" fontId="4" numFmtId="0" xfId="0" applyBorder="1" applyFont="1"/>
    <xf borderId="0" fillId="0" fontId="34" numFmtId="0" xfId="0" applyAlignment="1" applyFont="1">
      <alignment horizontal="center" vertical="bottom"/>
    </xf>
    <xf borderId="73" fillId="2" fontId="34" numFmtId="0" xfId="0" applyAlignment="1" applyBorder="1" applyFont="1">
      <alignment horizontal="center" shrinkToFit="0" vertical="top" wrapText="1"/>
    </xf>
    <xf borderId="73" fillId="2" fontId="27" numFmtId="0" xfId="0" applyAlignment="1" applyBorder="1" applyFont="1">
      <alignment horizontal="center" vertical="center"/>
    </xf>
    <xf borderId="73" fillId="2" fontId="34" numFmtId="0" xfId="0" applyAlignment="1" applyBorder="1" applyFont="1">
      <alignment horizontal="center" vertical="center"/>
    </xf>
    <xf borderId="73" fillId="2" fontId="35" numFmtId="0" xfId="0" applyAlignment="1" applyBorder="1" applyFont="1">
      <alignment horizontal="center" vertical="center"/>
    </xf>
    <xf borderId="73" fillId="2" fontId="27" numFmtId="166" xfId="0" applyAlignment="1" applyBorder="1" applyFont="1" applyNumberFormat="1">
      <alignment horizontal="center" vertical="center"/>
    </xf>
    <xf borderId="0" fillId="0" fontId="27" numFmtId="0" xfId="0" applyAlignment="1" applyFont="1">
      <alignment horizontal="center" vertical="bottom"/>
    </xf>
    <xf borderId="0" fillId="0" fontId="35" numFmtId="0" xfId="0" applyAlignment="1" applyFont="1">
      <alignment horizontal="center" vertical="bottom"/>
    </xf>
    <xf borderId="0" fillId="0" fontId="27" numFmtId="2" xfId="0" applyAlignment="1" applyFont="1" applyNumberFormat="1">
      <alignment vertical="bottom"/>
    </xf>
    <xf borderId="21" fillId="2" fontId="36" numFmtId="0" xfId="0" applyAlignment="1" applyBorder="1" applyFont="1">
      <alignment horizontal="center" shrinkToFit="0" vertical="top" wrapText="1"/>
    </xf>
    <xf borderId="73" fillId="2" fontId="36" numFmtId="0" xfId="0" applyAlignment="1" applyBorder="1" applyFont="1">
      <alignment horizontal="center" vertical="center"/>
    </xf>
    <xf borderId="21" fillId="2" fontId="36" numFmtId="0" xfId="0" applyAlignment="1" applyBorder="1" applyFont="1">
      <alignment horizontal="center" vertical="top"/>
    </xf>
    <xf borderId="0" fillId="0" fontId="27" numFmtId="2" xfId="0" applyAlignment="1" applyFont="1" applyNumberFormat="1">
      <alignment horizontal="center" vertical="bottom"/>
    </xf>
    <xf borderId="0" fillId="0" fontId="2" numFmtId="1" xfId="0" applyAlignment="1" applyFont="1" applyNumberFormat="1">
      <alignment horizontal="center" vertical="bottom"/>
    </xf>
    <xf borderId="0" fillId="0" fontId="2" numFmtId="166" xfId="0" applyAlignment="1" applyFont="1" applyNumberFormat="1">
      <alignment horizontal="center" vertical="bottom"/>
    </xf>
    <xf borderId="0" fillId="0" fontId="2" numFmtId="2" xfId="0" applyAlignment="1" applyFont="1" applyNumberFormat="1">
      <alignment horizontal="center" vertical="bottom"/>
    </xf>
    <xf borderId="0" fillId="0" fontId="44" numFmtId="0" xfId="0" applyAlignment="1" applyFont="1">
      <alignment horizontal="center" vertical="bottom"/>
    </xf>
    <xf borderId="0" fillId="0" fontId="45" numFmtId="1" xfId="0" applyAlignment="1" applyFont="1" applyNumberFormat="1">
      <alignment horizontal="left" vertical="bottom"/>
    </xf>
    <xf borderId="110" fillId="0" fontId="2" numFmtId="0" xfId="0" applyAlignment="1" applyBorder="1" applyFont="1">
      <alignment vertical="bottom"/>
    </xf>
    <xf borderId="91" fillId="2" fontId="2" numFmtId="49" xfId="0" applyAlignment="1" applyBorder="1" applyFont="1" applyNumberFormat="1">
      <alignment horizontal="center" shrinkToFit="0" vertical="center" wrapText="1"/>
    </xf>
    <xf borderId="92" fillId="0" fontId="4" numFmtId="0" xfId="0" applyBorder="1" applyFont="1"/>
    <xf borderId="93" fillId="0" fontId="4" numFmtId="0" xfId="0" applyBorder="1" applyFont="1"/>
    <xf borderId="115" fillId="2" fontId="2" numFmtId="0" xfId="0" applyAlignment="1" applyBorder="1" applyFont="1">
      <alignment shrinkToFit="0" vertical="center" wrapText="1"/>
    </xf>
    <xf borderId="64" fillId="0" fontId="11" numFmtId="0" xfId="0" applyAlignment="1" applyBorder="1" applyFont="1">
      <alignment vertical="bottom"/>
    </xf>
    <xf borderId="78" fillId="0" fontId="11" numFmtId="0" xfId="0" applyAlignment="1" applyBorder="1" applyFont="1">
      <alignment vertical="bottom"/>
    </xf>
    <xf borderId="110" fillId="0" fontId="11" numFmtId="0" xfId="0" applyAlignment="1" applyBorder="1" applyFont="1">
      <alignment vertical="bottom"/>
    </xf>
    <xf borderId="106" fillId="2" fontId="2" numFmtId="49" xfId="0" applyAlignment="1" applyBorder="1" applyFont="1" applyNumberFormat="1">
      <alignment horizontal="left" shrinkToFit="0" vertical="top" wrapText="1"/>
    </xf>
    <xf borderId="64" fillId="0" fontId="4" numFmtId="0" xfId="0" applyBorder="1" applyFont="1"/>
    <xf borderId="116" fillId="0" fontId="4" numFmtId="0" xfId="0" applyBorder="1" applyFont="1"/>
    <xf borderId="115" fillId="2" fontId="2" numFmtId="0" xfId="0" applyAlignment="1" applyBorder="1" applyFont="1">
      <alignment shrinkToFit="0" vertical="top" wrapText="1"/>
    </xf>
    <xf borderId="109" fillId="0" fontId="4" numFmtId="0" xfId="0" applyBorder="1" applyFont="1"/>
    <xf borderId="110" fillId="0" fontId="4" numFmtId="0" xfId="0" applyBorder="1" applyFont="1"/>
    <xf borderId="117" fillId="0" fontId="4" numFmtId="0" xfId="0" applyBorder="1" applyFont="1"/>
    <xf borderId="60" fillId="2" fontId="2" numFmtId="0" xfId="0" applyAlignment="1" applyBorder="1" applyFont="1">
      <alignment shrinkToFit="0" vertical="center" wrapText="1"/>
    </xf>
    <xf borderId="15" fillId="0" fontId="22" numFmtId="0" xfId="0" applyAlignment="1" applyBorder="1" applyFont="1">
      <alignment vertical="bottom"/>
    </xf>
    <xf borderId="71" fillId="2" fontId="18" numFmtId="0" xfId="0" applyAlignment="1" applyBorder="1" applyFont="1">
      <alignment horizontal="center" shrinkToFit="0" vertical="center" wrapText="1"/>
    </xf>
    <xf borderId="71" fillId="2" fontId="46" numFmtId="1" xfId="0" applyAlignment="1" applyBorder="1" applyFont="1" applyNumberFormat="1">
      <alignment horizontal="center" shrinkToFit="0" vertical="center" wrapText="1"/>
    </xf>
    <xf borderId="0" fillId="0" fontId="22" numFmtId="0" xfId="0" applyAlignment="1" applyFont="1">
      <alignment vertical="bottom"/>
    </xf>
    <xf borderId="0" fillId="0" fontId="41" numFmtId="0" xfId="0" applyAlignment="1" applyFont="1">
      <alignment horizontal="center" vertical="bottom"/>
    </xf>
    <xf borderId="0" fillId="0" fontId="41" numFmtId="164" xfId="0" applyAlignment="1" applyFont="1" applyNumberFormat="1">
      <alignment horizontal="center" vertical="bottom"/>
    </xf>
    <xf borderId="0" fillId="0" fontId="18" numFmtId="0" xfId="0" applyAlignment="1" applyFont="1">
      <alignment horizontal="center" vertical="bottom"/>
    </xf>
    <xf borderId="0" fillId="0" fontId="41" numFmtId="0" xfId="0" applyAlignment="1" applyFont="1">
      <alignment horizontal="left" vertical="bottom"/>
    </xf>
    <xf borderId="0" fillId="0" fontId="18" numFmtId="0" xfId="0" applyAlignment="1" applyFont="1">
      <alignment horizontal="right" vertical="bottom"/>
    </xf>
    <xf borderId="0" fillId="0" fontId="47" numFmtId="0" xfId="0" applyAlignment="1" applyFont="1">
      <alignment vertical="bottom"/>
    </xf>
    <xf borderId="21" fillId="2" fontId="11" numFmtId="0" xfId="0" applyAlignment="1" applyBorder="1" applyFont="1">
      <alignment horizontal="center" vertical="center"/>
    </xf>
    <xf borderId="21" fillId="2" fontId="11" numFmtId="167" xfId="0" applyAlignment="1" applyBorder="1" applyFont="1" applyNumberFormat="1">
      <alignment horizontal="center" vertical="center"/>
    </xf>
    <xf borderId="21" fillId="2" fontId="11" numFmtId="165" xfId="0" applyAlignment="1" applyBorder="1" applyFont="1" applyNumberFormat="1">
      <alignment horizontal="center" vertical="center"/>
    </xf>
    <xf borderId="21" fillId="2" fontId="11" numFmtId="2" xfId="0" applyAlignment="1" applyBorder="1" applyFont="1" applyNumberFormat="1">
      <alignment horizontal="center" vertical="center"/>
    </xf>
    <xf borderId="118" fillId="0" fontId="2" numFmtId="0" xfId="0" applyAlignment="1" applyBorder="1" applyFont="1">
      <alignment vertical="bottom"/>
    </xf>
    <xf borderId="68" fillId="2" fontId="11" numFmtId="0" xfId="0" applyAlignment="1" applyBorder="1" applyFont="1">
      <alignment horizontal="center" vertical="center"/>
    </xf>
    <xf borderId="68" fillId="2" fontId="11" numFmtId="167" xfId="0" applyAlignment="1" applyBorder="1" applyFont="1" applyNumberFormat="1">
      <alignment horizontal="center" vertical="center"/>
    </xf>
    <xf borderId="119" fillId="0" fontId="2" numFmtId="0" xfId="0" applyAlignment="1" applyBorder="1" applyFont="1">
      <alignment vertical="bottom"/>
    </xf>
    <xf borderId="120" fillId="0" fontId="2" numFmtId="0" xfId="0" applyAlignment="1" applyBorder="1" applyFont="1">
      <alignment vertical="bottom"/>
    </xf>
    <xf borderId="91" fillId="2" fontId="48" numFmtId="49" xfId="0" applyAlignment="1" applyBorder="1" applyFont="1" applyNumberFormat="1">
      <alignment horizontal="center" vertical="bottom"/>
    </xf>
    <xf borderId="121" fillId="2" fontId="49" numFmtId="0" xfId="0" applyAlignment="1" applyBorder="1" applyFont="1">
      <alignment vertical="center"/>
    </xf>
    <xf borderId="75" fillId="2" fontId="49" numFmtId="0" xfId="0" applyAlignment="1" applyBorder="1" applyFont="1">
      <alignment vertical="center"/>
    </xf>
    <xf borderId="122" fillId="2" fontId="43" numFmtId="0" xfId="0" applyAlignment="1" applyBorder="1" applyFont="1">
      <alignment vertical="bottom"/>
    </xf>
    <xf borderId="122" fillId="2" fontId="2" numFmtId="0" xfId="0" applyAlignment="1" applyBorder="1" applyFont="1">
      <alignment horizontal="center" vertical="bottom"/>
    </xf>
    <xf borderId="122" fillId="2" fontId="50" numFmtId="0" xfId="0" applyAlignment="1" applyBorder="1" applyFont="1">
      <alignment horizontal="center" vertical="center"/>
    </xf>
    <xf borderId="122" fillId="2" fontId="51" numFmtId="0" xfId="0" applyAlignment="1" applyBorder="1" applyFont="1">
      <alignment vertical="center"/>
    </xf>
    <xf borderId="122" fillId="2" fontId="52" numFmtId="0" xfId="0" applyAlignment="1" applyBorder="1" applyFont="1">
      <alignment vertical="center"/>
    </xf>
    <xf borderId="123" fillId="4" fontId="50" numFmtId="0" xfId="0" applyAlignment="1" applyBorder="1" applyFill="1" applyFont="1">
      <alignment vertical="center"/>
    </xf>
    <xf borderId="41" fillId="4" fontId="50" numFmtId="0" xfId="0" applyAlignment="1" applyBorder="1" applyFont="1">
      <alignment vertical="center"/>
    </xf>
    <xf borderId="5" fillId="2" fontId="49" numFmtId="0" xfId="0" applyAlignment="1" applyBorder="1" applyFont="1">
      <alignment vertical="center"/>
    </xf>
    <xf borderId="124" fillId="2" fontId="53" numFmtId="49" xfId="0" applyAlignment="1" applyBorder="1" applyFont="1" applyNumberFormat="1">
      <alignment horizontal="center" vertical="center"/>
    </xf>
    <xf borderId="125" fillId="0" fontId="4" numFmtId="0" xfId="0" applyBorder="1" applyFont="1"/>
    <xf borderId="126" fillId="0" fontId="4" numFmtId="0" xfId="0" applyBorder="1" applyFont="1"/>
    <xf borderId="127" fillId="2" fontId="54" numFmtId="49" xfId="0" applyAlignment="1" applyBorder="1" applyFont="1" applyNumberFormat="1">
      <alignment horizontal="center" vertical="center"/>
    </xf>
    <xf borderId="128" fillId="0" fontId="4" numFmtId="0" xfId="0" applyBorder="1" applyFont="1"/>
    <xf borderId="121" fillId="2" fontId="55" numFmtId="0" xfId="0" applyAlignment="1" applyBorder="1" applyFont="1">
      <alignment vertical="top"/>
    </xf>
    <xf borderId="75" fillId="2" fontId="55" numFmtId="0" xfId="0" applyAlignment="1" applyBorder="1" applyFont="1">
      <alignment vertical="top"/>
    </xf>
    <xf borderId="75" fillId="2" fontId="56" numFmtId="0" xfId="0" applyAlignment="1" applyBorder="1" applyFont="1">
      <alignment vertical="bottom"/>
    </xf>
    <xf borderId="129" fillId="2" fontId="57" numFmtId="49" xfId="0" applyAlignment="1" applyBorder="1" applyFont="1" applyNumberFormat="1">
      <alignment horizontal="center" vertical="center"/>
    </xf>
    <xf borderId="2" fillId="0" fontId="4" numFmtId="0" xfId="0" applyBorder="1" applyFont="1"/>
    <xf borderId="130" fillId="0" fontId="4" numFmtId="0" xfId="0" applyBorder="1" applyFont="1"/>
    <xf borderId="1" fillId="2" fontId="54" numFmtId="164" xfId="0" applyAlignment="1" applyBorder="1" applyFont="1" applyNumberFormat="1">
      <alignment horizontal="center" vertical="center"/>
    </xf>
    <xf borderId="131" fillId="0" fontId="4" numFmtId="0" xfId="0" applyBorder="1" applyFont="1"/>
    <xf borderId="121" fillId="2" fontId="56" numFmtId="0" xfId="0" applyAlignment="1" applyBorder="1" applyFont="1">
      <alignment vertical="top"/>
    </xf>
    <xf borderId="75" fillId="2" fontId="58" numFmtId="164" xfId="0" applyAlignment="1" applyBorder="1" applyFont="1" applyNumberFormat="1">
      <alignment vertical="center"/>
    </xf>
    <xf borderId="75" fillId="2" fontId="56" numFmtId="0" xfId="0" applyAlignment="1" applyBorder="1" applyFont="1">
      <alignment vertical="top"/>
    </xf>
    <xf borderId="1" fillId="2" fontId="54" numFmtId="14" xfId="0" applyAlignment="1" applyBorder="1" applyFont="1" applyNumberFormat="1">
      <alignment horizontal="center" vertical="center"/>
    </xf>
    <xf borderId="132" fillId="2" fontId="59" numFmtId="49" xfId="0" applyAlignment="1" applyBorder="1" applyFont="1" applyNumberFormat="1">
      <alignment horizontal="center" vertical="center"/>
    </xf>
    <xf borderId="133" fillId="0" fontId="4" numFmtId="0" xfId="0" applyBorder="1" applyFont="1"/>
    <xf borderId="134" fillId="0" fontId="4" numFmtId="0" xfId="0" applyBorder="1" applyFont="1"/>
    <xf borderId="135" fillId="2" fontId="54" numFmtId="0" xfId="0" applyAlignment="1" applyBorder="1" applyFont="1">
      <alignment horizontal="left" vertical="center"/>
    </xf>
    <xf borderId="136" fillId="0" fontId="4" numFmtId="0" xfId="0" applyBorder="1" applyFont="1"/>
    <xf borderId="137" fillId="0" fontId="4" numFmtId="0" xfId="0" applyBorder="1" applyFont="1"/>
    <xf borderId="138" fillId="2" fontId="54" numFmtId="0" xfId="0" applyAlignment="1" applyBorder="1" applyFont="1">
      <alignment vertical="center"/>
    </xf>
    <xf borderId="138" fillId="2" fontId="58" numFmtId="49" xfId="0" applyAlignment="1" applyBorder="1" applyFont="1" applyNumberFormat="1">
      <alignment vertical="center"/>
    </xf>
    <xf borderId="138" fillId="2" fontId="56" numFmtId="49" xfId="0" applyAlignment="1" applyBorder="1" applyFont="1" applyNumberFormat="1">
      <alignment vertical="top"/>
    </xf>
    <xf borderId="139" fillId="2" fontId="3" numFmtId="0" xfId="0" applyAlignment="1" applyBorder="1" applyFont="1">
      <alignment vertical="bottom"/>
    </xf>
    <xf borderId="140" fillId="4" fontId="60" numFmtId="49" xfId="0" applyAlignment="1" applyBorder="1" applyFont="1" applyNumberFormat="1">
      <alignment horizontal="left" vertical="center"/>
    </xf>
    <xf borderId="141" fillId="0" fontId="4" numFmtId="0" xfId="0" applyBorder="1" applyFont="1"/>
    <xf borderId="80" fillId="2" fontId="2" numFmtId="49" xfId="0" applyAlignment="1" applyBorder="1" applyFont="1" applyNumberFormat="1">
      <alignment vertical="bottom"/>
    </xf>
    <xf borderId="142" fillId="0" fontId="4" numFmtId="0" xfId="0" applyBorder="1" applyFont="1"/>
    <xf borderId="65" fillId="2" fontId="3" numFmtId="0" xfId="0" applyAlignment="1" applyBorder="1" applyFont="1">
      <alignment vertical="bottom"/>
    </xf>
    <xf borderId="143" fillId="0" fontId="4" numFmtId="0" xfId="0" applyBorder="1" applyFont="1"/>
    <xf borderId="144" fillId="2" fontId="61" numFmtId="0" xfId="0" applyAlignment="1" applyBorder="1" applyFont="1">
      <alignment vertical="bottom"/>
    </xf>
  </cellXfs>
  <cellStyles count="1">
    <cellStyle xfId="0" name="Normal" builtinId="0"/>
  </cellStyles>
  <dxfs count="1">
    <dxf>
      <font>
        <color rgb="FFFFFFF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3251"/>
          <c:y val="0.0361797"/>
          <c:w val="0.830413"/>
          <c:h val="0.888013"/>
        </c:manualLayout>
      </c:layout>
      <c:lineChart>
        <c:ser>
          <c:idx val="0"/>
          <c:order val="0"/>
          <c:tx>
            <c:v>Series3</c:v>
          </c:tx>
          <c:spPr>
            <a:ln cmpd="sng">
              <a:noFill/>
              <a:prstDash val="solid"/>
            </a:ln>
          </c:spPr>
          <c:marker>
            <c:symbol val="circle"/>
            <c:size val="4"/>
            <c:spPr>
              <a:solidFill>
                <a:srgbClr val="FF0000">
                  <a:alpha val="100000"/>
                </a:srgbClr>
              </a:solidFill>
              <a:ln cmpd="sng">
                <a:solidFill>
                  <a:srgbClr val="FF0000">
                    <a:alpha val="100000"/>
                  </a:srgbClr>
                </a:solidFill>
              </a:ln>
            </c:spPr>
          </c:marker>
          <c:val>
            <c:numRef>
              <c:f>'Cálculos'!$Q$19:$Q$23</c:f>
              <c:numCache/>
            </c:numRef>
          </c:val>
          <c:smooth val="0"/>
        </c:ser>
        <c:ser>
          <c:idx val="1"/>
          <c:order val="1"/>
          <c:tx>
            <c:v>Series4</c:v>
          </c:tx>
          <c:spPr>
            <a:ln cmpd="sng" w="9525">
              <a:solidFill>
                <a:srgbClr val="1F497D">
                  <a:alpha val="100000"/>
                </a:srgbClr>
              </a:solidFill>
              <a:prstDash val="dashDot"/>
            </a:ln>
          </c:spPr>
          <c:marker>
            <c:symbol val="circle"/>
            <c:size val="3"/>
            <c:spPr>
              <a:solidFill>
                <a:srgbClr val="1F497D">
                  <a:alpha val="100000"/>
                </a:srgbClr>
              </a:solidFill>
              <a:ln cmpd="sng">
                <a:solidFill>
                  <a:srgbClr val="1F497D">
                    <a:alpha val="100000"/>
                  </a:srgbClr>
                </a:solidFill>
              </a:ln>
            </c:spPr>
          </c:marker>
          <c:val>
            <c:numRef>
              <c:f>'Cálculos'!$R$19:$R$23</c:f>
              <c:numCache/>
            </c:numRef>
          </c:val>
          <c:smooth val="0"/>
        </c:ser>
        <c:ser>
          <c:idx val="2"/>
          <c:order val="2"/>
          <c:tx>
            <c:v>error -U</c:v>
          </c:tx>
          <c:spPr>
            <a:ln cmpd="sng" w="9525">
              <a:solidFill>
                <a:srgbClr val="1F497D">
                  <a:alpha val="100000"/>
                </a:srgbClr>
              </a:solidFill>
              <a:prstDash val="dashDot"/>
            </a:ln>
          </c:spPr>
          <c:marker>
            <c:symbol val="circle"/>
            <c:size val="3"/>
            <c:spPr>
              <a:solidFill>
                <a:srgbClr val="1F497D">
                  <a:alpha val="100000"/>
                </a:srgbClr>
              </a:solidFill>
              <a:ln cmpd="sng">
                <a:solidFill>
                  <a:srgbClr val="1F497D">
                    <a:alpha val="100000"/>
                  </a:srgbClr>
                </a:solidFill>
              </a:ln>
            </c:spPr>
          </c:marker>
          <c:val>
            <c:numRef>
              <c:f>'Cálculos'!$S$18:$S$23</c:f>
              <c:numCache/>
            </c:numRef>
          </c:val>
          <c:smooth val="0"/>
        </c:ser>
        <c:axId val="93995821"/>
        <c:axId val="899227160"/>
      </c:lineChart>
      <c:catAx>
        <c:axId val="939958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cross"/>
        <c:minorTickMark val="none"/>
        <c:spPr/>
        <c:txPr>
          <a:bodyPr rot="0"/>
          <a:lstStyle/>
          <a:p>
            <a:pPr lvl="0">
              <a:defRPr b="0" i="0" sz="600">
                <a:solidFill>
                  <a:srgbClr val="000000"/>
                </a:solidFill>
                <a:latin typeface="Arial"/>
              </a:defRPr>
            </a:pPr>
          </a:p>
        </c:txPr>
        <c:crossAx val="899227160"/>
      </c:catAx>
      <c:valAx>
        <c:axId val="89922716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93995821"/>
        <c:majorUnit val="4.0"/>
        <c:minorUnit val="2.0"/>
      </c:valAx>
      <c:spPr>
        <a:solidFill>
          <a:srgbClr val="FFFFFF"/>
        </a:solidFill>
      </c:spPr>
    </c:plotArea>
    <c:plotVisOnly val="0"/>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2</xdr:row>
      <xdr:rowOff>0</xdr:rowOff>
    </xdr:from>
    <xdr:ext cx="6057900" cy="962025"/>
    <xdr:sp>
      <xdr:nvSpPr>
        <xdr:cNvPr id="3" name="Shape 3"/>
        <xdr:cNvSpPr txBox="1"/>
      </xdr:nvSpPr>
      <xdr:spPr>
        <a:xfrm>
          <a:off x="2321813" y="3303750"/>
          <a:ext cx="6048375" cy="952500"/>
        </a:xfrm>
        <a:prstGeom prst="rect">
          <a:avLst/>
        </a:prstGeom>
        <a:solidFill>
          <a:srgbClr val="FFFFFF"/>
        </a:solidFill>
        <a:ln>
          <a:noFill/>
        </a:ln>
      </xdr:spPr>
      <xdr:txBody>
        <a:bodyPr anchorCtr="0" anchor="ctr" bIns="0" lIns="0" spcFirstLastPara="1" rIns="0" wrap="square" tIns="0">
          <a:noAutofit/>
        </a:bodyPr>
        <a:lstStyle/>
        <a:p>
          <a:pPr indent="0" lvl="0" marL="0" marR="0" rtl="0" algn="ctr">
            <a:lnSpc>
              <a:spcPct val="100000"/>
            </a:lnSpc>
            <a:spcBef>
              <a:spcPts val="0"/>
            </a:spcBef>
            <a:spcAft>
              <a:spcPts val="0"/>
            </a:spcAft>
            <a:buClr>
              <a:srgbClr val="002060"/>
            </a:buClr>
            <a:buSzPts val="1000"/>
            <a:buFont typeface="Arial"/>
            <a:buNone/>
          </a:pPr>
          <a:r>
            <a:t/>
          </a:r>
          <a:endParaRPr b="1"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800"/>
            <a:buFont typeface="Arial"/>
            <a:buNone/>
          </a:pPr>
          <a:r>
            <a:rPr b="1" i="0" lang="en-US" sz="1800" u="none" cap="none" strike="noStrike">
              <a:solidFill>
                <a:srgbClr val="002060"/>
              </a:solidFill>
              <a:latin typeface="Arial"/>
              <a:ea typeface="Arial"/>
              <a:cs typeface="Arial"/>
              <a:sym typeface="Arial"/>
            </a:rPr>
            <a:t>HOJA DE CÁLCULO</a:t>
          </a:r>
          <a:endParaRPr b="1"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200"/>
            <a:buFont typeface="Arial"/>
            <a:buNone/>
          </a:pPr>
          <a:r>
            <a:rPr b="0" i="0" lang="en-US" sz="1200" u="none" cap="none" strike="noStrike">
              <a:solidFill>
                <a:srgbClr val="002060"/>
              </a:solidFill>
              <a:latin typeface="Arial"/>
              <a:ea typeface="Arial"/>
              <a:cs typeface="Arial"/>
              <a:sym typeface="Arial"/>
            </a:rPr>
            <a:t>FRECUENCIA</a:t>
          </a:r>
          <a:endParaRPr b="0"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200"/>
            <a:buFont typeface="Arial"/>
            <a:buNone/>
          </a:pPr>
          <a:r>
            <a:t/>
          </a:r>
          <a:endParaRPr b="0" i="0" sz="12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200"/>
            <a:buFont typeface="Arial"/>
            <a:buNone/>
          </a:pPr>
          <a:r>
            <a:t/>
          </a:r>
          <a:endParaRPr b="0" i="0" sz="12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200"/>
            <a:buFont typeface="Arial"/>
            <a:buNone/>
          </a:pPr>
          <a:r>
            <a:rPr b="0" i="0" lang="en-US" sz="1200" u="none" cap="none" strike="noStrike">
              <a:solidFill>
                <a:srgbClr val="002060"/>
              </a:solidFill>
              <a:latin typeface="Arial"/>
              <a:ea typeface="Arial"/>
              <a:cs typeface="Arial"/>
              <a:sym typeface="Arial"/>
            </a:rPr>
            <a:t>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7038975" cy="1438275"/>
    <xdr:sp>
      <xdr:nvSpPr>
        <xdr:cNvPr id="4" name="Shape 4"/>
        <xdr:cNvSpPr/>
      </xdr:nvSpPr>
      <xdr:spPr>
        <a:xfrm>
          <a:off x="1836038" y="3070388"/>
          <a:ext cx="7019925" cy="141922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190500</xdr:colOff>
      <xdr:row>9</xdr:row>
      <xdr:rowOff>9525</xdr:rowOff>
    </xdr:from>
    <xdr:ext cx="9963150" cy="2543175"/>
    <xdr:sp>
      <xdr:nvSpPr>
        <xdr:cNvPr id="5" name="Shape 5"/>
        <xdr:cNvSpPr/>
      </xdr:nvSpPr>
      <xdr:spPr>
        <a:xfrm>
          <a:off x="373950" y="2513175"/>
          <a:ext cx="9944100" cy="25336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123825</xdr:colOff>
      <xdr:row>34</xdr:row>
      <xdr:rowOff>85725</xdr:rowOff>
    </xdr:from>
    <xdr:ext cx="9486900" cy="1295400"/>
    <xdr:sp>
      <xdr:nvSpPr>
        <xdr:cNvPr id="6" name="Shape 6"/>
        <xdr:cNvSpPr/>
      </xdr:nvSpPr>
      <xdr:spPr>
        <a:xfrm>
          <a:off x="612075" y="3141825"/>
          <a:ext cx="9467850" cy="12763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190500</xdr:colOff>
      <xdr:row>43</xdr:row>
      <xdr:rowOff>238125</xdr:rowOff>
    </xdr:from>
    <xdr:ext cx="10020300" cy="1181100"/>
    <xdr:sp>
      <xdr:nvSpPr>
        <xdr:cNvPr id="7" name="Shape 7"/>
        <xdr:cNvSpPr/>
      </xdr:nvSpPr>
      <xdr:spPr>
        <a:xfrm>
          <a:off x="345375" y="3198975"/>
          <a:ext cx="10001250" cy="11620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47625</xdr:colOff>
      <xdr:row>53</xdr:row>
      <xdr:rowOff>76200</xdr:rowOff>
    </xdr:from>
    <xdr:ext cx="9839325" cy="409575"/>
    <xdr:sp>
      <xdr:nvSpPr>
        <xdr:cNvPr id="8" name="Shape 8"/>
        <xdr:cNvSpPr txBox="1"/>
      </xdr:nvSpPr>
      <xdr:spPr>
        <a:xfrm>
          <a:off x="431100" y="3579975"/>
          <a:ext cx="9829800" cy="400050"/>
        </a:xfrm>
        <a:prstGeom prst="rect">
          <a:avLst/>
        </a:prstGeom>
        <a:noFill/>
        <a:ln>
          <a:noFill/>
        </a:ln>
      </xdr:spPr>
      <xdr:txBody>
        <a:bodyPr anchorCtr="0" anchor="t" bIns="45700" lIns="45700" spcFirstLastPara="1" rIns="45700" wrap="square" tIns="45700">
          <a:spAutoFit/>
        </a:bodyPr>
        <a:lstStyle/>
        <a:p>
          <a:pPr indent="0" lvl="0" marL="0" marR="0" rtl="0" algn="just">
            <a:lnSpc>
              <a:spcPct val="100000"/>
            </a:lnSpc>
            <a:spcBef>
              <a:spcPts val="0"/>
            </a:spcBef>
            <a:spcAft>
              <a:spcPts val="0"/>
            </a:spcAft>
            <a:buClr>
              <a:srgbClr val="000000"/>
            </a:buClr>
            <a:buSzPts val="800"/>
            <a:buFont typeface="Century Gothic"/>
            <a:buNone/>
          </a:pPr>
          <a:r>
            <a:rPr b="0" i="0" lang="en-US" sz="800" u="none" cap="none" strike="noStrike">
              <a:solidFill>
                <a:srgbClr val="000000"/>
              </a:solidFill>
              <a:latin typeface="Century Gothic"/>
              <a:ea typeface="Century Gothic"/>
              <a:cs typeface="Century Gothic"/>
              <a:sym typeface="Century Gothic"/>
            </a:rPr>
            <a:t>Es responsabilidad del usuario establecer la fecha de próxima calibración del instrumento calibrado. El tiempo y validez de los resultados informados  en este documento depende de las características propias del equipo, de las condiciones de operación y de las prácticas para su buen manejo y uso.    Formato: MK-CL-FOR-01      Revisión: C1.</a:t>
          </a:r>
          <a:endParaRPr sz="1400"/>
        </a:p>
      </xdr:txBody>
    </xdr:sp>
    <xdr:clientData fLocksWithSheet="0"/>
  </xdr:oneCellAnchor>
  <xdr:oneCellAnchor>
    <xdr:from>
      <xdr:col>0</xdr:col>
      <xdr:colOff>114300</xdr:colOff>
      <xdr:row>53</xdr:row>
      <xdr:rowOff>85725</xdr:rowOff>
    </xdr:from>
    <xdr:ext cx="10191750" cy="38100"/>
    <xdr:grpSp>
      <xdr:nvGrpSpPr>
        <xdr:cNvPr id="2" name="Shape 2"/>
        <xdr:cNvGrpSpPr/>
      </xdr:nvGrpSpPr>
      <xdr:grpSpPr>
        <a:xfrm>
          <a:off x="250125" y="3780000"/>
          <a:ext cx="10191750" cy="0"/>
          <a:chOff x="250125" y="3780000"/>
          <a:chExt cx="10191750" cy="0"/>
        </a:xfrm>
      </xdr:grpSpPr>
      <xdr:cxnSp>
        <xdr:nvCxnSpPr>
          <xdr:cNvPr id="9" name="Shape 9"/>
          <xdr:cNvCxnSpPr/>
        </xdr:nvCxnSpPr>
        <xdr:spPr>
          <a:xfrm>
            <a:off x="250125" y="3780000"/>
            <a:ext cx="10191750" cy="0"/>
          </a:xfrm>
          <a:prstGeom prst="straightConnector1">
            <a:avLst/>
          </a:prstGeom>
          <a:noFill/>
          <a:ln cap="flat" cmpd="sng" w="28575">
            <a:solidFill>
              <a:srgbClr val="000000"/>
            </a:solidFill>
            <a:prstDash val="solid"/>
            <a:round/>
            <a:headEnd len="sm" w="sm" type="none"/>
            <a:tailEnd len="sm" w="sm" type="none"/>
          </a:ln>
        </xdr:spPr>
      </xdr:cxnSp>
    </xdr:grpSp>
    <xdr:clientData fLocksWithSheet="0"/>
  </xdr:oneCellAnchor>
  <xdr:oneCellAnchor>
    <xdr:from>
      <xdr:col>6</xdr:col>
      <xdr:colOff>9525</xdr:colOff>
      <xdr:row>2</xdr:row>
      <xdr:rowOff>38100</xdr:rowOff>
    </xdr:from>
    <xdr:ext cx="4400550" cy="457200"/>
    <xdr:sp>
      <xdr:nvSpPr>
        <xdr:cNvPr id="10" name="Shape 10"/>
        <xdr:cNvSpPr/>
      </xdr:nvSpPr>
      <xdr:spPr>
        <a:xfrm>
          <a:off x="3150488" y="3560925"/>
          <a:ext cx="4391025" cy="4381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104775</xdr:colOff>
      <xdr:row>4</xdr:row>
      <xdr:rowOff>-9525</xdr:rowOff>
    </xdr:from>
    <xdr:ext cx="2781300" cy="1514475"/>
    <xdr:sp>
      <xdr:nvSpPr>
        <xdr:cNvPr id="11" name="Shape 11"/>
        <xdr:cNvSpPr/>
      </xdr:nvSpPr>
      <xdr:spPr>
        <a:xfrm>
          <a:off x="3964875" y="3032288"/>
          <a:ext cx="2762250" cy="149542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180975</xdr:colOff>
      <xdr:row>26</xdr:row>
      <xdr:rowOff>228600</xdr:rowOff>
    </xdr:from>
    <xdr:ext cx="9410700" cy="1228725"/>
    <xdr:sp>
      <xdr:nvSpPr>
        <xdr:cNvPr id="12" name="Shape 12"/>
        <xdr:cNvSpPr/>
      </xdr:nvSpPr>
      <xdr:spPr>
        <a:xfrm>
          <a:off x="650175" y="3175163"/>
          <a:ext cx="9391650" cy="120967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180975</xdr:colOff>
      <xdr:row>49</xdr:row>
      <xdr:rowOff>190500</xdr:rowOff>
    </xdr:from>
    <xdr:ext cx="9486900" cy="685800"/>
    <xdr:sp>
      <xdr:nvSpPr>
        <xdr:cNvPr id="13" name="Shape 13"/>
        <xdr:cNvSpPr txBox="1"/>
      </xdr:nvSpPr>
      <xdr:spPr>
        <a:xfrm>
          <a:off x="607313" y="3441863"/>
          <a:ext cx="9477375" cy="676275"/>
        </a:xfrm>
        <a:prstGeom prst="rect">
          <a:avLst/>
        </a:prstGeom>
        <a:noFill/>
        <a:ln>
          <a:noFill/>
        </a:ln>
      </xdr:spPr>
      <xdr:txBody>
        <a:bodyPr anchorCtr="0" anchor="t"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800"/>
            <a:buFont typeface="Century Gothic"/>
            <a:buNone/>
          </a:pPr>
          <a:r>
            <a:rPr b="0" i="0" lang="en-US" sz="800" u="none" cap="none" strike="noStrike">
              <a:solidFill>
                <a:srgbClr val="000000"/>
              </a:solidFill>
              <a:latin typeface="Century Gothic"/>
              <a:ea typeface="Century Gothic"/>
              <a:cs typeface="Century Gothic"/>
              <a:sym typeface="Century Gothic"/>
            </a:rPr>
            <a:t>Esta calibracion es trazable a los patrones nacionales en el Centro Nacional de Metrologia (CENAM). Las unidades de medicion estan acordes al Sistema Internacional de Unidades  SI. Los resultados de este certificado tienen validez, dentro de las condiciones ambientales encontradas durante el proceso de calibración.  El presente certificado de calibración tiene validez únicamente en su forma integra y original. Esta prohibida la reproducción parcial o total de este  documento.                                    </a:t>
          </a:r>
          <a:endParaRPr sz="1400"/>
        </a:p>
      </xdr:txBody>
    </xdr:sp>
    <xdr:clientData fLocksWithSheet="0"/>
  </xdr:oneCellAnchor>
  <xdr:oneCellAnchor>
    <xdr:from>
      <xdr:col>6</xdr:col>
      <xdr:colOff>9525</xdr:colOff>
      <xdr:row>2</xdr:row>
      <xdr:rowOff>38100</xdr:rowOff>
    </xdr:from>
    <xdr:ext cx="4400550" cy="457200"/>
    <xdr:sp>
      <xdr:nvSpPr>
        <xdr:cNvPr id="10" name="Shape 10"/>
        <xdr:cNvSpPr/>
      </xdr:nvSpPr>
      <xdr:spPr>
        <a:xfrm>
          <a:off x="3150488" y="3560925"/>
          <a:ext cx="4391025" cy="4381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xdr:row>
      <xdr:rowOff>19050</xdr:rowOff>
    </xdr:from>
    <xdr:ext cx="5334000" cy="7981950"/>
    <xdr:sp>
      <xdr:nvSpPr>
        <xdr:cNvPr id="14" name="Shape 14"/>
        <xdr:cNvSpPr txBox="1"/>
      </xdr:nvSpPr>
      <xdr:spPr>
        <a:xfrm>
          <a:off x="2688525" y="0"/>
          <a:ext cx="5314950" cy="7560000"/>
        </a:xfrm>
        <a:prstGeom prst="rect">
          <a:avLst/>
        </a:prstGeom>
        <a:solidFill>
          <a:srgbClr val="FFFFFF"/>
        </a:solidFill>
        <a:ln cap="flat" cmpd="sng" w="25400">
          <a:solidFill>
            <a:srgbClr val="29297B"/>
          </a:solidFill>
          <a:prstDash val="solid"/>
          <a:round/>
          <a:headEnd len="sm" w="sm" type="none"/>
          <a:tailEnd len="sm" w="sm" type="none"/>
        </a:ln>
      </xdr:spPr>
      <xdr:txBody>
        <a:bodyPr anchorCtr="0" anchor="t" bIns="0" lIns="0" spcFirstLastPara="1" rIns="0" wrap="square" tIns="0">
          <a:noAutofit/>
        </a:bodyPr>
        <a:lstStyle/>
        <a:p>
          <a:pPr indent="0" lvl="0" marL="0" marR="0" rtl="0" algn="just">
            <a:lnSpc>
              <a:spcPct val="110000"/>
            </a:lnSpc>
            <a:spcBef>
              <a:spcPts val="0"/>
            </a:spcBef>
            <a:spcAft>
              <a:spcPts val="0"/>
            </a:spcAft>
            <a:buClr>
              <a:srgbClr val="000000"/>
            </a:buClr>
            <a:buSzPts val="1000"/>
            <a:buFont typeface="Tahoma"/>
            <a:buNone/>
          </a:pPr>
          <a:r>
            <a:rPr b="0" i="0" lang="en-US" sz="1000" u="none" cap="none" strike="noStrike">
              <a:solidFill>
                <a:srgbClr val="000000"/>
              </a:solidFill>
              <a:latin typeface="Tahoma"/>
              <a:ea typeface="Tahoma"/>
              <a:cs typeface="Tahoma"/>
              <a:sym typeface="Tahoma"/>
            </a:rPr>
            <a:t>A continuación se describen las pruebas realizadas durante la calibración.</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Referencias:</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0" i="0" lang="en-US" sz="1000" u="none" cap="none" strike="noStrike">
              <a:solidFill>
                <a:srgbClr val="000000"/>
              </a:solidFill>
              <a:latin typeface="Tahoma"/>
              <a:ea typeface="Tahoma"/>
              <a:cs typeface="Tahoma"/>
              <a:sym typeface="Tahoma"/>
            </a:rPr>
            <a:t>[ISO 12179:2000] Geometrical Product Specifications (GPS)--Surface texture: Profile method -- Calibration of contact ( stylus ) instruments.</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Método:</a:t>
          </a:r>
          <a:r>
            <a:rPr b="0" i="0" lang="en-US" sz="1000" u="none" cap="none" strike="noStrike">
              <a:solidFill>
                <a:srgbClr val="000000"/>
              </a:solidFill>
              <a:latin typeface="Tahoma"/>
              <a:ea typeface="Tahoma"/>
              <a:cs typeface="Tahoma"/>
              <a:sym typeface="Tahoma"/>
            </a:rPr>
            <a:t> Comparación directa con patrones de Rugosidad.</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total del instrumento</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evalúa al rugosímetro de manera completa, esto es todos los componentes del mismo están involucrados en esta prueba, esta es la única donde se toman 15 lecturas. Los parámetros evaluados son Ra y Rz.</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a:t>
          </a:r>
          <a:r>
            <a:rPr b="0" i="0" lang="en-US" sz="1000" u="none" cap="none" strike="noStrike">
              <a:solidFill>
                <a:srgbClr val="000000"/>
              </a:solidFill>
              <a:latin typeface="Tahoma"/>
              <a:ea typeface="Tahoma"/>
              <a:cs typeface="Tahoma"/>
              <a:sym typeface="Tahoma"/>
            </a:rPr>
            <a:t> </a:t>
          </a:r>
          <a:r>
            <a:rPr b="1" i="0" lang="en-US" sz="1000" u="none" cap="none" strike="noStrike">
              <a:solidFill>
                <a:srgbClr val="000000"/>
              </a:solidFill>
              <a:latin typeface="Tahoma"/>
              <a:ea typeface="Tahoma"/>
              <a:cs typeface="Tahoma"/>
              <a:sym typeface="Tahoma"/>
            </a:rPr>
            <a:t>Calibración del sistema de coordenadas</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mediciones donde intervienen ambos ejes, normalmente designados como X y Z, pero también involucra el error debido al radio de la punta. Para esta prueba se utiliza una esfera con la finalidad de forzar al rugosimetro a tomar valores a diferentes alturas y en diferentes posiciones del radio del palpador. El parámetro evaluado es Pt.</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a:t>
          </a:r>
          <a:r>
            <a:rPr b="0" i="0" lang="en-US" sz="1000" u="none" cap="none" strike="noStrike">
              <a:solidFill>
                <a:srgbClr val="000000"/>
              </a:solidFill>
              <a:latin typeface="Tahoma"/>
              <a:ea typeface="Tahoma"/>
              <a:cs typeface="Tahoma"/>
              <a:sym typeface="Tahoma"/>
            </a:rPr>
            <a:t> </a:t>
          </a:r>
          <a:r>
            <a:rPr b="1" i="0" lang="en-US" sz="1000" u="none" cap="none" strike="noStrike">
              <a:solidFill>
                <a:srgbClr val="000000"/>
              </a:solidFill>
              <a:latin typeface="Tahoma"/>
              <a:ea typeface="Tahoma"/>
              <a:cs typeface="Tahoma"/>
              <a:sym typeface="Tahoma"/>
            </a:rPr>
            <a:t>Calibración del error residual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el contribución a la incertidumbre de calibración debida a ruido producido por el rugosímetro mismo o por el ambiente donde se encuentra. Se lleva acabo mediante la comparación con un plano óptico del cual se presume tiene una rugosidad muy cercana a cero. El parámetro evaluado es Ra.</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de la componente Vertical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la medición de amplitud, esto es cuando se miden distancias pico-valle o viceversa. Para esta prueba se utiliza un patrón de escalón el cual se conoce la altura del mismo y es comparada con el valor indicado por el instrumento. El parámetro evaluado es Pt</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0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de la componente Horizontal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la medición en su componente horizontal ( unidad de recorrido ), normalmente los rugosímetros cuentan con un encoder o en algunos casos cuentan con escalas lineales para realizar esta medición. Debido a la dificultad para evaluar esta contribución de manera directa, se evalúa el parámetro Rsm el cual establece la distancia de pico a pico ( separación ) en un patrón de rugosidad periódico.</a:t>
          </a:r>
          <a:endParaRPr sz="1400"/>
        </a:p>
      </xdr:txBody>
    </xdr:sp>
    <xdr:clientData fLocksWithSheet="0"/>
  </xdr:oneCellAnchor>
  <xdr:oneCellAnchor>
    <xdr:from>
      <xdr:col>1</xdr:col>
      <xdr:colOff>752475</xdr:colOff>
      <xdr:row>0</xdr:row>
      <xdr:rowOff>0</xdr:rowOff>
    </xdr:from>
    <xdr:ext cx="3952875" cy="390525"/>
    <xdr:sp>
      <xdr:nvSpPr>
        <xdr:cNvPr id="15" name="Shape 15"/>
        <xdr:cNvSpPr txBox="1"/>
      </xdr:nvSpPr>
      <xdr:spPr>
        <a:xfrm>
          <a:off x="3379088" y="3594263"/>
          <a:ext cx="3933825" cy="371475"/>
        </a:xfrm>
        <a:prstGeom prst="rect">
          <a:avLst/>
        </a:prstGeom>
        <a:solidFill>
          <a:srgbClr val="FFFFFF"/>
        </a:solidFill>
        <a:ln cap="flat" cmpd="sng" w="25400">
          <a:solidFill>
            <a:srgbClr val="29297B"/>
          </a:solidFill>
          <a:prstDash val="solid"/>
          <a:round/>
          <a:headEnd len="sm" w="sm" type="none"/>
          <a:tailEnd len="sm" w="sm" type="none"/>
        </a:ln>
      </xdr:spPr>
      <xdr:txBody>
        <a:bodyPr anchorCtr="0" anchor="t" bIns="0" lIns="0" spcFirstLastPara="1" rIns="0" wrap="square" tIns="0">
          <a:noAutofit/>
        </a:bodyPr>
        <a:lstStyle/>
        <a:p>
          <a:pPr indent="0" lvl="0" marL="0" marR="0" rtl="0" algn="l">
            <a:lnSpc>
              <a:spcPct val="100000"/>
            </a:lnSpc>
            <a:spcBef>
              <a:spcPts val="0"/>
            </a:spcBef>
            <a:spcAft>
              <a:spcPts val="0"/>
            </a:spcAft>
            <a:buClr>
              <a:srgbClr val="000000"/>
            </a:buClr>
            <a:buSzPts val="1400"/>
            <a:buFont typeface="Arial"/>
            <a:buNone/>
          </a:pPr>
          <a:r>
            <a:rPr b="1" i="0" lang="en-US" sz="1400" u="none" cap="none" strike="noStrike">
              <a:solidFill>
                <a:srgbClr val="000000"/>
              </a:solidFill>
              <a:latin typeface="Arial"/>
              <a:ea typeface="Arial"/>
              <a:cs typeface="Arial"/>
              <a:sym typeface="Arial"/>
            </a:rPr>
            <a:t>Anexo II Descripción de pruebas realizadas</a:t>
          </a:r>
          <a:endParaRPr sz="1400"/>
        </a:p>
      </xdr:txBody>
    </xdr:sp>
    <xdr:clientData fLocksWithSheet="0"/>
  </xdr:oneCellAnchor>
  <xdr:oneCellAnchor>
    <xdr:from>
      <xdr:col>0</xdr:col>
      <xdr:colOff>95250</xdr:colOff>
      <xdr:row>0</xdr:row>
      <xdr:rowOff>66675</xdr:rowOff>
    </xdr:from>
    <xdr:ext cx="1095375" cy="628650"/>
    <xdr:pic>
      <xdr:nvPicPr>
        <xdr:cNvPr descr="Picture 7"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723900</xdr:colOff>
      <xdr:row>14</xdr:row>
      <xdr:rowOff>142875</xdr:rowOff>
    </xdr:from>
    <xdr:ext cx="2800350" cy="20383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28575</xdr:colOff>
      <xdr:row>114</xdr:row>
      <xdr:rowOff>123825</xdr:rowOff>
    </xdr:from>
    <xdr:ext cx="9286875" cy="38100"/>
    <xdr:grpSp>
      <xdr:nvGrpSpPr>
        <xdr:cNvPr id="2" name="Shape 2"/>
        <xdr:cNvGrpSpPr/>
      </xdr:nvGrpSpPr>
      <xdr:grpSpPr>
        <a:xfrm>
          <a:off x="702563" y="3780000"/>
          <a:ext cx="9286875" cy="0"/>
          <a:chOff x="702563" y="3780000"/>
          <a:chExt cx="9286875" cy="0"/>
        </a:xfrm>
      </xdr:grpSpPr>
      <xdr:cxnSp>
        <xdr:nvCxnSpPr>
          <xdr:cNvPr id="16" name="Shape 16"/>
          <xdr:cNvCxnSpPr/>
        </xdr:nvCxnSpPr>
        <xdr:spPr>
          <a:xfrm>
            <a:off x="702563" y="3780000"/>
            <a:ext cx="9286875" cy="0"/>
          </a:xfrm>
          <a:prstGeom prst="straightConnector1">
            <a:avLst/>
          </a:prstGeom>
          <a:noFill/>
          <a:ln cap="flat" cmpd="sng" w="28575">
            <a:solidFill>
              <a:srgbClr val="000000"/>
            </a:solidFill>
            <a:prstDash val="solid"/>
            <a:round/>
            <a:headEnd len="sm" w="sm" type="none"/>
            <a:tailEnd len="sm" w="sm" type="none"/>
          </a:ln>
        </xdr:spPr>
      </xdr:cxnSp>
    </xdr:grpSp>
    <xdr:clientData fLocksWithSheet="0"/>
  </xdr:oneCellAnchor>
  <xdr:oneCellAnchor>
    <xdr:from>
      <xdr:col>2</xdr:col>
      <xdr:colOff>276225</xdr:colOff>
      <xdr:row>115</xdr:row>
      <xdr:rowOff>47625</xdr:rowOff>
    </xdr:from>
    <xdr:ext cx="4667250" cy="628650"/>
    <xdr:sp>
      <xdr:nvSpPr>
        <xdr:cNvPr id="17" name="Shape 17"/>
        <xdr:cNvSpPr txBox="1"/>
      </xdr:nvSpPr>
      <xdr:spPr>
        <a:xfrm>
          <a:off x="3017138" y="3470438"/>
          <a:ext cx="4657725" cy="619125"/>
        </a:xfrm>
        <a:prstGeom prst="rect">
          <a:avLst/>
        </a:prstGeom>
        <a:noFill/>
        <a:ln>
          <a:noFill/>
        </a:ln>
      </xdr:spPr>
      <xdr:txBody>
        <a:bodyPr anchorCtr="0" anchor="t" bIns="45700" lIns="45700" spcFirstLastPara="1" rIns="45700" wrap="square" tIns="45700">
          <a:spAutoFit/>
        </a:bodyPr>
        <a:lstStyle/>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Laboratorio acreditado por ema para las calibraciones indicadas en el escrito </a:t>
          </a:r>
          <a:endParaRPr b="0" i="0" sz="800" u="none" cap="none" strike="noStrike">
            <a:solidFill>
              <a:srgbClr val="000000"/>
            </a:solidFill>
            <a:latin typeface="Arial"/>
            <a:ea typeface="Arial"/>
            <a:cs typeface="Arial"/>
            <a:sym typeface="Arial"/>
          </a:endParaRPr>
        </a:p>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con número de acreditación N° D-97 Acreditado a partir de 2011-10-04</a:t>
          </a:r>
          <a:endParaRPr b="0" i="0" sz="800" u="none" cap="none" strike="noStrike">
            <a:solidFill>
              <a:srgbClr val="000000"/>
            </a:solidFill>
            <a:latin typeface="Arial"/>
            <a:ea typeface="Arial"/>
            <a:cs typeface="Arial"/>
            <a:sym typeface="Arial"/>
          </a:endParaRPr>
        </a:p>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“Acreditación otorgada bajo la norma NMX-EC-17025-IMNC-2006                        ISO/IEC 17025:2005 Requisitos generales para la competencia de laboratorios de ensayo y de calibración”</a:t>
          </a:r>
          <a:endParaRPr sz="1400"/>
        </a:p>
      </xdr:txBody>
    </xdr:sp>
    <xdr:clientData fLocksWithSheet="0"/>
  </xdr:oneCellAnchor>
  <xdr:oneCellAnchor>
    <xdr:from>
      <xdr:col>7</xdr:col>
      <xdr:colOff>323850</xdr:colOff>
      <xdr:row>115</xdr:row>
      <xdr:rowOff>28575</xdr:rowOff>
    </xdr:from>
    <xdr:ext cx="3733800" cy="704850"/>
    <xdr:sp>
      <xdr:nvSpPr>
        <xdr:cNvPr id="18" name="Shape 18"/>
        <xdr:cNvSpPr txBox="1"/>
      </xdr:nvSpPr>
      <xdr:spPr>
        <a:xfrm>
          <a:off x="3483863" y="3432338"/>
          <a:ext cx="3724275" cy="695325"/>
        </a:xfrm>
        <a:prstGeom prst="rect">
          <a:avLst/>
        </a:prstGeom>
        <a:noFill/>
        <a:ln>
          <a:noFill/>
        </a:ln>
      </xdr:spPr>
      <xdr:txBody>
        <a:bodyPr anchorCtr="0" anchor="t" bIns="45700" lIns="45700" spcFirstLastPara="1" rIns="45700" wrap="square" tIns="45700">
          <a:spAutoFit/>
        </a:bodyPr>
        <a:lstStyle/>
        <a:p>
          <a:pPr indent="0" lvl="0" marL="0" marR="0" rtl="0" algn="just">
            <a:lnSpc>
              <a:spcPct val="100000"/>
            </a:lnSpc>
            <a:spcBef>
              <a:spcPts val="0"/>
            </a:spcBef>
            <a:spcAft>
              <a:spcPts val="0"/>
            </a:spcAft>
            <a:buClr>
              <a:srgbClr val="000000"/>
            </a:buClr>
            <a:buSzPts val="800"/>
            <a:buFont typeface="Tahoma"/>
            <a:buNone/>
          </a:pPr>
          <a:r>
            <a:rPr b="0" i="0" lang="en-US" sz="800" u="none" cap="none" strike="noStrike">
              <a:solidFill>
                <a:srgbClr val="000000"/>
              </a:solidFill>
              <a:latin typeface="Tahoma"/>
              <a:ea typeface="Tahoma"/>
              <a:cs typeface="Tahoma"/>
              <a:sym typeface="Tahoma"/>
            </a:rPr>
            <a:t>Es responsabilidad del usuario establecer la fecha de próxima calibración del instrumento calibrado. El tiempo y validez de los resultados informados  en este documento depende de las características propias del equipo, de las condiciones de operación y de las prácticas para su buen manejo y uso.</a:t>
          </a:r>
          <a:endParaRPr sz="1400"/>
        </a:p>
      </xdr:txBody>
    </xdr:sp>
    <xdr:clientData fLocksWithSheet="0"/>
  </xdr:oneCellAnchor>
  <xdr:oneCellAnchor>
    <xdr:from>
      <xdr:col>0</xdr:col>
      <xdr:colOff>161925</xdr:colOff>
      <xdr:row>54</xdr:row>
      <xdr:rowOff>95250</xdr:rowOff>
    </xdr:from>
    <xdr:ext cx="7677150" cy="371475"/>
    <xdr:sp>
      <xdr:nvSpPr>
        <xdr:cNvPr id="19" name="Shape 19"/>
        <xdr:cNvSpPr txBox="1"/>
      </xdr:nvSpPr>
      <xdr:spPr>
        <a:xfrm>
          <a:off x="1512188" y="3599025"/>
          <a:ext cx="7667625" cy="361950"/>
        </a:xfrm>
        <a:prstGeom prst="rect">
          <a:avLst/>
        </a:prstGeom>
        <a:noFill/>
        <a:ln>
          <a:noFill/>
        </a:ln>
      </xdr:spPr>
      <xdr:txBody>
        <a:bodyPr anchorCtr="0" anchor="ctr" bIns="45700" lIns="45700" spcFirstLastPara="1" rIns="45700" wrap="square" tIns="45700">
          <a:spAutoFit/>
        </a:bodyPr>
        <a:lstStyle/>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El tiempo y validez de los resultados informados  en este documento depende de las características propias del equipo, </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de las condiciones de operación y de las prácticas para su buen manejo y uso.</a:t>
          </a:r>
          <a:endParaRPr sz="1400"/>
        </a:p>
      </xdr:txBody>
    </xdr:sp>
    <xdr:clientData fLocksWithSheet="0"/>
  </xdr:oneCellAnchor>
  <xdr:oneCellAnchor>
    <xdr:from>
      <xdr:col>0</xdr:col>
      <xdr:colOff>180975</xdr:colOff>
      <xdr:row>52</xdr:row>
      <xdr:rowOff>28575</xdr:rowOff>
    </xdr:from>
    <xdr:ext cx="7658100" cy="371475"/>
    <xdr:sp>
      <xdr:nvSpPr>
        <xdr:cNvPr id="20" name="Shape 20"/>
        <xdr:cNvSpPr txBox="1"/>
      </xdr:nvSpPr>
      <xdr:spPr>
        <a:xfrm>
          <a:off x="1521713" y="3599025"/>
          <a:ext cx="7648575" cy="361950"/>
        </a:xfrm>
        <a:prstGeom prst="rect">
          <a:avLst/>
        </a:prstGeom>
        <a:noFill/>
        <a:ln>
          <a:noFill/>
        </a:ln>
      </xdr:spPr>
      <xdr:txBody>
        <a:bodyPr anchorCtr="0" anchor="ctr" bIns="45700" lIns="45700" spcFirstLastPara="1" rIns="45700" wrap="square" tIns="45700">
          <a:spAutoFit/>
        </a:bodyPr>
        <a:lstStyle/>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La incertidumbre expandida se obtuvo de multiplicar la incertidumbre estándar combinada por un factor de cobertura de k=2, </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que asegura un nivel de confianza de al menos el 95% aproximadamente.</a:t>
          </a:r>
          <a:endParaRPr sz="1400"/>
        </a:p>
      </xdr:txBody>
    </xdr:sp>
    <xdr:clientData fLocksWithSheet="0"/>
  </xdr:oneCellAnchor>
  <xdr:oneCellAnchor>
    <xdr:from>
      <xdr:col>1</xdr:col>
      <xdr:colOff>28575</xdr:colOff>
      <xdr:row>115</xdr:row>
      <xdr:rowOff>95250</xdr:rowOff>
    </xdr:from>
    <xdr:ext cx="952500" cy="647700"/>
    <xdr:pic>
      <xdr:nvPicPr>
        <xdr:cNvPr descr="Picture 14"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7</xdr:row>
      <xdr:rowOff>9525</xdr:rowOff>
    </xdr:from>
    <xdr:ext cx="714375" cy="809625"/>
    <xdr:pic>
      <xdr:nvPicPr>
        <xdr:cNvPr descr="Imagen 2"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88"/>
    <col customWidth="1" min="2" max="2" width="12.38"/>
    <col customWidth="1" min="3" max="3" width="11.38"/>
    <col customWidth="1" min="4" max="4" width="11.88"/>
    <col customWidth="1" min="5" max="5" width="10.88"/>
    <col customWidth="1" min="6" max="6" width="12.0"/>
    <col customWidth="1" min="7" max="7" width="11.63"/>
    <col customWidth="1" min="8" max="10" width="10.88"/>
    <col customWidth="1" min="11" max="11" width="11.63"/>
    <col customWidth="1" min="12" max="12" width="10.88"/>
    <col customWidth="1" min="13" max="13" width="9.5"/>
    <col customWidth="1" min="14" max="14" width="8.88"/>
    <col customWidth="1" min="15" max="15" width="9.0"/>
    <col customWidth="1" min="16" max="16" width="4.0"/>
    <col customWidth="1" min="17" max="17" width="6.5"/>
    <col customWidth="1" min="18" max="18" width="7.88"/>
    <col customWidth="1" min="19" max="19" width="7.5"/>
    <col customWidth="1" min="20" max="20" width="9.38"/>
    <col customWidth="1" min="21" max="29" width="4.0"/>
    <col customWidth="1" min="30" max="39" width="11.5"/>
    <col customWidth="1" min="40" max="40" width="13.13"/>
    <col customWidth="1" min="41" max="43" width="11.5"/>
  </cols>
  <sheetData>
    <row r="1" ht="12.75" hidden="1" customHeight="1">
      <c r="A1" s="1">
        <v>41509.0</v>
      </c>
      <c r="B1" s="2"/>
      <c r="C1" s="2"/>
      <c r="D1" s="2"/>
      <c r="E1" s="2"/>
      <c r="F1" s="2"/>
      <c r="G1" s="2"/>
      <c r="H1" s="2"/>
      <c r="I1" s="2"/>
      <c r="J1" s="2"/>
      <c r="K1" s="2"/>
      <c r="L1" s="2"/>
      <c r="M1" s="2"/>
      <c r="N1" s="2"/>
      <c r="O1" s="2"/>
      <c r="P1" s="2"/>
      <c r="Q1" s="2"/>
      <c r="R1" s="2"/>
      <c r="S1" s="2"/>
      <c r="T1" s="2"/>
      <c r="U1" s="2"/>
      <c r="V1" s="2"/>
      <c r="W1" s="2"/>
      <c r="X1" s="2"/>
      <c r="Y1" s="2"/>
      <c r="Z1" s="2"/>
      <c r="AA1" s="2"/>
      <c r="AB1" s="2"/>
      <c r="AC1" s="2"/>
      <c r="AD1" s="3"/>
      <c r="AE1" s="3"/>
      <c r="AF1" s="3"/>
      <c r="AG1" s="3"/>
      <c r="AH1" s="3"/>
      <c r="AI1" s="3"/>
      <c r="AJ1" s="3"/>
      <c r="AK1" s="3"/>
      <c r="AL1" s="3"/>
      <c r="AM1" s="3"/>
      <c r="AN1" s="3"/>
      <c r="AO1" s="4"/>
      <c r="AP1" s="4"/>
      <c r="AQ1" s="5"/>
    </row>
    <row r="2" ht="12.75" hidden="1" customHeight="1">
      <c r="A2" s="6" t="s">
        <v>0</v>
      </c>
      <c r="B2" s="2"/>
      <c r="C2" s="2"/>
      <c r="D2" s="2"/>
      <c r="E2" s="2"/>
      <c r="F2" s="2"/>
      <c r="G2" s="2"/>
      <c r="H2" s="2"/>
      <c r="I2" s="2"/>
      <c r="J2" s="2"/>
      <c r="K2" s="2"/>
      <c r="L2" s="2"/>
      <c r="M2" s="2"/>
      <c r="N2" s="2"/>
      <c r="O2" s="2"/>
      <c r="P2" s="2"/>
      <c r="Q2" s="2"/>
      <c r="R2" s="2"/>
      <c r="S2" s="2"/>
      <c r="T2" s="2"/>
      <c r="U2" s="2"/>
      <c r="V2" s="2"/>
      <c r="W2" s="2"/>
      <c r="X2" s="2"/>
      <c r="Y2" s="2"/>
      <c r="Z2" s="2"/>
      <c r="AA2" s="2"/>
      <c r="AB2" s="2"/>
      <c r="AC2" s="2"/>
      <c r="AD2" s="3"/>
      <c r="AE2" s="3"/>
      <c r="AF2" s="3"/>
      <c r="AG2" s="3"/>
      <c r="AH2" s="3"/>
      <c r="AI2" s="3"/>
      <c r="AJ2" s="3"/>
      <c r="AK2" s="3"/>
      <c r="AL2" s="3"/>
      <c r="AM2" s="3"/>
      <c r="AN2" s="3"/>
      <c r="AO2" s="4"/>
      <c r="AP2" s="4"/>
      <c r="AQ2" s="5"/>
    </row>
    <row r="3" ht="12.75" customHeight="1">
      <c r="A3" s="7"/>
      <c r="B3" s="8"/>
      <c r="C3" s="8"/>
      <c r="D3" s="8"/>
      <c r="E3" s="8"/>
      <c r="F3" s="8"/>
      <c r="G3" s="8"/>
      <c r="H3" s="8"/>
      <c r="I3" s="8"/>
      <c r="J3" s="8"/>
      <c r="K3" s="8"/>
      <c r="L3" s="8"/>
      <c r="M3" s="8"/>
      <c r="N3" s="8"/>
      <c r="O3" s="8"/>
      <c r="P3" s="8"/>
      <c r="Q3" s="8"/>
      <c r="R3" s="8"/>
      <c r="S3" s="8"/>
      <c r="T3" s="8"/>
      <c r="U3" s="8"/>
      <c r="V3" s="8"/>
      <c r="W3" s="8"/>
      <c r="X3" s="8"/>
      <c r="Y3" s="8"/>
      <c r="Z3" s="8"/>
      <c r="AA3" s="8"/>
      <c r="AB3" s="8"/>
      <c r="AC3" s="9"/>
      <c r="AD3" s="10"/>
      <c r="AE3" s="11"/>
      <c r="AF3" s="11"/>
      <c r="AG3" s="11"/>
      <c r="AH3" s="11"/>
      <c r="AI3" s="11"/>
      <c r="AJ3" s="11"/>
      <c r="AK3" s="11"/>
      <c r="AL3" s="11"/>
      <c r="AM3" s="11"/>
      <c r="AN3" s="12"/>
      <c r="AO3" s="13" t="s">
        <v>1</v>
      </c>
      <c r="AP3" s="14" t="s">
        <v>2</v>
      </c>
      <c r="AQ3" s="15"/>
    </row>
    <row r="4" ht="12.75" customHeight="1">
      <c r="A4" s="16"/>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8"/>
      <c r="AD4" s="19"/>
      <c r="AE4" s="20"/>
      <c r="AF4" s="20"/>
      <c r="AG4" s="20"/>
      <c r="AH4" s="20"/>
      <c r="AI4" s="20"/>
      <c r="AJ4" s="20"/>
      <c r="AK4" s="20"/>
      <c r="AL4" s="20"/>
      <c r="AM4" s="20"/>
      <c r="AN4" s="21"/>
      <c r="AO4" s="22" t="s">
        <v>1</v>
      </c>
      <c r="AP4" s="23" t="s">
        <v>3</v>
      </c>
      <c r="AQ4" s="24" t="s">
        <v>4</v>
      </c>
    </row>
    <row r="5" ht="12.75" customHeight="1">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8"/>
      <c r="AD5" s="25"/>
      <c r="AE5" s="26"/>
      <c r="AF5" s="27"/>
      <c r="AG5" s="27"/>
      <c r="AH5" s="28"/>
      <c r="AI5" s="29"/>
      <c r="AJ5" s="30"/>
      <c r="AK5" s="31"/>
      <c r="AL5" s="31"/>
      <c r="AM5" s="31"/>
      <c r="AN5" s="32"/>
      <c r="AO5" s="33"/>
      <c r="AP5" s="34"/>
      <c r="AQ5" s="24" t="s">
        <v>5</v>
      </c>
    </row>
    <row r="6" ht="12.75" customHeight="1">
      <c r="A6" s="1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8"/>
      <c r="AD6" s="35"/>
      <c r="AE6" s="29"/>
      <c r="AF6" s="29"/>
      <c r="AG6" s="29"/>
      <c r="AH6" s="28"/>
      <c r="AI6" s="29"/>
      <c r="AJ6" s="30"/>
      <c r="AK6" s="30"/>
      <c r="AL6" s="30"/>
      <c r="AM6" s="30"/>
      <c r="AN6" s="36"/>
      <c r="AO6" s="22" t="s">
        <v>6</v>
      </c>
      <c r="AP6" s="34"/>
      <c r="AQ6" s="37"/>
    </row>
    <row r="7" ht="12.75" customHeight="1">
      <c r="A7" s="16"/>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8"/>
      <c r="AD7" s="38"/>
      <c r="AE7" s="29"/>
      <c r="AF7" s="39"/>
      <c r="AG7" s="39"/>
      <c r="AH7" s="39"/>
      <c r="AI7" s="39"/>
      <c r="AJ7" s="40"/>
      <c r="AK7" s="40"/>
      <c r="AL7" s="40"/>
      <c r="AM7" s="41"/>
      <c r="AN7" s="42"/>
      <c r="AO7" s="33"/>
      <c r="AP7" s="34"/>
      <c r="AQ7" s="37"/>
    </row>
    <row r="8" ht="12.75" customHeight="1">
      <c r="A8" s="16"/>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8"/>
      <c r="AD8" s="38"/>
      <c r="AE8" s="29"/>
      <c r="AF8" s="39"/>
      <c r="AG8" s="39"/>
      <c r="AH8" s="39"/>
      <c r="AI8" s="39"/>
      <c r="AJ8" s="40"/>
      <c r="AK8" s="40"/>
      <c r="AL8" s="40"/>
      <c r="AM8" s="41"/>
      <c r="AN8" s="42"/>
      <c r="AO8" s="33"/>
      <c r="AP8" s="34"/>
      <c r="AQ8" s="37"/>
    </row>
    <row r="9" ht="13.5" customHeight="1">
      <c r="A9" s="16"/>
      <c r="B9" s="43"/>
      <c r="C9" s="43"/>
      <c r="D9" s="43"/>
      <c r="E9" s="43"/>
      <c r="F9" s="43"/>
      <c r="G9" s="43"/>
      <c r="H9" s="43"/>
      <c r="I9" s="43"/>
      <c r="J9" s="43"/>
      <c r="K9" s="43"/>
      <c r="L9" s="43"/>
      <c r="M9" s="43"/>
      <c r="N9" s="43"/>
      <c r="O9" s="43"/>
      <c r="P9" s="17"/>
      <c r="Q9" s="17"/>
      <c r="R9" s="17"/>
      <c r="S9" s="17"/>
      <c r="T9" s="17"/>
      <c r="U9" s="17"/>
      <c r="V9" s="17"/>
      <c r="W9" s="17"/>
      <c r="X9" s="17"/>
      <c r="Y9" s="17"/>
      <c r="Z9" s="17"/>
      <c r="AA9" s="17"/>
      <c r="AB9" s="17"/>
      <c r="AC9" s="17"/>
      <c r="AD9" s="30"/>
      <c r="AE9" s="29"/>
      <c r="AF9" s="39"/>
      <c r="AG9" s="39"/>
      <c r="AH9" s="39"/>
      <c r="AI9" s="39"/>
      <c r="AJ9" s="40"/>
      <c r="AK9" s="40"/>
      <c r="AL9" s="40"/>
      <c r="AM9" s="41"/>
      <c r="AN9" s="44"/>
      <c r="AO9" s="34"/>
      <c r="AP9" s="34"/>
      <c r="AQ9" s="37"/>
    </row>
    <row r="10" ht="39.75" customHeight="1">
      <c r="A10" s="45"/>
      <c r="B10" s="46" t="s">
        <v>7</v>
      </c>
      <c r="C10" s="47"/>
      <c r="D10" s="47"/>
      <c r="E10" s="47"/>
      <c r="F10" s="47"/>
      <c r="G10" s="47"/>
      <c r="H10" s="47"/>
      <c r="I10" s="47"/>
      <c r="J10" s="47"/>
      <c r="K10" s="47"/>
      <c r="L10" s="47"/>
      <c r="M10" s="47"/>
      <c r="N10" s="47"/>
      <c r="O10" s="48"/>
      <c r="P10" s="49"/>
      <c r="Q10" s="17"/>
      <c r="R10" s="17"/>
      <c r="S10" s="17"/>
      <c r="T10" s="17"/>
      <c r="U10" s="17"/>
      <c r="V10" s="17"/>
      <c r="W10" s="17"/>
      <c r="X10" s="17"/>
      <c r="Y10" s="17"/>
      <c r="Z10" s="17"/>
      <c r="AA10" s="17"/>
      <c r="AB10" s="17"/>
      <c r="AC10" s="17"/>
      <c r="AD10" s="30"/>
      <c r="AE10" s="29"/>
      <c r="AF10" s="39"/>
      <c r="AG10" s="39"/>
      <c r="AH10" s="39"/>
      <c r="AI10" s="39"/>
      <c r="AJ10" s="40"/>
      <c r="AK10" s="40"/>
      <c r="AL10" s="40"/>
      <c r="AM10" s="41"/>
      <c r="AN10" s="44"/>
      <c r="AO10" s="34"/>
      <c r="AP10" s="34"/>
      <c r="AQ10" s="37"/>
    </row>
    <row r="11" ht="13.5" customHeight="1">
      <c r="A11" s="45"/>
      <c r="B11" s="50" t="s">
        <v>8</v>
      </c>
      <c r="C11" s="51">
        <v>100.0</v>
      </c>
      <c r="D11" s="52" t="s">
        <v>9</v>
      </c>
      <c r="E11" s="53" t="s">
        <v>10</v>
      </c>
      <c r="F11" s="54"/>
      <c r="G11" s="55"/>
      <c r="H11" s="55"/>
      <c r="I11" s="55"/>
      <c r="J11" s="55"/>
      <c r="K11" s="55"/>
      <c r="L11" s="55"/>
      <c r="M11" s="55"/>
      <c r="N11" s="55"/>
      <c r="O11" s="56"/>
      <c r="P11" s="49"/>
      <c r="Q11" s="17"/>
      <c r="R11" s="17"/>
      <c r="S11" s="17"/>
      <c r="T11" s="17"/>
      <c r="U11" s="17"/>
      <c r="V11" s="17"/>
      <c r="W11" s="17"/>
      <c r="X11" s="17"/>
      <c r="Y11" s="17"/>
      <c r="Z11" s="17"/>
      <c r="AA11" s="17"/>
      <c r="AB11" s="17"/>
      <c r="AC11" s="17"/>
      <c r="AD11" s="57"/>
      <c r="AE11" s="58"/>
      <c r="AF11" s="59"/>
      <c r="AG11" s="59"/>
      <c r="AH11" s="59"/>
      <c r="AI11" s="59"/>
      <c r="AJ11" s="60"/>
      <c r="AK11" s="60"/>
      <c r="AL11" s="60"/>
      <c r="AM11" s="61"/>
      <c r="AN11" s="62"/>
      <c r="AO11" s="63"/>
      <c r="AP11" s="63"/>
      <c r="AQ11" s="64"/>
    </row>
    <row r="12" ht="13.5" customHeight="1">
      <c r="A12" s="45"/>
      <c r="B12" s="65" t="s">
        <v>11</v>
      </c>
      <c r="C12" s="66">
        <v>0.1</v>
      </c>
      <c r="D12" s="67"/>
      <c r="E12" s="68"/>
      <c r="F12" s="69"/>
      <c r="G12" s="70"/>
      <c r="H12" s="71" t="s">
        <v>12</v>
      </c>
      <c r="I12" s="72"/>
      <c r="J12" s="73"/>
      <c r="K12" s="69"/>
      <c r="L12" s="69"/>
      <c r="M12" s="69"/>
      <c r="N12" s="69"/>
      <c r="O12" s="74"/>
      <c r="P12" s="49"/>
      <c r="Q12" s="17"/>
      <c r="R12" s="17"/>
      <c r="S12" s="17"/>
      <c r="T12" s="17"/>
      <c r="U12" s="17"/>
      <c r="V12" s="17"/>
      <c r="W12" s="17"/>
      <c r="X12" s="17"/>
      <c r="Y12" s="17"/>
      <c r="Z12" s="17"/>
      <c r="AA12" s="17"/>
      <c r="AB12" s="17"/>
      <c r="AC12" s="17"/>
      <c r="AD12" s="57"/>
      <c r="AE12" s="58"/>
      <c r="AF12" s="59"/>
      <c r="AG12" s="59"/>
      <c r="AH12" s="59"/>
      <c r="AI12" s="59"/>
      <c r="AJ12" s="60"/>
      <c r="AK12" s="60"/>
      <c r="AL12" s="60"/>
      <c r="AM12" s="61"/>
      <c r="AN12" s="62"/>
      <c r="AO12" s="63"/>
      <c r="AP12" s="63"/>
      <c r="AQ12" s="64"/>
    </row>
    <row r="13" ht="13.5" customHeight="1">
      <c r="A13" s="45"/>
      <c r="B13" s="75" t="s">
        <v>13</v>
      </c>
      <c r="C13" s="76" t="s">
        <v>14</v>
      </c>
      <c r="D13" s="77" t="s">
        <v>15</v>
      </c>
      <c r="E13" s="78">
        <f t="array" ref="E13">MAX(Q19:Q21)</f>
        <v>-7</v>
      </c>
      <c r="F13" s="79" t="str">
        <f t="array" ref="F13">C13</f>
        <v>Lux</v>
      </c>
      <c r="G13" s="70"/>
      <c r="H13" s="71" t="s">
        <v>16</v>
      </c>
      <c r="I13" s="80" t="s">
        <v>17</v>
      </c>
      <c r="J13" s="80" t="s">
        <v>18</v>
      </c>
      <c r="K13" s="81"/>
      <c r="L13" s="69"/>
      <c r="M13" s="69"/>
      <c r="N13" s="69"/>
      <c r="O13" s="74"/>
      <c r="P13" s="49"/>
      <c r="Q13" s="17"/>
      <c r="R13" s="17"/>
      <c r="S13" s="17"/>
      <c r="T13" s="17"/>
      <c r="U13" s="17"/>
      <c r="V13" s="17"/>
      <c r="W13" s="17"/>
      <c r="X13" s="17"/>
      <c r="Y13" s="17"/>
      <c r="Z13" s="17"/>
      <c r="AA13" s="17"/>
      <c r="AB13" s="17"/>
      <c r="AC13" s="17"/>
      <c r="AD13" s="57"/>
      <c r="AE13" s="58"/>
      <c r="AF13" s="59"/>
      <c r="AG13" s="59"/>
      <c r="AH13" s="59"/>
      <c r="AI13" s="59"/>
      <c r="AJ13" s="60"/>
      <c r="AK13" s="60"/>
      <c r="AL13" s="60"/>
      <c r="AM13" s="61"/>
      <c r="AN13" s="62"/>
      <c r="AO13" s="63"/>
      <c r="AP13" s="63"/>
      <c r="AQ13" s="64"/>
    </row>
    <row r="14" ht="12.75" customHeight="1">
      <c r="A14" s="45"/>
      <c r="B14" s="67"/>
      <c r="C14" s="68"/>
      <c r="D14" s="79" t="s">
        <v>19</v>
      </c>
      <c r="E14" s="82">
        <f t="array" ref="E14">MAX(O19:O21)</f>
        <v>2.350709113</v>
      </c>
      <c r="F14" s="79" t="str">
        <f t="array" ref="F14">C13</f>
        <v>Lux</v>
      </c>
      <c r="G14" s="70"/>
      <c r="H14" s="83"/>
      <c r="I14" s="83"/>
      <c r="J14" s="83"/>
      <c r="K14" s="81"/>
      <c r="L14" s="69"/>
      <c r="M14" s="69"/>
      <c r="N14" s="69"/>
      <c r="O14" s="74"/>
      <c r="P14" s="49"/>
      <c r="Q14" s="17"/>
      <c r="R14" s="17"/>
      <c r="S14" s="17"/>
      <c r="T14" s="17"/>
      <c r="U14" s="17"/>
      <c r="V14" s="17"/>
      <c r="W14" s="17"/>
      <c r="X14" s="17"/>
      <c r="Y14" s="17"/>
      <c r="Z14" s="17"/>
      <c r="AA14" s="17"/>
      <c r="AB14" s="17"/>
      <c r="AC14" s="17"/>
      <c r="AD14" s="57"/>
      <c r="AE14" s="58"/>
      <c r="AF14" s="59"/>
      <c r="AG14" s="59"/>
      <c r="AH14" s="59"/>
      <c r="AI14" s="59"/>
      <c r="AJ14" s="60"/>
      <c r="AK14" s="60"/>
      <c r="AL14" s="60"/>
      <c r="AM14" s="61"/>
      <c r="AN14" s="62"/>
      <c r="AO14" s="63"/>
      <c r="AP14" s="63"/>
      <c r="AQ14" s="64"/>
    </row>
    <row r="15" ht="12.75" customHeight="1">
      <c r="A15" s="45"/>
      <c r="B15" s="84"/>
      <c r="C15" s="69"/>
      <c r="D15" s="69"/>
      <c r="E15" s="69"/>
      <c r="F15" s="69"/>
      <c r="G15" s="70"/>
      <c r="H15" s="83"/>
      <c r="I15" s="83"/>
      <c r="J15" s="83"/>
      <c r="K15" s="81"/>
      <c r="L15" s="69"/>
      <c r="M15" s="69"/>
      <c r="N15" s="69"/>
      <c r="O15" s="85"/>
      <c r="P15" s="86"/>
      <c r="Q15" s="17"/>
      <c r="R15" s="17"/>
      <c r="S15" s="17"/>
      <c r="T15" s="17"/>
      <c r="U15" s="17"/>
      <c r="V15" s="17"/>
      <c r="W15" s="17"/>
      <c r="X15" s="17"/>
      <c r="Y15" s="17"/>
      <c r="Z15" s="17"/>
      <c r="AA15" s="17"/>
      <c r="AB15" s="17"/>
      <c r="AC15" s="17"/>
      <c r="AD15" s="57"/>
      <c r="AE15" s="58"/>
      <c r="AF15" s="59"/>
      <c r="AG15" s="59"/>
      <c r="AH15" s="59"/>
      <c r="AI15" s="59"/>
      <c r="AJ15" s="60"/>
      <c r="AK15" s="60"/>
      <c r="AL15" s="60"/>
      <c r="AM15" s="61"/>
      <c r="AN15" s="62"/>
      <c r="AO15" s="63"/>
      <c r="AP15" s="63"/>
      <c r="AQ15" s="64"/>
    </row>
    <row r="16" ht="12.75" customHeight="1">
      <c r="A16" s="45"/>
      <c r="B16" s="87" t="s">
        <v>20</v>
      </c>
      <c r="C16" s="72"/>
      <c r="D16" s="73"/>
      <c r="E16" s="73"/>
      <c r="F16" s="73"/>
      <c r="G16" s="88"/>
      <c r="H16" s="89" t="s">
        <v>21</v>
      </c>
      <c r="I16" s="90"/>
      <c r="J16" s="89" t="s">
        <v>22</v>
      </c>
      <c r="K16" s="72"/>
      <c r="L16" s="73"/>
      <c r="M16" s="73"/>
      <c r="N16" s="88"/>
      <c r="O16" s="80" t="s">
        <v>23</v>
      </c>
      <c r="P16" s="91" t="s">
        <v>24</v>
      </c>
      <c r="Q16" s="92"/>
      <c r="R16" s="17"/>
      <c r="S16" s="17"/>
      <c r="T16" s="17"/>
      <c r="U16" s="17"/>
      <c r="V16" s="17"/>
      <c r="W16" s="17"/>
      <c r="X16" s="17"/>
      <c r="Y16" s="17"/>
      <c r="Z16" s="17"/>
      <c r="AA16" s="17"/>
      <c r="AB16" s="17"/>
      <c r="AC16" s="17"/>
      <c r="AD16" s="57"/>
      <c r="AE16" s="58"/>
      <c r="AF16" s="59"/>
      <c r="AG16" s="59"/>
      <c r="AH16" s="59"/>
      <c r="AI16" s="59"/>
      <c r="AJ16" s="60"/>
      <c r="AK16" s="60"/>
      <c r="AL16" s="60"/>
      <c r="AM16" s="61"/>
      <c r="AN16" s="62"/>
      <c r="AO16" s="63"/>
      <c r="AP16" s="63"/>
      <c r="AQ16" s="64"/>
    </row>
    <row r="17" ht="12.75" customHeight="1">
      <c r="A17" s="45"/>
      <c r="B17" s="93" t="s">
        <v>25</v>
      </c>
      <c r="C17" s="80" t="s">
        <v>26</v>
      </c>
      <c r="D17" s="80" t="s">
        <v>27</v>
      </c>
      <c r="E17" s="80" t="s">
        <v>28</v>
      </c>
      <c r="F17" s="80" t="s">
        <v>29</v>
      </c>
      <c r="G17" s="80" t="s">
        <v>30</v>
      </c>
      <c r="H17" s="80" t="s">
        <v>31</v>
      </c>
      <c r="I17" s="80" t="s">
        <v>32</v>
      </c>
      <c r="J17" s="80" t="s">
        <v>33</v>
      </c>
      <c r="K17" s="80" t="s">
        <v>34</v>
      </c>
      <c r="L17" s="80" t="s">
        <v>35</v>
      </c>
      <c r="M17" s="80" t="s">
        <v>36</v>
      </c>
      <c r="N17" s="94"/>
      <c r="O17" s="71" t="s">
        <v>37</v>
      </c>
      <c r="P17" s="95"/>
      <c r="Q17" s="92"/>
      <c r="R17" s="17"/>
      <c r="S17" s="17"/>
      <c r="T17" s="17"/>
      <c r="U17" s="17"/>
      <c r="V17" s="17"/>
      <c r="W17" s="17"/>
      <c r="X17" s="17"/>
      <c r="Y17" s="17"/>
      <c r="Z17" s="17"/>
      <c r="AA17" s="17"/>
      <c r="AB17" s="17"/>
      <c r="AC17" s="17"/>
      <c r="AD17" s="57"/>
      <c r="AE17" s="58"/>
      <c r="AF17" s="59"/>
      <c r="AG17" s="59"/>
      <c r="AH17" s="59"/>
      <c r="AI17" s="59"/>
      <c r="AJ17" s="60"/>
      <c r="AK17" s="60"/>
      <c r="AL17" s="60"/>
      <c r="AM17" s="61"/>
      <c r="AN17" s="62"/>
      <c r="AO17" s="63"/>
      <c r="AP17" s="63"/>
      <c r="AQ17" s="64"/>
    </row>
    <row r="18" ht="12.75" customHeight="1">
      <c r="A18" s="45"/>
      <c r="B18" s="96" t="str">
        <f t="array" ref="B18">C13</f>
        <v>Lux</v>
      </c>
      <c r="C18" s="89" t="str">
        <f t="array" ref="C18">$B18</f>
        <v>Lux</v>
      </c>
      <c r="D18" s="89" t="str">
        <f t="array" ref="D18">$B18</f>
        <v>Lux</v>
      </c>
      <c r="E18" s="89" t="str">
        <f t="array" ref="E18">$B18</f>
        <v>Lux</v>
      </c>
      <c r="F18" s="89" t="str">
        <f t="array" ref="F18">$B18</f>
        <v>Lux</v>
      </c>
      <c r="G18" s="89" t="str">
        <f t="array" ref="G18">$B18</f>
        <v>Lux</v>
      </c>
      <c r="H18" s="89" t="str">
        <f t="array" ref="H18">$B18</f>
        <v>Lux</v>
      </c>
      <c r="I18" s="89" t="str">
        <f t="array" ref="I18">$B18</f>
        <v>Lux</v>
      </c>
      <c r="J18" s="89" t="str">
        <f t="array" ref="J18">$B18</f>
        <v>Lux</v>
      </c>
      <c r="K18" s="89" t="str">
        <f t="array" ref="K18">$B18</f>
        <v>Lux</v>
      </c>
      <c r="L18" s="89" t="str">
        <f t="array" ref="L18">$B18</f>
        <v>Lux</v>
      </c>
      <c r="M18" s="97" t="s">
        <v>38</v>
      </c>
      <c r="N18" s="89" t="s">
        <v>39</v>
      </c>
      <c r="O18" s="89" t="str">
        <f t="array" ref="O18">$B18</f>
        <v>Lux</v>
      </c>
      <c r="P18" s="98"/>
      <c r="Q18" s="99" t="s">
        <v>40</v>
      </c>
      <c r="R18" s="100" t="s">
        <v>41</v>
      </c>
      <c r="S18" s="100" t="s">
        <v>42</v>
      </c>
      <c r="T18" s="101" t="s">
        <v>43</v>
      </c>
      <c r="U18" s="17"/>
      <c r="V18" s="17"/>
      <c r="W18" s="17"/>
      <c r="X18" s="17"/>
      <c r="Y18" s="17"/>
      <c r="Z18" s="17"/>
      <c r="AA18" s="17"/>
      <c r="AB18" s="17"/>
      <c r="AC18" s="17"/>
      <c r="AD18" s="57"/>
      <c r="AE18" s="58"/>
      <c r="AF18" s="59"/>
      <c r="AG18" s="59"/>
      <c r="AH18" s="59"/>
      <c r="AI18" s="59"/>
      <c r="AJ18" s="60"/>
      <c r="AK18" s="60"/>
      <c r="AL18" s="60"/>
      <c r="AM18" s="61"/>
      <c r="AN18" s="62"/>
      <c r="AO18" s="63"/>
      <c r="AP18" s="63"/>
      <c r="AQ18" s="64"/>
    </row>
    <row r="19" ht="12.75" customHeight="1">
      <c r="A19" s="102"/>
      <c r="B19" s="103">
        <v>100.2</v>
      </c>
      <c r="C19" s="104">
        <v>90.3</v>
      </c>
      <c r="D19" s="105">
        <f t="array" ref="D19">C19</f>
        <v>90.3</v>
      </c>
      <c r="E19" s="105">
        <f t="array" ref="E19">D19</f>
        <v>90.3</v>
      </c>
      <c r="F19" s="105">
        <f t="array" ref="F19">E19</f>
        <v>90.3</v>
      </c>
      <c r="G19" s="106">
        <f t="array" ref="G19">F19</f>
        <v>90.3</v>
      </c>
      <c r="H19" s="107">
        <f t="array" ref="H19">STDEV(C19:G19)*1.4</f>
        <v>0</v>
      </c>
      <c r="I19" s="108">
        <f t="array" ref="I19">4.7/2</f>
        <v>2.35</v>
      </c>
      <c r="J19" s="108">
        <f t="array" ref="J19">I19/2</f>
        <v>1.175</v>
      </c>
      <c r="K19" s="107">
        <f t="array" ref="K19">(C$12)/SQRT(12)</f>
        <v>0.02886751346</v>
      </c>
      <c r="L19" s="109">
        <f t="array" ref="L19">SQRT(H19^2+J19^2+(K19)^2)</f>
        <v>1.175354556</v>
      </c>
      <c r="M19" s="94" t="str">
        <f t="array" ref="M19">IF(ISERROR((L19^4)/(H19^4/4))=TRUE,"∞",((L19^4)/(H19^4/4)))</f>
        <v>∞</v>
      </c>
      <c r="N19" s="94">
        <f t="array" ref="N19">IF(ISERROR(TINV(0.05,M19))=TRUE,2,TINV(0.05,M19))</f>
        <v>2</v>
      </c>
      <c r="O19" s="109">
        <f t="array" ref="O19">L19*N19</f>
        <v>2.350709113</v>
      </c>
      <c r="P19" s="110">
        <v>2.0</v>
      </c>
      <c r="Q19" s="111">
        <f t="array" ref="Q19">AVERAGE(C19:G19)-B19</f>
        <v>-9.9</v>
      </c>
      <c r="R19" s="112">
        <f t="array" ref="R19">Q19+O19</f>
        <v>-7.549290887</v>
      </c>
      <c r="S19" s="112">
        <f t="array" ref="S19">Q19-O19</f>
        <v>-12.25070911</v>
      </c>
      <c r="T19" s="112">
        <f t="array" ref="T19">ABS(Q19)</f>
        <v>9.9</v>
      </c>
      <c r="U19" s="17"/>
      <c r="V19" s="17"/>
      <c r="W19" s="17"/>
      <c r="X19" s="17"/>
      <c r="Y19" s="17"/>
      <c r="Z19" s="17"/>
      <c r="AA19" s="17"/>
      <c r="AB19" s="17"/>
      <c r="AC19" s="17"/>
      <c r="AD19" s="57"/>
      <c r="AE19" s="58"/>
      <c r="AF19" s="59"/>
      <c r="AG19" s="59"/>
      <c r="AH19" s="59"/>
      <c r="AI19" s="59"/>
      <c r="AJ19" s="60"/>
      <c r="AK19" s="60"/>
      <c r="AL19" s="60"/>
      <c r="AM19" s="61"/>
      <c r="AN19" s="62"/>
      <c r="AO19" s="63"/>
      <c r="AP19" s="63"/>
      <c r="AQ19" s="64"/>
    </row>
    <row r="20" ht="12.75" customHeight="1">
      <c r="A20" s="102"/>
      <c r="B20" s="113">
        <v>1014.0</v>
      </c>
      <c r="C20" s="114">
        <v>1003.0</v>
      </c>
      <c r="D20" s="115">
        <f t="array" ref="D20">C20</f>
        <v>1003</v>
      </c>
      <c r="E20" s="115">
        <f t="array" ref="E20">D20</f>
        <v>1003</v>
      </c>
      <c r="F20" s="115">
        <f t="array" ref="F20">E20</f>
        <v>1003</v>
      </c>
      <c r="G20" s="116">
        <f t="array" ref="G20">F20</f>
        <v>1003</v>
      </c>
      <c r="H20" s="117">
        <f t="array" ref="H20">STDEV(C20:G20)*1.4</f>
        <v>0</v>
      </c>
      <c r="I20" s="118">
        <f t="array" ref="I20">1.3/2</f>
        <v>0.65</v>
      </c>
      <c r="J20" s="118">
        <f t="array" ref="J20">I20/2</f>
        <v>0.325</v>
      </c>
      <c r="K20" s="117">
        <f t="array" ref="K20">(C$12)/SQRT(12)</f>
        <v>0.02886751346</v>
      </c>
      <c r="L20" s="119">
        <f t="array" ref="L20">SQRT(H20^2+J20^2+(K20)^2)</f>
        <v>0.3262795325</v>
      </c>
      <c r="M20" s="120" t="str">
        <f t="array" ref="M20">IF(ISERROR((L20^4)/(H20^4/4))=TRUE,"∞",((L20^4)/(H20^4/4)))</f>
        <v>∞</v>
      </c>
      <c r="N20" s="120">
        <f t="array" ref="N20">IF(ISERROR(TINV(0.05,M20))=TRUE,2,TINV(0.05,M20))</f>
        <v>2</v>
      </c>
      <c r="O20" s="119">
        <f t="array" ref="O20">L20*N20</f>
        <v>0.652559065</v>
      </c>
      <c r="P20" s="110">
        <v>2.0</v>
      </c>
      <c r="Q20" s="111">
        <f t="array" ref="Q20">AVERAGE(C20:G20)-B20</f>
        <v>-11</v>
      </c>
      <c r="R20" s="112">
        <f t="array" ref="R20">Q20+O20</f>
        <v>-10.34744093</v>
      </c>
      <c r="S20" s="112">
        <f t="array" ref="S20">Q20-O20</f>
        <v>-11.65255907</v>
      </c>
      <c r="T20" s="112">
        <f t="array" ref="T20">ABS(Q20)</f>
        <v>11</v>
      </c>
      <c r="U20" s="17"/>
      <c r="V20" s="17"/>
      <c r="W20" s="17"/>
      <c r="X20" s="17"/>
      <c r="Y20" s="17"/>
      <c r="Z20" s="17"/>
      <c r="AA20" s="17"/>
      <c r="AB20" s="17"/>
      <c r="AC20" s="17"/>
      <c r="AD20" s="57"/>
      <c r="AE20" s="58"/>
      <c r="AF20" s="59"/>
      <c r="AG20" s="59"/>
      <c r="AH20" s="59"/>
      <c r="AI20" s="59"/>
      <c r="AJ20" s="60"/>
      <c r="AK20" s="60"/>
      <c r="AL20" s="60"/>
      <c r="AM20" s="61"/>
      <c r="AN20" s="62"/>
      <c r="AO20" s="63"/>
      <c r="AP20" s="63"/>
      <c r="AQ20" s="64"/>
    </row>
    <row r="21" ht="12.75" customHeight="1">
      <c r="A21" s="102"/>
      <c r="B21" s="113">
        <v>2320.0</v>
      </c>
      <c r="C21" s="114">
        <v>2313.0</v>
      </c>
      <c r="D21" s="115">
        <f t="array" ref="D21">C21</f>
        <v>2313</v>
      </c>
      <c r="E21" s="115">
        <f t="array" ref="E21">D21</f>
        <v>2313</v>
      </c>
      <c r="F21" s="115">
        <f t="array" ref="F21">E21</f>
        <v>2313</v>
      </c>
      <c r="G21" s="116">
        <f t="array" ref="G21">F21</f>
        <v>2313</v>
      </c>
      <c r="H21" s="117">
        <f t="array" ref="H21">STDEV(C21:G21)*1.4</f>
        <v>0</v>
      </c>
      <c r="I21" s="118">
        <f t="array" ref="I21">1.9/2</f>
        <v>0.95</v>
      </c>
      <c r="J21" s="118">
        <f t="array" ref="J21">I21/2</f>
        <v>0.475</v>
      </c>
      <c r="K21" s="117">
        <f t="array" ref="K21">(C$12)/SQRT(12)</f>
        <v>0.02886751346</v>
      </c>
      <c r="L21" s="119">
        <f t="array" ref="L21">SQRT(H21^2+J21^2+(K21)^2)</f>
        <v>0.4758763845</v>
      </c>
      <c r="M21" s="120" t="str">
        <f t="array" ref="M21">IF(ISERROR((L21^4)/(H21^4/4))=TRUE,"∞",((L21^4)/(H21^4/4)))</f>
        <v>∞</v>
      </c>
      <c r="N21" s="120">
        <f t="array" ref="N21">IF(ISERROR(TINV(0.05,M21))=TRUE,2,TINV(0.05,M21))</f>
        <v>2</v>
      </c>
      <c r="O21" s="119">
        <f t="array" ref="O21">L21*N21</f>
        <v>0.951752769</v>
      </c>
      <c r="P21" s="110">
        <v>2.0</v>
      </c>
      <c r="Q21" s="111">
        <f t="array" ref="Q21">AVERAGE(C21:G21)-B21</f>
        <v>-7</v>
      </c>
      <c r="R21" s="112">
        <f t="array" ref="R21">Q21+O21</f>
        <v>-6.048247231</v>
      </c>
      <c r="S21" s="112">
        <f t="array" ref="S21">Q21-O21</f>
        <v>-7.951752769</v>
      </c>
      <c r="T21" s="112">
        <f t="array" ref="T21">ABS(Q21)</f>
        <v>7</v>
      </c>
      <c r="U21" s="17"/>
      <c r="V21" s="17"/>
      <c r="W21" s="17"/>
      <c r="X21" s="17"/>
      <c r="Y21" s="17"/>
      <c r="Z21" s="17"/>
      <c r="AA21" s="17"/>
      <c r="AB21" s="17"/>
      <c r="AC21" s="17"/>
      <c r="AD21" s="57"/>
      <c r="AE21" s="58"/>
      <c r="AF21" s="59"/>
      <c r="AG21" s="59"/>
      <c r="AH21" s="59"/>
      <c r="AI21" s="59"/>
      <c r="AJ21" s="60"/>
      <c r="AK21" s="60"/>
      <c r="AL21" s="60"/>
      <c r="AM21" s="61"/>
      <c r="AN21" s="62"/>
      <c r="AO21" s="63"/>
      <c r="AP21" s="63"/>
      <c r="AQ21" s="64"/>
    </row>
    <row r="22" ht="12.75" customHeight="1">
      <c r="A22" s="102"/>
      <c r="B22" s="113">
        <v>3527.0</v>
      </c>
      <c r="C22" s="114">
        <v>3517.0</v>
      </c>
      <c r="D22" s="115">
        <f t="array" ref="D22">C22</f>
        <v>3517</v>
      </c>
      <c r="E22" s="115">
        <f t="array" ref="E22">D22</f>
        <v>3517</v>
      </c>
      <c r="F22" s="115">
        <f t="array" ref="F22">E22</f>
        <v>3517</v>
      </c>
      <c r="G22" s="116">
        <f t="array" ref="G22">F22</f>
        <v>3517</v>
      </c>
      <c r="H22" s="117">
        <f t="array" ref="H22">STDEV(C22:G22)*1.4</f>
        <v>0</v>
      </c>
      <c r="I22" s="118">
        <f t="array" ref="I22">5.2/2</f>
        <v>2.6</v>
      </c>
      <c r="J22" s="118">
        <f t="array" ref="J22">I22/2</f>
        <v>1.3</v>
      </c>
      <c r="K22" s="117">
        <f t="array" ref="K22">(C$12)/SQRT(12)</f>
        <v>0.02886751346</v>
      </c>
      <c r="L22" s="119">
        <f t="array" ref="L22">SQRT(H22^2+J22^2+(K22)^2)</f>
        <v>1.300320473</v>
      </c>
      <c r="M22" s="120" t="str">
        <f t="array" ref="M22">IF(ISERROR((L22^4)/(H22^4/4))=TRUE,"∞",((L22^4)/(H22^4/4)))</f>
        <v>∞</v>
      </c>
      <c r="N22" s="120">
        <f t="array" ref="N22">IF(ISERROR(TINV(0.05,M22))=TRUE,2,TINV(0.05,M22))</f>
        <v>2</v>
      </c>
      <c r="O22" s="119">
        <f t="array" ref="O22">L22*N22</f>
        <v>2.600640947</v>
      </c>
      <c r="P22" s="110">
        <v>2.0</v>
      </c>
      <c r="Q22" s="111">
        <f t="array" ref="Q22">AVERAGE(C22:G22)-B22</f>
        <v>-10</v>
      </c>
      <c r="R22" s="112">
        <f t="array" ref="R22">Q22+O22</f>
        <v>-7.399359053</v>
      </c>
      <c r="S22" s="112">
        <f t="array" ref="S22">Q22-O22</f>
        <v>-12.60064095</v>
      </c>
      <c r="T22" s="112">
        <f t="array" ref="T22">ABS(Q22)</f>
        <v>10</v>
      </c>
      <c r="U22" s="17"/>
      <c r="V22" s="17"/>
      <c r="W22" s="17"/>
      <c r="X22" s="17"/>
      <c r="Y22" s="17"/>
      <c r="Z22" s="17"/>
      <c r="AA22" s="17"/>
      <c r="AB22" s="17"/>
      <c r="AC22" s="17"/>
      <c r="AD22" s="57"/>
      <c r="AE22" s="58"/>
      <c r="AF22" s="59"/>
      <c r="AG22" s="59"/>
      <c r="AH22" s="59"/>
      <c r="AI22" s="59"/>
      <c r="AJ22" s="60"/>
      <c r="AK22" s="60"/>
      <c r="AL22" s="60"/>
      <c r="AM22" s="61"/>
      <c r="AN22" s="62"/>
      <c r="AO22" s="63"/>
      <c r="AP22" s="63"/>
      <c r="AQ22" s="64"/>
    </row>
    <row r="23" ht="13.5" customHeight="1">
      <c r="A23" s="102"/>
      <c r="B23" s="121">
        <v>4000.0</v>
      </c>
      <c r="C23" s="122">
        <v>3987.0</v>
      </c>
      <c r="D23" s="123">
        <f t="array" ref="D23">C23</f>
        <v>3987</v>
      </c>
      <c r="E23" s="123">
        <f t="array" ref="E23">D23</f>
        <v>3987</v>
      </c>
      <c r="F23" s="123">
        <f t="array" ref="F23">E23</f>
        <v>3987</v>
      </c>
      <c r="G23" s="124">
        <f t="array" ref="G23">F23</f>
        <v>3987</v>
      </c>
      <c r="H23" s="125">
        <f t="array" ref="H23">STDEV(C23:G23)*1.4</f>
        <v>0</v>
      </c>
      <c r="I23" s="118">
        <f t="array" ref="I23">5.2/2</f>
        <v>2.6</v>
      </c>
      <c r="J23" s="126">
        <f t="array" ref="J23">I23/2</f>
        <v>1.3</v>
      </c>
      <c r="K23" s="125">
        <f t="array" ref="K23">(C$12)/SQRT(12)</f>
        <v>0.02886751346</v>
      </c>
      <c r="L23" s="127">
        <f t="array" ref="L23">SQRT(H23^2+J23^2+(K23)^2)</f>
        <v>1.300320473</v>
      </c>
      <c r="M23" s="128" t="str">
        <f t="array" ref="M23">IF(ISERROR((L23^4)/(H23^4/4))=TRUE,"∞",((L23^4)/(H23^4/4)))</f>
        <v>∞</v>
      </c>
      <c r="N23" s="128">
        <f t="array" ref="N23">IF(ISERROR(TINV(0.05,M23))=TRUE,2,TINV(0.05,M23))</f>
        <v>2</v>
      </c>
      <c r="O23" s="127">
        <f t="array" ref="O23">L23*N23</f>
        <v>2.600640947</v>
      </c>
      <c r="P23" s="110">
        <v>2.0</v>
      </c>
      <c r="Q23" s="111">
        <f t="array" ref="Q23">AVERAGE(C23:G23)-B23</f>
        <v>-13</v>
      </c>
      <c r="R23" s="112">
        <f t="array" ref="R23">Q23+O23</f>
        <v>-10.39935905</v>
      </c>
      <c r="S23" s="112">
        <f t="array" ref="S23">Q23-O23</f>
        <v>-15.60064095</v>
      </c>
      <c r="T23" s="112">
        <f t="array" ref="T23">ABS(Q23)</f>
        <v>13</v>
      </c>
      <c r="U23" s="17"/>
      <c r="V23" s="17"/>
      <c r="W23" s="17"/>
      <c r="X23" s="17"/>
      <c r="Y23" s="17"/>
      <c r="Z23" s="17"/>
      <c r="AA23" s="17"/>
      <c r="AB23" s="17"/>
      <c r="AC23" s="17"/>
      <c r="AD23" s="57"/>
      <c r="AE23" s="58"/>
      <c r="AF23" s="59"/>
      <c r="AG23" s="59"/>
      <c r="AH23" s="59"/>
      <c r="AI23" s="59"/>
      <c r="AJ23" s="60"/>
      <c r="AK23" s="60"/>
      <c r="AL23" s="60"/>
      <c r="AM23" s="61"/>
      <c r="AN23" s="62"/>
      <c r="AO23" s="63"/>
      <c r="AP23" s="63"/>
      <c r="AQ23" s="64"/>
    </row>
    <row r="24" ht="15.0" customHeight="1">
      <c r="A24" s="129"/>
      <c r="B24" s="130" t="s">
        <v>44</v>
      </c>
      <c r="C24" s="131"/>
      <c r="D24" s="132"/>
      <c r="E24" s="132"/>
      <c r="F24" s="132"/>
      <c r="G24" s="132"/>
      <c r="H24" s="133"/>
      <c r="I24" s="134"/>
      <c r="J24" s="135"/>
      <c r="K24" s="136"/>
      <c r="L24" s="55"/>
      <c r="M24" s="55"/>
      <c r="N24" s="55"/>
      <c r="O24" s="55"/>
      <c r="P24" s="131"/>
      <c r="Q24" s="17"/>
      <c r="R24" s="17"/>
      <c r="S24" s="17"/>
      <c r="T24" s="17"/>
      <c r="U24" s="17"/>
      <c r="V24" s="17"/>
      <c r="W24" s="17"/>
      <c r="X24" s="17"/>
      <c r="Y24" s="17"/>
      <c r="Z24" s="17"/>
      <c r="AA24" s="17"/>
      <c r="AB24" s="17"/>
      <c r="AC24" s="17"/>
      <c r="AD24" s="63"/>
      <c r="AE24" s="63"/>
      <c r="AF24" s="63"/>
      <c r="AG24" s="63"/>
      <c r="AH24" s="63"/>
      <c r="AI24" s="63"/>
      <c r="AJ24" s="63"/>
      <c r="AK24" s="63"/>
      <c r="AL24" s="63"/>
      <c r="AM24" s="63"/>
      <c r="AN24" s="63"/>
      <c r="AO24" s="63"/>
      <c r="AP24" s="63"/>
      <c r="AQ24" s="64"/>
    </row>
    <row r="25" ht="12.75" customHeight="1">
      <c r="A25" s="16"/>
      <c r="B25" s="137" t="s">
        <v>45</v>
      </c>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63"/>
      <c r="AE25" s="63"/>
      <c r="AF25" s="63"/>
      <c r="AG25" s="63"/>
      <c r="AH25" s="63"/>
      <c r="AI25" s="63"/>
      <c r="AJ25" s="63"/>
      <c r="AK25" s="63"/>
      <c r="AL25" s="63"/>
      <c r="AM25" s="63"/>
      <c r="AN25" s="63"/>
      <c r="AO25" s="63"/>
      <c r="AP25" s="63"/>
      <c r="AQ25" s="64"/>
    </row>
    <row r="26" ht="12.75" customHeight="1">
      <c r="A26" s="138"/>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63"/>
      <c r="AE26" s="63"/>
      <c r="AF26" s="63"/>
      <c r="AG26" s="63"/>
      <c r="AH26" s="63"/>
      <c r="AI26" s="63"/>
      <c r="AJ26" s="63"/>
      <c r="AK26" s="63"/>
      <c r="AL26" s="63"/>
      <c r="AM26" s="63"/>
      <c r="AN26" s="63"/>
      <c r="AO26" s="63"/>
      <c r="AP26" s="63"/>
      <c r="AQ26" s="64"/>
    </row>
    <row r="27" ht="12.75" customHeight="1">
      <c r="A27" s="139"/>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63"/>
      <c r="AE27" s="63"/>
      <c r="AF27" s="63"/>
      <c r="AG27" s="63"/>
      <c r="AH27" s="63"/>
      <c r="AI27" s="63"/>
      <c r="AJ27" s="63"/>
      <c r="AK27" s="63"/>
      <c r="AL27" s="63"/>
      <c r="AM27" s="63"/>
      <c r="AN27" s="63"/>
      <c r="AO27" s="63"/>
      <c r="AP27" s="63"/>
      <c r="AQ27" s="64"/>
    </row>
    <row r="28" ht="12.75" customHeight="1">
      <c r="A28" s="138"/>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63"/>
      <c r="AE28" s="63"/>
      <c r="AF28" s="63"/>
      <c r="AG28" s="63"/>
      <c r="AH28" s="63"/>
      <c r="AI28" s="63"/>
      <c r="AJ28" s="63"/>
      <c r="AK28" s="63"/>
      <c r="AL28" s="63"/>
      <c r="AM28" s="63"/>
      <c r="AN28" s="63"/>
      <c r="AO28" s="63"/>
      <c r="AP28" s="63"/>
      <c r="AQ28" s="64"/>
    </row>
    <row r="29" ht="12.75" customHeight="1">
      <c r="A29" s="138"/>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63"/>
      <c r="AE29" s="63"/>
      <c r="AF29" s="63"/>
      <c r="AG29" s="63"/>
      <c r="AH29" s="63"/>
      <c r="AI29" s="63"/>
      <c r="AJ29" s="63"/>
      <c r="AK29" s="63"/>
      <c r="AL29" s="63"/>
      <c r="AM29" s="63"/>
      <c r="AN29" s="63"/>
      <c r="AO29" s="63"/>
      <c r="AP29" s="63"/>
      <c r="AQ29" s="64"/>
    </row>
    <row r="30" ht="12.75" customHeight="1">
      <c r="A30" s="138"/>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63"/>
      <c r="AE30" s="63"/>
      <c r="AF30" s="63"/>
      <c r="AG30" s="63"/>
      <c r="AH30" s="63"/>
      <c r="AI30" s="63"/>
      <c r="AJ30" s="63"/>
      <c r="AK30" s="63"/>
      <c r="AL30" s="63"/>
      <c r="AM30" s="63"/>
      <c r="AN30" s="63"/>
      <c r="AO30" s="63"/>
      <c r="AP30" s="63"/>
      <c r="AQ30" s="64"/>
    </row>
    <row r="31" ht="12.75" customHeight="1">
      <c r="A31" s="140"/>
      <c r="B31" s="141"/>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c r="AA31" s="141"/>
      <c r="AB31" s="141"/>
      <c r="AC31" s="141"/>
      <c r="AD31" s="142"/>
      <c r="AE31" s="142"/>
      <c r="AF31" s="142"/>
      <c r="AG31" s="142"/>
      <c r="AH31" s="142"/>
      <c r="AI31" s="142"/>
      <c r="AJ31" s="142"/>
      <c r="AK31" s="142"/>
      <c r="AL31" s="142"/>
      <c r="AM31" s="142"/>
      <c r="AN31" s="142"/>
      <c r="AO31" s="142"/>
      <c r="AP31" s="142"/>
      <c r="AQ31" s="143"/>
    </row>
    <row r="32" ht="12.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row>
    <row r="33" ht="12.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row>
    <row r="34" ht="12.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row>
    <row r="35" ht="12.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row>
    <row r="36" ht="12.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row>
    <row r="37" ht="12.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row>
    <row r="38" ht="12.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row>
    <row r="39" ht="12.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row>
    <row r="40" ht="12.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row>
    <row r="41" ht="12.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row>
    <row r="42" ht="12.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row>
    <row r="43" ht="12.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row>
    <row r="44" ht="12.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row>
    <row r="46" ht="12.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row>
    <row r="47" ht="12.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row>
  </sheetData>
  <mergeCells count="5">
    <mergeCell ref="AD3:AN3"/>
    <mergeCell ref="AD4:AN4"/>
    <mergeCell ref="AD5:AD6"/>
    <mergeCell ref="B10:O10"/>
    <mergeCell ref="P16:P18"/>
  </mergeCells>
  <printOptions/>
  <pageMargins bottom="1.0" footer="0.0" header="0.0" left="0.75" right="0.75" top="1.0"/>
  <pageSetup scale="25"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3"/>
    <col customWidth="1" min="2" max="2" width="4.38"/>
    <col customWidth="1" min="3" max="3" width="11.5"/>
    <col customWidth="1" min="4" max="6" width="18.63"/>
    <col customWidth="1" min="7" max="7" width="20.13"/>
    <col customWidth="1" min="8" max="8" width="2.5"/>
    <col customWidth="1" min="9" max="9" width="21.5"/>
    <col customWidth="1" min="10" max="10" width="13.63"/>
    <col customWidth="1" min="11" max="11" width="4.38"/>
    <col customWidth="1" hidden="1" min="12" max="17" width="10.88"/>
    <col customWidth="1" min="18" max="26" width="10.88"/>
  </cols>
  <sheetData>
    <row r="1" ht="39.75" customHeight="1">
      <c r="A1" s="144" t="s">
        <v>46</v>
      </c>
      <c r="B1" s="14" t="s">
        <v>47</v>
      </c>
      <c r="C1" s="14" t="s">
        <v>48</v>
      </c>
      <c r="D1" s="14" t="s">
        <v>49</v>
      </c>
      <c r="E1" s="145">
        <v>2.30402863E8</v>
      </c>
      <c r="F1" s="145">
        <v>2.30402863E8</v>
      </c>
      <c r="G1" s="146" t="s">
        <v>50</v>
      </c>
      <c r="H1" s="146" t="s">
        <v>51</v>
      </c>
      <c r="I1" s="146" t="s">
        <v>52</v>
      </c>
      <c r="J1" s="146" t="s">
        <v>53</v>
      </c>
      <c r="K1" s="147">
        <v>46048.0</v>
      </c>
      <c r="L1" s="147">
        <v>46048.0</v>
      </c>
      <c r="M1" s="147">
        <v>46413.0</v>
      </c>
      <c r="N1" s="147">
        <v>46045.0</v>
      </c>
      <c r="O1" s="148"/>
      <c r="P1" s="148"/>
      <c r="Q1" s="148"/>
      <c r="R1" s="148"/>
      <c r="S1" s="148"/>
      <c r="T1" s="148"/>
      <c r="U1" s="149"/>
      <c r="V1" s="17"/>
      <c r="W1" s="17"/>
      <c r="X1" s="17"/>
      <c r="Y1" s="17"/>
      <c r="Z1" s="17"/>
    </row>
    <row r="2" ht="18.75" customHeight="1">
      <c r="A2" s="150"/>
      <c r="B2" s="151"/>
      <c r="C2" s="151"/>
      <c r="D2" s="151"/>
      <c r="E2" s="151"/>
      <c r="F2" s="152"/>
      <c r="G2" s="153"/>
      <c r="H2" s="153"/>
      <c r="I2" s="154"/>
      <c r="J2" s="154"/>
      <c r="K2" s="155"/>
      <c r="L2" s="155"/>
      <c r="M2" s="63"/>
      <c r="N2" s="63"/>
      <c r="O2" s="63"/>
      <c r="P2" s="63"/>
      <c r="Q2" s="63"/>
      <c r="R2" s="63"/>
      <c r="S2" s="63"/>
      <c r="T2" s="63"/>
      <c r="U2" s="64"/>
      <c r="V2" s="17"/>
      <c r="W2" s="17"/>
      <c r="X2" s="17"/>
      <c r="Y2" s="17"/>
      <c r="Z2" s="17"/>
    </row>
    <row r="3" ht="48.0" customHeight="1">
      <c r="A3" s="150"/>
      <c r="B3" s="156" t="s">
        <v>54</v>
      </c>
      <c r="C3" s="20"/>
      <c r="D3" s="20"/>
      <c r="E3" s="20"/>
      <c r="F3" s="157"/>
      <c r="G3" s="158" t="s">
        <v>55</v>
      </c>
      <c r="H3" s="159"/>
      <c r="I3" s="160" t="str">
        <f t="array" ref="I3">A1</f>
        <v>O-MK-0285/26</v>
      </c>
      <c r="J3" s="157"/>
      <c r="K3" s="161"/>
      <c r="L3" s="155"/>
      <c r="M3" s="63"/>
      <c r="N3" s="63"/>
      <c r="O3" s="63"/>
      <c r="P3" s="63"/>
      <c r="Q3" s="63"/>
      <c r="R3" s="63"/>
      <c r="S3" s="63"/>
      <c r="T3" s="63"/>
      <c r="U3" s="64"/>
      <c r="V3" s="17"/>
      <c r="W3" s="17"/>
      <c r="X3" s="17"/>
      <c r="Y3" s="17"/>
      <c r="Z3" s="17"/>
    </row>
    <row r="4" ht="18.75" customHeight="1">
      <c r="A4" s="150"/>
      <c r="B4" s="162"/>
      <c r="C4" s="162"/>
      <c r="D4" s="162"/>
      <c r="E4" s="162"/>
      <c r="F4" s="163"/>
      <c r="G4" s="153"/>
      <c r="H4" s="152"/>
      <c r="I4" s="152"/>
      <c r="J4" s="152"/>
      <c r="K4" s="152"/>
      <c r="L4" s="155"/>
      <c r="M4" s="63"/>
      <c r="N4" s="63"/>
      <c r="O4" s="63"/>
      <c r="P4" s="63"/>
      <c r="Q4" s="63"/>
      <c r="R4" s="34"/>
      <c r="S4" s="34"/>
      <c r="T4" s="34"/>
      <c r="U4" s="37"/>
      <c r="V4" s="17"/>
      <c r="W4" s="17"/>
      <c r="X4" s="17"/>
      <c r="Y4" s="17"/>
      <c r="Z4" s="17"/>
    </row>
    <row r="5" ht="27.0" customHeight="1">
      <c r="A5" s="150"/>
      <c r="B5" s="164"/>
      <c r="C5" s="165" t="s">
        <v>56</v>
      </c>
      <c r="D5" s="151"/>
      <c r="E5" s="151"/>
      <c r="F5" s="155"/>
      <c r="G5" s="155"/>
      <c r="H5" s="155"/>
      <c r="I5" s="166" t="s">
        <v>57</v>
      </c>
      <c r="J5" s="167">
        <f t="array" ref="J5">K1</f>
        <v>46048</v>
      </c>
      <c r="K5" s="155"/>
      <c r="L5" s="155"/>
      <c r="M5" s="63"/>
      <c r="N5" s="63"/>
      <c r="O5" s="63"/>
      <c r="P5" s="63"/>
      <c r="Q5" s="63"/>
      <c r="R5" s="168"/>
      <c r="S5" s="169"/>
      <c r="T5" s="170"/>
      <c r="U5" s="37"/>
      <c r="V5" s="17"/>
      <c r="W5" s="17"/>
      <c r="X5" s="17"/>
      <c r="Y5" s="17"/>
      <c r="Z5" s="17"/>
    </row>
    <row r="6" ht="27.75" customHeight="1">
      <c r="A6" s="171"/>
      <c r="B6" s="172"/>
      <c r="C6" s="173" t="s">
        <v>58</v>
      </c>
      <c r="D6" s="174" t="str">
        <f t="array" ref="D6">G1</f>
        <v>THREE CONSULTORIA MEDIO AMBIENTE, S.A. DE C.V.</v>
      </c>
      <c r="E6" s="20"/>
      <c r="F6" s="20"/>
      <c r="G6" s="157"/>
      <c r="H6" s="175"/>
      <c r="I6" s="166" t="s">
        <v>59</v>
      </c>
      <c r="J6" s="167">
        <f t="array" ref="J6">L1</f>
        <v>46048</v>
      </c>
      <c r="K6" s="155"/>
      <c r="L6" s="155"/>
      <c r="M6" s="63"/>
      <c r="N6" s="63"/>
      <c r="O6" s="63"/>
      <c r="P6" s="63"/>
      <c r="Q6" s="63"/>
      <c r="R6" s="63"/>
      <c r="S6" s="63"/>
      <c r="T6" s="63"/>
      <c r="U6" s="64"/>
      <c r="V6" s="17"/>
      <c r="W6" s="17"/>
      <c r="X6" s="17"/>
      <c r="Y6" s="17"/>
      <c r="Z6" s="17"/>
    </row>
    <row r="7" ht="24.75" customHeight="1">
      <c r="A7" s="171"/>
      <c r="B7" s="155"/>
      <c r="C7" s="173" t="s">
        <v>60</v>
      </c>
      <c r="D7" s="176" t="str">
        <f t="array" ref="D7">H1</f>
        <v>GALICIA No. 347, COL. ALTAVISTA, C.P. 64840</v>
      </c>
      <c r="E7" s="20"/>
      <c r="F7" s="20"/>
      <c r="G7" s="157"/>
      <c r="H7" s="175"/>
      <c r="I7" s="166" t="s">
        <v>61</v>
      </c>
      <c r="J7" s="167">
        <f t="array" ref="J7">M1</f>
        <v>46413</v>
      </c>
      <c r="K7" s="155"/>
      <c r="L7" s="155"/>
      <c r="M7" s="63"/>
      <c r="N7" s="63"/>
      <c r="O7" s="63"/>
      <c r="P7" s="63"/>
      <c r="Q7" s="63"/>
      <c r="R7" s="63"/>
      <c r="S7" s="63"/>
      <c r="T7" s="63"/>
      <c r="U7" s="64"/>
      <c r="V7" s="17"/>
      <c r="W7" s="17"/>
      <c r="X7" s="17"/>
      <c r="Y7" s="17"/>
      <c r="Z7" s="17"/>
    </row>
    <row r="8" ht="24.75" customHeight="1">
      <c r="A8" s="171"/>
      <c r="B8" s="155"/>
      <c r="C8" s="177"/>
      <c r="D8" s="178" t="str">
        <f t="array" ref="D8">CONCATENATE(I1,", ",J1)</f>
        <v>MONTERREY, NUEVO LEÓN</v>
      </c>
      <c r="E8" s="20"/>
      <c r="F8" s="20"/>
      <c r="G8" s="157"/>
      <c r="H8" s="175"/>
      <c r="I8" s="166" t="s">
        <v>62</v>
      </c>
      <c r="J8" s="167">
        <f t="array" ref="J8">N1</f>
        <v>46045</v>
      </c>
      <c r="K8" s="155"/>
      <c r="L8" s="155"/>
      <c r="M8" s="63"/>
      <c r="N8" s="63"/>
      <c r="O8" s="63"/>
      <c r="P8" s="63"/>
      <c r="Q8" s="63"/>
      <c r="R8" s="63"/>
      <c r="S8" s="63"/>
      <c r="T8" s="63"/>
      <c r="U8" s="64"/>
      <c r="V8" s="17"/>
      <c r="W8" s="17"/>
      <c r="X8" s="17"/>
      <c r="Y8" s="17"/>
      <c r="Z8" s="17"/>
    </row>
    <row r="9" ht="23.25" customHeight="1">
      <c r="A9" s="150"/>
      <c r="B9" s="151"/>
      <c r="C9" s="179"/>
      <c r="D9" s="155"/>
      <c r="E9" s="155"/>
      <c r="F9" s="151"/>
      <c r="G9" s="155"/>
      <c r="H9" s="155"/>
      <c r="I9" s="180" t="s">
        <v>63</v>
      </c>
      <c r="J9" s="181" t="s">
        <v>64</v>
      </c>
      <c r="K9" s="155"/>
      <c r="L9" s="155"/>
      <c r="M9" s="63"/>
      <c r="N9" s="63"/>
      <c r="O9" s="63"/>
      <c r="P9" s="63"/>
      <c r="Q9" s="63"/>
      <c r="R9" s="63"/>
      <c r="S9" s="63"/>
      <c r="T9" s="63"/>
      <c r="U9" s="64"/>
      <c r="V9" s="17"/>
      <c r="W9" s="17"/>
      <c r="X9" s="17"/>
      <c r="Y9" s="17"/>
      <c r="Z9" s="17"/>
    </row>
    <row r="10" ht="22.5" customHeight="1">
      <c r="A10" s="171"/>
      <c r="B10" s="155"/>
      <c r="C10" s="182" t="s">
        <v>65</v>
      </c>
      <c r="D10" s="155"/>
      <c r="E10" s="183"/>
      <c r="F10" s="155"/>
      <c r="G10" s="155"/>
      <c r="H10" s="155"/>
      <c r="I10" s="155"/>
      <c r="J10" s="155"/>
      <c r="K10" s="155"/>
      <c r="L10" s="155"/>
      <c r="M10" s="63"/>
      <c r="N10" s="63"/>
      <c r="O10" s="63"/>
      <c r="P10" s="63"/>
      <c r="Q10" s="63"/>
      <c r="R10" s="63"/>
      <c r="S10" s="63"/>
      <c r="T10" s="63"/>
      <c r="U10" s="64"/>
      <c r="V10" s="17"/>
      <c r="W10" s="17"/>
      <c r="X10" s="17"/>
      <c r="Y10" s="17"/>
      <c r="Z10" s="17"/>
    </row>
    <row r="11" ht="13.5" customHeight="1">
      <c r="A11" s="171"/>
      <c r="B11" s="155"/>
      <c r="C11" s="155"/>
      <c r="D11" s="155"/>
      <c r="E11" s="155"/>
      <c r="F11" s="155"/>
      <c r="G11" s="155"/>
      <c r="H11" s="184" t="s">
        <v>66</v>
      </c>
      <c r="I11" s="185" t="s">
        <v>67</v>
      </c>
      <c r="J11" s="155"/>
      <c r="K11" s="155"/>
      <c r="L11" s="155"/>
      <c r="M11" s="63"/>
      <c r="N11" s="63"/>
      <c r="O11" s="63"/>
      <c r="P11" s="63"/>
      <c r="Q11" s="63"/>
      <c r="R11" s="63"/>
      <c r="S11" s="63"/>
      <c r="T11" s="63"/>
      <c r="U11" s="64"/>
      <c r="V11" s="17"/>
      <c r="W11" s="17"/>
      <c r="X11" s="17"/>
      <c r="Y11" s="17"/>
      <c r="Z11" s="17"/>
    </row>
    <row r="12" ht="10.5" customHeight="1">
      <c r="A12" s="171"/>
      <c r="B12" s="155"/>
      <c r="C12" s="186" t="s">
        <v>68</v>
      </c>
      <c r="D12" s="187" t="str">
        <f t="array" ref="D12">B1</f>
        <v>LUXOMETRO</v>
      </c>
      <c r="E12" s="20"/>
      <c r="F12" s="157"/>
      <c r="G12" s="175"/>
      <c r="H12" s="155"/>
      <c r="I12" s="155"/>
      <c r="J12" s="179"/>
      <c r="K12" s="179"/>
      <c r="L12" s="155"/>
      <c r="M12" s="63"/>
      <c r="N12" s="63"/>
      <c r="O12" s="63"/>
      <c r="P12" s="63"/>
      <c r="Q12" s="63"/>
      <c r="R12" s="63"/>
      <c r="S12" s="63"/>
      <c r="T12" s="63"/>
      <c r="U12" s="64"/>
      <c r="V12" s="17"/>
      <c r="W12" s="17"/>
      <c r="X12" s="17"/>
      <c r="Y12" s="17"/>
      <c r="Z12" s="17"/>
    </row>
    <row r="13" ht="13.5" customHeight="1">
      <c r="A13" s="171"/>
      <c r="B13" s="155"/>
      <c r="C13" s="188" t="s">
        <v>69</v>
      </c>
      <c r="D13" s="175"/>
      <c r="E13" s="177"/>
      <c r="F13" s="177"/>
      <c r="G13" s="189" t="s">
        <v>70</v>
      </c>
      <c r="H13" s="190"/>
      <c r="I13" s="191">
        <v>19.9</v>
      </c>
      <c r="J13" s="179"/>
      <c r="K13" s="179"/>
      <c r="L13" s="155"/>
      <c r="M13" s="63"/>
      <c r="N13" s="63"/>
      <c r="O13" s="63"/>
      <c r="P13" s="63"/>
      <c r="Q13" s="63"/>
      <c r="R13" s="63"/>
      <c r="S13" s="63"/>
      <c r="T13" s="63"/>
      <c r="U13" s="64"/>
      <c r="V13" s="17"/>
      <c r="W13" s="17"/>
      <c r="X13" s="17"/>
      <c r="Y13" s="17"/>
      <c r="Z13" s="17"/>
    </row>
    <row r="14" ht="10.5" customHeight="1">
      <c r="A14" s="171"/>
      <c r="B14" s="155"/>
      <c r="C14" s="186" t="s">
        <v>71</v>
      </c>
      <c r="D14" s="192" t="str">
        <f t="array" ref="D14">C1</f>
        <v>EXTECH</v>
      </c>
      <c r="E14" s="20"/>
      <c r="F14" s="157"/>
      <c r="G14" s="188" t="s">
        <v>72</v>
      </c>
      <c r="H14" s="190"/>
      <c r="I14" s="179"/>
      <c r="J14" s="155"/>
      <c r="K14" s="155"/>
      <c r="L14" s="155"/>
      <c r="M14" s="63"/>
      <c r="N14" s="63"/>
      <c r="O14" s="63"/>
      <c r="P14" s="63"/>
      <c r="Q14" s="63"/>
      <c r="R14" s="63"/>
      <c r="S14" s="63"/>
      <c r="T14" s="63"/>
      <c r="U14" s="64"/>
      <c r="V14" s="17"/>
      <c r="W14" s="17"/>
      <c r="X14" s="17"/>
      <c r="Y14" s="17"/>
      <c r="Z14" s="17"/>
    </row>
    <row r="15" ht="14.25" customHeight="1">
      <c r="A15" s="171"/>
      <c r="B15" s="155"/>
      <c r="C15" s="188" t="s">
        <v>73</v>
      </c>
      <c r="D15" s="175"/>
      <c r="E15" s="177"/>
      <c r="F15" s="175"/>
      <c r="G15" s="189" t="s">
        <v>74</v>
      </c>
      <c r="H15" s="155"/>
      <c r="I15" s="193">
        <v>0.463</v>
      </c>
      <c r="J15" s="155"/>
      <c r="K15" s="155"/>
      <c r="L15" s="155"/>
      <c r="M15" s="63"/>
      <c r="N15" s="63"/>
      <c r="O15" s="63"/>
      <c r="P15" s="63"/>
      <c r="Q15" s="63"/>
      <c r="R15" s="63"/>
      <c r="S15" s="63"/>
      <c r="T15" s="63"/>
      <c r="U15" s="64"/>
      <c r="V15" s="17"/>
      <c r="W15" s="17"/>
      <c r="X15" s="17"/>
      <c r="Y15" s="17"/>
      <c r="Z15" s="17"/>
    </row>
    <row r="16" ht="10.5" customHeight="1">
      <c r="A16" s="171"/>
      <c r="B16" s="155"/>
      <c r="C16" s="186" t="s">
        <v>75</v>
      </c>
      <c r="D16" s="192" t="str">
        <f t="array" ref="D16">D1</f>
        <v>LT45</v>
      </c>
      <c r="E16" s="20"/>
      <c r="F16" s="157"/>
      <c r="G16" s="188" t="s">
        <v>76</v>
      </c>
      <c r="H16" s="155"/>
      <c r="I16" s="155"/>
      <c r="J16" s="194"/>
      <c r="K16" s="194"/>
      <c r="L16" s="155"/>
      <c r="M16" s="63"/>
      <c r="N16" s="63"/>
      <c r="O16" s="63"/>
      <c r="P16" s="63"/>
      <c r="Q16" s="63"/>
      <c r="R16" s="63"/>
      <c r="S16" s="63"/>
      <c r="T16" s="63"/>
      <c r="U16" s="64"/>
      <c r="V16" s="17"/>
      <c r="W16" s="17"/>
      <c r="X16" s="17"/>
      <c r="Y16" s="17"/>
      <c r="Z16" s="17"/>
    </row>
    <row r="17" ht="10.5" customHeight="1">
      <c r="A17" s="171"/>
      <c r="B17" s="155"/>
      <c r="C17" s="188" t="s">
        <v>77</v>
      </c>
      <c r="D17" s="175"/>
      <c r="E17" s="177"/>
      <c r="F17" s="177"/>
      <c r="G17" s="155"/>
      <c r="H17" s="155"/>
      <c r="I17" s="155"/>
      <c r="J17" s="179"/>
      <c r="K17" s="175"/>
      <c r="L17" s="155"/>
      <c r="M17" s="63"/>
      <c r="N17" s="63"/>
      <c r="O17" s="63"/>
      <c r="P17" s="63"/>
      <c r="Q17" s="63"/>
      <c r="R17" s="63"/>
      <c r="S17" s="63"/>
      <c r="T17" s="63"/>
      <c r="U17" s="64"/>
      <c r="V17" s="17"/>
      <c r="W17" s="17"/>
      <c r="X17" s="17"/>
      <c r="Y17" s="17"/>
      <c r="Z17" s="17"/>
    </row>
    <row r="18" ht="10.5" customHeight="1">
      <c r="A18" s="171"/>
      <c r="B18" s="155"/>
      <c r="C18" s="186" t="s">
        <v>78</v>
      </c>
      <c r="D18" s="195">
        <f t="array" ref="D18">E1</f>
        <v>230402863</v>
      </c>
      <c r="E18" s="20"/>
      <c r="F18" s="157"/>
      <c r="G18" s="155"/>
      <c r="H18" s="155"/>
      <c r="I18" s="155"/>
      <c r="J18" s="177"/>
      <c r="K18" s="175"/>
      <c r="L18" s="155"/>
      <c r="M18" s="63"/>
      <c r="N18" s="63"/>
      <c r="O18" s="63"/>
      <c r="P18" s="63"/>
      <c r="Q18" s="63"/>
      <c r="R18" s="63"/>
      <c r="S18" s="63"/>
      <c r="T18" s="63"/>
      <c r="U18" s="196"/>
      <c r="V18" s="17"/>
      <c r="W18" s="17"/>
      <c r="X18" s="17"/>
      <c r="Y18" s="17"/>
      <c r="Z18" s="17"/>
    </row>
    <row r="19" ht="10.5" customHeight="1">
      <c r="A19" s="171"/>
      <c r="B19" s="155"/>
      <c r="C19" s="188" t="s">
        <v>79</v>
      </c>
      <c r="D19" s="195"/>
      <c r="E19" s="157"/>
      <c r="F19" s="175"/>
      <c r="G19" s="155"/>
      <c r="H19" s="155"/>
      <c r="I19" s="155"/>
      <c r="J19" s="155"/>
      <c r="K19" s="155"/>
      <c r="L19" s="155"/>
      <c r="M19" s="63"/>
      <c r="N19" s="63"/>
      <c r="O19" s="63"/>
      <c r="P19" s="63"/>
      <c r="Q19" s="63"/>
      <c r="R19" s="63"/>
      <c r="S19" s="63"/>
      <c r="T19" s="63"/>
      <c r="U19" s="64"/>
      <c r="V19" s="17"/>
      <c r="W19" s="17"/>
      <c r="X19" s="17"/>
      <c r="Y19" s="17"/>
      <c r="Z19" s="17"/>
    </row>
    <row r="20" ht="10.5" customHeight="1">
      <c r="A20" s="171"/>
      <c r="B20" s="155"/>
      <c r="C20" s="186" t="s">
        <v>80</v>
      </c>
      <c r="D20" s="195">
        <f t="array" ref="D20">F1</f>
        <v>230402863</v>
      </c>
      <c r="E20" s="20"/>
      <c r="F20" s="157"/>
      <c r="G20" s="155"/>
      <c r="H20" s="155"/>
      <c r="I20" s="155"/>
      <c r="J20" s="155"/>
      <c r="K20" s="175"/>
      <c r="L20" s="155"/>
      <c r="M20" s="63"/>
      <c r="N20" s="63"/>
      <c r="O20" s="63"/>
      <c r="P20" s="63"/>
      <c r="Q20" s="63"/>
      <c r="R20" s="63"/>
      <c r="S20" s="63"/>
      <c r="T20" s="63"/>
      <c r="U20" s="64"/>
      <c r="V20" s="17"/>
      <c r="W20" s="17"/>
      <c r="X20" s="17"/>
      <c r="Y20" s="17"/>
      <c r="Z20" s="17"/>
    </row>
    <row r="21" ht="10.5" customHeight="1">
      <c r="A21" s="171"/>
      <c r="B21" s="155"/>
      <c r="C21" s="188" t="s">
        <v>81</v>
      </c>
      <c r="D21" s="175"/>
      <c r="E21" s="175"/>
      <c r="F21" s="175"/>
      <c r="G21" s="155"/>
      <c r="H21" s="155"/>
      <c r="I21" s="155"/>
      <c r="J21" s="155"/>
      <c r="K21" s="175"/>
      <c r="L21" s="155"/>
      <c r="M21" s="63"/>
      <c r="N21" s="63"/>
      <c r="O21" s="63"/>
      <c r="P21" s="63"/>
      <c r="Q21" s="63"/>
      <c r="R21" s="63"/>
      <c r="S21" s="63"/>
      <c r="T21" s="63"/>
      <c r="U21" s="64"/>
      <c r="V21" s="17"/>
      <c r="W21" s="17"/>
      <c r="X21" s="17"/>
      <c r="Y21" s="17"/>
      <c r="Z21" s="17"/>
    </row>
    <row r="22" ht="10.5" customHeight="1">
      <c r="A22" s="171"/>
      <c r="B22" s="155"/>
      <c r="C22" s="186" t="s">
        <v>82</v>
      </c>
      <c r="D22" s="165" t="s">
        <v>83</v>
      </c>
      <c r="E22" s="155"/>
      <c r="F22" s="197"/>
      <c r="G22" s="190"/>
      <c r="H22" s="190"/>
      <c r="I22" s="195"/>
      <c r="J22" s="157"/>
      <c r="K22" s="175"/>
      <c r="L22" s="155"/>
      <c r="M22" s="63"/>
      <c r="N22" s="63"/>
      <c r="O22" s="63"/>
      <c r="P22" s="63"/>
      <c r="Q22" s="63"/>
      <c r="R22" s="63"/>
      <c r="S22" s="63"/>
      <c r="T22" s="63"/>
      <c r="U22" s="64"/>
      <c r="V22" s="17"/>
      <c r="W22" s="17"/>
      <c r="X22" s="17"/>
      <c r="Y22" s="17"/>
      <c r="Z22" s="17"/>
    </row>
    <row r="23" ht="10.5" customHeight="1">
      <c r="A23" s="171"/>
      <c r="B23" s="155"/>
      <c r="C23" s="188" t="s">
        <v>84</v>
      </c>
      <c r="D23" s="175"/>
      <c r="E23" s="175"/>
      <c r="F23" s="175"/>
      <c r="G23" s="198"/>
      <c r="H23" s="198"/>
      <c r="I23" s="175"/>
      <c r="J23" s="175"/>
      <c r="K23" s="175"/>
      <c r="L23" s="155"/>
      <c r="M23" s="63"/>
      <c r="N23" s="63"/>
      <c r="O23" s="63"/>
      <c r="P23" s="63"/>
      <c r="Q23" s="63"/>
      <c r="R23" s="63"/>
      <c r="S23" s="63"/>
      <c r="T23" s="63"/>
      <c r="U23" s="64"/>
      <c r="V23" s="17"/>
      <c r="W23" s="17"/>
      <c r="X23" s="17"/>
      <c r="Y23" s="17"/>
      <c r="Z23" s="17"/>
    </row>
    <row r="24" ht="10.5" customHeight="1">
      <c r="A24" s="171"/>
      <c r="B24" s="155"/>
      <c r="C24" s="186" t="s">
        <v>85</v>
      </c>
      <c r="D24" s="165" t="s">
        <v>83</v>
      </c>
      <c r="E24" s="175"/>
      <c r="F24" s="175"/>
      <c r="G24" s="198"/>
      <c r="H24" s="198"/>
      <c r="I24" s="175"/>
      <c r="J24" s="175"/>
      <c r="K24" s="175"/>
      <c r="L24" s="155"/>
      <c r="M24" s="63"/>
      <c r="N24" s="63"/>
      <c r="O24" s="63"/>
      <c r="P24" s="63"/>
      <c r="Q24" s="63"/>
      <c r="R24" s="63"/>
      <c r="S24" s="63"/>
      <c r="T24" s="63"/>
      <c r="U24" s="64"/>
      <c r="V24" s="17"/>
      <c r="W24" s="17"/>
      <c r="X24" s="17"/>
      <c r="Y24" s="17"/>
      <c r="Z24" s="17"/>
    </row>
    <row r="25" ht="10.5" customHeight="1">
      <c r="A25" s="171"/>
      <c r="B25" s="155"/>
      <c r="C25" s="188" t="s">
        <v>86</v>
      </c>
      <c r="D25" s="197"/>
      <c r="E25" s="155"/>
      <c r="F25" s="155"/>
      <c r="G25" s="155"/>
      <c r="H25" s="155"/>
      <c r="I25" s="155"/>
      <c r="J25" s="155"/>
      <c r="K25" s="155"/>
      <c r="L25" s="155"/>
      <c r="M25" s="63"/>
      <c r="N25" s="63"/>
      <c r="O25" s="63"/>
      <c r="P25" s="63"/>
      <c r="Q25" s="63"/>
      <c r="R25" s="63"/>
      <c r="S25" s="63"/>
      <c r="T25" s="63"/>
      <c r="U25" s="64"/>
      <c r="V25" s="17"/>
      <c r="W25" s="17"/>
      <c r="X25" s="17"/>
      <c r="Y25" s="17"/>
      <c r="Z25" s="17"/>
    </row>
    <row r="26" ht="10.5" customHeight="1">
      <c r="A26" s="171"/>
      <c r="B26" s="155"/>
      <c r="C26" s="198"/>
      <c r="D26" s="197"/>
      <c r="E26" s="155"/>
      <c r="F26" s="155"/>
      <c r="G26" s="155"/>
      <c r="H26" s="155"/>
      <c r="I26" s="155"/>
      <c r="J26" s="155"/>
      <c r="K26" s="155"/>
      <c r="L26" s="155"/>
      <c r="M26" s="63"/>
      <c r="N26" s="63"/>
      <c r="O26" s="63"/>
      <c r="P26" s="63"/>
      <c r="Q26" s="63"/>
      <c r="R26" s="63"/>
      <c r="S26" s="63"/>
      <c r="T26" s="63"/>
      <c r="U26" s="64"/>
      <c r="V26" s="17"/>
      <c r="W26" s="17"/>
      <c r="X26" s="17"/>
      <c r="Y26" s="17"/>
      <c r="Z26" s="17"/>
    </row>
    <row r="27" ht="22.5" customHeight="1">
      <c r="A27" s="171"/>
      <c r="B27" s="155"/>
      <c r="C27" s="199"/>
      <c r="D27" s="155"/>
      <c r="E27" s="200"/>
      <c r="F27" s="200"/>
      <c r="G27" s="155"/>
      <c r="H27" s="155"/>
      <c r="I27" s="201"/>
      <c r="J27" s="201"/>
      <c r="K27" s="155"/>
      <c r="L27" s="155"/>
      <c r="M27" s="63"/>
      <c r="N27" s="63"/>
      <c r="O27" s="63"/>
      <c r="P27" s="63"/>
      <c r="Q27" s="63"/>
      <c r="R27" s="63"/>
      <c r="S27" s="63"/>
      <c r="T27" s="63"/>
      <c r="U27" s="64"/>
      <c r="V27" s="17"/>
      <c r="W27" s="17"/>
      <c r="X27" s="17"/>
      <c r="Y27" s="17"/>
      <c r="Z27" s="17"/>
    </row>
    <row r="28" ht="30.0" customHeight="1">
      <c r="A28" s="171"/>
      <c r="B28" s="155"/>
      <c r="C28" s="202" t="s">
        <v>87</v>
      </c>
      <c r="D28" s="20"/>
      <c r="E28" s="20"/>
      <c r="F28" s="20"/>
      <c r="G28" s="157"/>
      <c r="H28" s="179"/>
      <c r="I28" s="203" t="s">
        <v>88</v>
      </c>
      <c r="J28" s="155"/>
      <c r="K28" s="155"/>
      <c r="L28" s="155"/>
      <c r="M28" s="63"/>
      <c r="N28" s="63"/>
      <c r="O28" s="63"/>
      <c r="P28" s="63"/>
      <c r="Q28" s="63"/>
      <c r="R28" s="63"/>
      <c r="S28" s="63"/>
      <c r="T28" s="63"/>
      <c r="U28" s="64"/>
      <c r="V28" s="17"/>
      <c r="W28" s="17"/>
      <c r="X28" s="17"/>
      <c r="Y28" s="17"/>
      <c r="Z28" s="17"/>
    </row>
    <row r="29" ht="15.0" customHeight="1">
      <c r="A29" s="171"/>
      <c r="B29" s="155"/>
      <c r="C29" s="187" t="s">
        <v>89</v>
      </c>
      <c r="D29" s="20"/>
      <c r="E29" s="20"/>
      <c r="F29" s="20"/>
      <c r="G29" s="157"/>
      <c r="H29" s="204"/>
      <c r="I29" s="155"/>
      <c r="J29" s="155"/>
      <c r="K29" s="155"/>
      <c r="L29" s="155"/>
      <c r="M29" s="63"/>
      <c r="N29" s="63"/>
      <c r="O29" s="63"/>
      <c r="P29" s="63"/>
      <c r="Q29" s="63"/>
      <c r="R29" s="63"/>
      <c r="S29" s="63"/>
      <c r="T29" s="63"/>
      <c r="U29" s="64"/>
      <c r="V29" s="17"/>
      <c r="W29" s="17"/>
      <c r="X29" s="17"/>
      <c r="Y29" s="17"/>
      <c r="Z29" s="17"/>
    </row>
    <row r="30" ht="15.0" customHeight="1">
      <c r="A30" s="171"/>
      <c r="B30" s="155"/>
      <c r="C30" s="205"/>
      <c r="D30" s="20"/>
      <c r="E30" s="20"/>
      <c r="F30" s="20"/>
      <c r="G30" s="157"/>
      <c r="H30" s="206"/>
      <c r="I30" s="206"/>
      <c r="J30" s="206"/>
      <c r="K30" s="155"/>
      <c r="L30" s="155"/>
      <c r="M30" s="63"/>
      <c r="N30" s="63"/>
      <c r="O30" s="63"/>
      <c r="P30" s="63"/>
      <c r="Q30" s="63"/>
      <c r="R30" s="63"/>
      <c r="S30" s="63"/>
      <c r="T30" s="63"/>
      <c r="U30" s="64"/>
      <c r="V30" s="17"/>
      <c r="W30" s="17"/>
      <c r="X30" s="17"/>
      <c r="Y30" s="17"/>
      <c r="Z30" s="17"/>
    </row>
    <row r="31" ht="15.0" customHeight="1">
      <c r="A31" s="171"/>
      <c r="B31" s="155"/>
      <c r="C31" s="207" t="s">
        <v>90</v>
      </c>
      <c r="D31" s="157"/>
      <c r="E31" s="208" t="s">
        <v>91</v>
      </c>
      <c r="F31" s="155"/>
      <c r="G31" s="209" t="s">
        <v>92</v>
      </c>
      <c r="H31" s="210" t="s">
        <v>93</v>
      </c>
      <c r="I31" s="211"/>
      <c r="J31" s="211"/>
      <c r="K31" s="155"/>
      <c r="L31" s="155"/>
      <c r="M31" s="63"/>
      <c r="N31" s="63"/>
      <c r="O31" s="63"/>
      <c r="P31" s="63"/>
      <c r="Q31" s="63"/>
      <c r="R31" s="63"/>
      <c r="S31" s="63"/>
      <c r="T31" s="63"/>
      <c r="U31" s="64"/>
      <c r="V31" s="17"/>
      <c r="W31" s="17"/>
      <c r="X31" s="17"/>
      <c r="Y31" s="17"/>
      <c r="Z31" s="17"/>
    </row>
    <row r="32" ht="15.0" customHeight="1">
      <c r="A32" s="171"/>
      <c r="B32" s="155"/>
      <c r="C32" s="188" t="s">
        <v>94</v>
      </c>
      <c r="D32" s="212"/>
      <c r="E32" s="206"/>
      <c r="F32" s="206"/>
      <c r="G32" s="188" t="s">
        <v>95</v>
      </c>
      <c r="H32" s="206"/>
      <c r="I32" s="206"/>
      <c r="J32" s="206"/>
      <c r="K32" s="206"/>
      <c r="L32" s="155"/>
      <c r="M32" s="63"/>
      <c r="N32" s="63"/>
      <c r="O32" s="63"/>
      <c r="P32" s="63"/>
      <c r="Q32" s="63"/>
      <c r="R32" s="63"/>
      <c r="S32" s="63"/>
      <c r="T32" s="63"/>
      <c r="U32" s="64"/>
      <c r="V32" s="17"/>
      <c r="W32" s="17"/>
      <c r="X32" s="17"/>
      <c r="Y32" s="17"/>
      <c r="Z32" s="17"/>
    </row>
    <row r="33" ht="12.75" customHeight="1">
      <c r="A33" s="171"/>
      <c r="B33" s="155"/>
      <c r="C33" s="155"/>
      <c r="D33" s="155"/>
      <c r="E33" s="155"/>
      <c r="F33" s="155"/>
      <c r="G33" s="155"/>
      <c r="H33" s="155"/>
      <c r="I33" s="155"/>
      <c r="J33" s="155"/>
      <c r="K33" s="155"/>
      <c r="L33" s="155"/>
      <c r="M33" s="63"/>
      <c r="N33" s="63"/>
      <c r="O33" s="63"/>
      <c r="P33" s="63"/>
      <c r="Q33" s="63"/>
      <c r="R33" s="63"/>
      <c r="S33" s="63"/>
      <c r="T33" s="63"/>
      <c r="U33" s="64"/>
      <c r="V33" s="17"/>
      <c r="W33" s="17"/>
      <c r="X33" s="17"/>
      <c r="Y33" s="17"/>
      <c r="Z33" s="17"/>
    </row>
    <row r="34" ht="13.5" customHeight="1">
      <c r="A34" s="171"/>
      <c r="B34" s="155"/>
      <c r="C34" s="182" t="s">
        <v>96</v>
      </c>
      <c r="D34" s="155"/>
      <c r="E34" s="155"/>
      <c r="F34" s="155"/>
      <c r="G34" s="155"/>
      <c r="H34" s="155"/>
      <c r="I34" s="155"/>
      <c r="J34" s="155"/>
      <c r="K34" s="155"/>
      <c r="L34" s="155"/>
      <c r="M34" s="63"/>
      <c r="N34" s="63"/>
      <c r="O34" s="63"/>
      <c r="P34" s="63"/>
      <c r="Q34" s="63"/>
      <c r="R34" s="63"/>
      <c r="S34" s="63"/>
      <c r="T34" s="63"/>
      <c r="U34" s="64"/>
      <c r="V34" s="17"/>
      <c r="W34" s="17"/>
      <c r="X34" s="17"/>
      <c r="Y34" s="17"/>
      <c r="Z34" s="17"/>
    </row>
    <row r="35" ht="13.5" customHeight="1">
      <c r="A35" s="171"/>
      <c r="B35" s="155"/>
      <c r="C35" s="212"/>
      <c r="D35" s="155"/>
      <c r="E35" s="155"/>
      <c r="F35" s="155"/>
      <c r="G35" s="155"/>
      <c r="H35" s="155"/>
      <c r="I35" s="155"/>
      <c r="J35" s="155"/>
      <c r="K35" s="155"/>
      <c r="L35" s="155"/>
      <c r="M35" s="63"/>
      <c r="N35" s="63"/>
      <c r="O35" s="63"/>
      <c r="P35" s="63"/>
      <c r="Q35" s="63"/>
      <c r="R35" s="63"/>
      <c r="S35" s="63"/>
      <c r="T35" s="63"/>
      <c r="U35" s="64"/>
      <c r="V35" s="17"/>
      <c r="W35" s="17"/>
      <c r="X35" s="17"/>
      <c r="Y35" s="17"/>
      <c r="Z35" s="17"/>
    </row>
    <row r="36" ht="13.5" customHeight="1">
      <c r="A36" s="171"/>
      <c r="B36" s="155"/>
      <c r="C36" s="213"/>
      <c r="D36" s="213"/>
      <c r="E36" s="155"/>
      <c r="F36" s="155"/>
      <c r="G36" s="155"/>
      <c r="H36" s="155"/>
      <c r="I36" s="155"/>
      <c r="J36" s="155"/>
      <c r="K36" s="155"/>
      <c r="L36" s="155"/>
      <c r="M36" s="63"/>
      <c r="N36" s="63"/>
      <c r="O36" s="63"/>
      <c r="P36" s="63"/>
      <c r="Q36" s="63"/>
      <c r="R36" s="63"/>
      <c r="S36" s="63"/>
      <c r="T36" s="63"/>
      <c r="U36" s="64"/>
      <c r="V36" s="17"/>
      <c r="W36" s="17"/>
      <c r="X36" s="17"/>
      <c r="Y36" s="17"/>
      <c r="Z36" s="17"/>
    </row>
    <row r="37" ht="12.75" customHeight="1">
      <c r="A37" s="171"/>
      <c r="B37" s="155"/>
      <c r="C37" s="214" t="s">
        <v>97</v>
      </c>
      <c r="D37" s="157"/>
      <c r="E37" s="215" t="s">
        <v>98</v>
      </c>
      <c r="F37" s="157"/>
      <c r="G37" s="216" t="s">
        <v>99</v>
      </c>
      <c r="H37" s="217"/>
      <c r="I37" s="216" t="s">
        <v>100</v>
      </c>
      <c r="J37" s="218"/>
      <c r="K37" s="157"/>
      <c r="L37" s="155"/>
      <c r="M37" s="63"/>
      <c r="N37" s="63"/>
      <c r="O37" s="63"/>
      <c r="P37" s="63"/>
      <c r="Q37" s="63"/>
      <c r="R37" s="63"/>
      <c r="S37" s="63"/>
      <c r="T37" s="63"/>
      <c r="U37" s="64"/>
      <c r="V37" s="17"/>
      <c r="W37" s="17"/>
      <c r="X37" s="17"/>
      <c r="Y37" s="17"/>
      <c r="Z37" s="17"/>
    </row>
    <row r="38" ht="12.75" customHeight="1">
      <c r="A38" s="171"/>
      <c r="B38" s="155"/>
      <c r="C38" s="219"/>
      <c r="D38" s="220" t="s">
        <v>101</v>
      </c>
      <c r="E38" s="221" t="s">
        <v>102</v>
      </c>
      <c r="F38" s="157"/>
      <c r="G38" s="222" t="s">
        <v>103</v>
      </c>
      <c r="H38" s="223"/>
      <c r="I38" s="222" t="s">
        <v>104</v>
      </c>
      <c r="J38" s="224"/>
      <c r="K38" s="157"/>
      <c r="L38" s="155"/>
      <c r="M38" s="63"/>
      <c r="N38" s="63"/>
      <c r="O38" s="63"/>
      <c r="P38" s="63"/>
      <c r="Q38" s="63"/>
      <c r="R38" s="63"/>
      <c r="S38" s="63"/>
      <c r="T38" s="63"/>
      <c r="U38" s="64"/>
      <c r="V38" s="17"/>
      <c r="W38" s="17"/>
      <c r="X38" s="17"/>
      <c r="Y38" s="17"/>
      <c r="Z38" s="17"/>
    </row>
    <row r="39" ht="10.5" customHeight="1">
      <c r="A39" s="171"/>
      <c r="B39" s="155"/>
      <c r="C39" s="155"/>
      <c r="D39" s="155"/>
      <c r="E39" s="155"/>
      <c r="F39" s="155"/>
      <c r="G39" s="155"/>
      <c r="H39" s="155"/>
      <c r="I39" s="155"/>
      <c r="J39" s="225"/>
      <c r="K39" s="157"/>
      <c r="L39" s="155"/>
      <c r="M39" s="63"/>
      <c r="N39" s="63"/>
      <c r="O39" s="63"/>
      <c r="P39" s="63"/>
      <c r="Q39" s="63"/>
      <c r="R39" s="63"/>
      <c r="S39" s="63"/>
      <c r="T39" s="63"/>
      <c r="U39" s="64"/>
      <c r="V39" s="17"/>
      <c r="W39" s="17"/>
      <c r="X39" s="17"/>
      <c r="Y39" s="17"/>
      <c r="Z39" s="17"/>
    </row>
    <row r="40" ht="27.75" customHeight="1">
      <c r="A40" s="171"/>
      <c r="B40" s="226"/>
      <c r="C40" s="226"/>
      <c r="D40" s="227" t="s">
        <v>105</v>
      </c>
      <c r="E40" s="228" t="s">
        <v>106</v>
      </c>
      <c r="F40" s="157"/>
      <c r="G40" s="229">
        <v>46360.0</v>
      </c>
      <c r="H40" s="230"/>
      <c r="I40" s="227" t="s">
        <v>107</v>
      </c>
      <c r="J40" s="231"/>
      <c r="K40" s="155"/>
      <c r="L40" s="155"/>
      <c r="M40" s="63"/>
      <c r="N40" s="63"/>
      <c r="O40" s="63"/>
      <c r="P40" s="63"/>
      <c r="Q40" s="63"/>
      <c r="R40" s="63"/>
      <c r="S40" s="63"/>
      <c r="T40" s="63"/>
      <c r="U40" s="64"/>
      <c r="V40" s="17"/>
      <c r="W40" s="17"/>
      <c r="X40" s="17"/>
      <c r="Y40" s="17"/>
      <c r="Z40" s="17"/>
    </row>
    <row r="41" ht="7.5" customHeight="1">
      <c r="A41" s="171"/>
      <c r="B41" s="155"/>
      <c r="C41" s="232"/>
      <c r="D41" s="233"/>
      <c r="E41" s="234"/>
      <c r="F41" s="157"/>
      <c r="G41" s="229"/>
      <c r="H41" s="230"/>
      <c r="I41" s="233"/>
      <c r="J41" s="155"/>
      <c r="K41" s="155"/>
      <c r="L41" s="155"/>
      <c r="M41" s="63"/>
      <c r="N41" s="63"/>
      <c r="O41" s="63"/>
      <c r="P41" s="63"/>
      <c r="Q41" s="63"/>
      <c r="R41" s="63"/>
      <c r="S41" s="63"/>
      <c r="T41" s="63"/>
      <c r="U41" s="64"/>
      <c r="V41" s="17"/>
      <c r="W41" s="17"/>
      <c r="X41" s="17"/>
      <c r="Y41" s="17"/>
      <c r="Z41" s="17"/>
    </row>
    <row r="42" ht="10.5" customHeight="1">
      <c r="A42" s="171"/>
      <c r="B42" s="155"/>
      <c r="C42" s="235"/>
      <c r="D42" s="235"/>
      <c r="E42" s="235"/>
      <c r="F42" s="236"/>
      <c r="G42" s="237"/>
      <c r="H42" s="237"/>
      <c r="I42" s="235"/>
      <c r="J42" s="238"/>
      <c r="K42" s="238"/>
      <c r="L42" s="155"/>
      <c r="M42" s="63"/>
      <c r="N42" s="63"/>
      <c r="O42" s="63"/>
      <c r="P42" s="63"/>
      <c r="Q42" s="63"/>
      <c r="R42" s="63"/>
      <c r="S42" s="63"/>
      <c r="T42" s="63"/>
      <c r="U42" s="64"/>
      <c r="V42" s="17"/>
      <c r="W42" s="17"/>
      <c r="X42" s="17"/>
      <c r="Y42" s="17"/>
      <c r="Z42" s="17"/>
    </row>
    <row r="43" ht="10.5" customHeight="1">
      <c r="A43" s="171"/>
      <c r="B43" s="155"/>
      <c r="C43" s="235"/>
      <c r="D43" s="235"/>
      <c r="E43" s="235"/>
      <c r="F43" s="236"/>
      <c r="G43" s="237"/>
      <c r="H43" s="237"/>
      <c r="I43" s="235"/>
      <c r="J43" s="238"/>
      <c r="K43" s="238"/>
      <c r="L43" s="155"/>
      <c r="M43" s="63"/>
      <c r="N43" s="63"/>
      <c r="O43" s="63"/>
      <c r="P43" s="63"/>
      <c r="Q43" s="63"/>
      <c r="R43" s="63"/>
      <c r="S43" s="63"/>
      <c r="T43" s="63"/>
      <c r="U43" s="64"/>
      <c r="V43" s="17"/>
      <c r="W43" s="17"/>
      <c r="X43" s="17"/>
      <c r="Y43" s="17"/>
      <c r="Z43" s="17"/>
    </row>
    <row r="44" ht="20.25" customHeight="1">
      <c r="A44" s="171"/>
      <c r="B44" s="155"/>
      <c r="C44" s="239"/>
      <c r="D44" s="155"/>
      <c r="E44" s="155"/>
      <c r="F44" s="155"/>
      <c r="G44" s="233"/>
      <c r="H44" s="233"/>
      <c r="I44" s="155"/>
      <c r="J44" s="155"/>
      <c r="K44" s="155"/>
      <c r="L44" s="155"/>
      <c r="M44" s="63"/>
      <c r="N44" s="63"/>
      <c r="O44" s="63"/>
      <c r="P44" s="63"/>
      <c r="Q44" s="63"/>
      <c r="R44" s="63"/>
      <c r="S44" s="63"/>
      <c r="T44" s="63"/>
      <c r="U44" s="64"/>
      <c r="V44" s="17"/>
      <c r="W44" s="17"/>
      <c r="X44" s="17"/>
      <c r="Y44" s="17"/>
      <c r="Z44" s="17"/>
    </row>
    <row r="45" ht="17.25" customHeight="1">
      <c r="A45" s="171"/>
      <c r="B45" s="155"/>
      <c r="C45" s="199"/>
      <c r="D45" s="240" t="s">
        <v>108</v>
      </c>
      <c r="E45" s="241" t="s">
        <v>109</v>
      </c>
      <c r="F45" s="157"/>
      <c r="G45" s="240" t="s">
        <v>110</v>
      </c>
      <c r="H45" s="242"/>
      <c r="I45" s="155"/>
      <c r="J45" s="155"/>
      <c r="K45" s="155"/>
      <c r="L45" s="155"/>
      <c r="M45" s="63"/>
      <c r="N45" s="243"/>
      <c r="O45" s="63"/>
      <c r="P45" s="63"/>
      <c r="Q45" s="63"/>
      <c r="R45" s="63"/>
      <c r="S45" s="63"/>
      <c r="T45" s="63"/>
      <c r="U45" s="64"/>
      <c r="V45" s="17"/>
      <c r="W45" s="17"/>
      <c r="X45" s="17"/>
      <c r="Y45" s="17"/>
      <c r="Z45" s="17"/>
    </row>
    <row r="46" ht="17.25" customHeight="1">
      <c r="A46" s="171"/>
      <c r="B46" s="155"/>
      <c r="C46" s="244"/>
      <c r="D46" s="245" t="s">
        <v>111</v>
      </c>
      <c r="E46" s="246" t="s">
        <v>112</v>
      </c>
      <c r="F46" s="157"/>
      <c r="G46" s="245" t="s">
        <v>113</v>
      </c>
      <c r="H46" s="247"/>
      <c r="I46" s="199"/>
      <c r="J46" s="155"/>
      <c r="K46" s="155"/>
      <c r="L46" s="155"/>
      <c r="M46" s="63"/>
      <c r="N46" s="63"/>
      <c r="O46" s="63"/>
      <c r="P46" s="63"/>
      <c r="Q46" s="63"/>
      <c r="R46" s="248"/>
      <c r="S46" s="157"/>
      <c r="T46" s="63"/>
      <c r="U46" s="64"/>
      <c r="V46" s="17"/>
      <c r="W46" s="17"/>
      <c r="X46" s="17"/>
      <c r="Y46" s="17"/>
      <c r="Z46" s="17"/>
    </row>
    <row r="47" ht="17.25" customHeight="1">
      <c r="A47" s="171"/>
      <c r="B47" s="155"/>
      <c r="C47" s="199"/>
      <c r="D47" s="200"/>
      <c r="E47" s="249"/>
      <c r="F47" s="249"/>
      <c r="G47" s="242"/>
      <c r="H47" s="242"/>
      <c r="I47" s="199"/>
      <c r="J47" s="155"/>
      <c r="K47" s="155"/>
      <c r="L47" s="155"/>
      <c r="M47" s="63"/>
      <c r="N47" s="63"/>
      <c r="O47" s="63"/>
      <c r="P47" s="63"/>
      <c r="Q47" s="63"/>
      <c r="R47" s="250"/>
      <c r="S47" s="63"/>
      <c r="T47" s="63"/>
      <c r="U47" s="64"/>
      <c r="V47" s="17"/>
      <c r="W47" s="17"/>
      <c r="X47" s="17"/>
      <c r="Y47" s="17"/>
      <c r="Z47" s="17"/>
    </row>
    <row r="48" ht="17.25" customHeight="1">
      <c r="A48" s="171"/>
      <c r="B48" s="251"/>
      <c r="C48" s="157"/>
      <c r="D48" s="240" t="s">
        <v>114</v>
      </c>
      <c r="E48" s="241" t="s">
        <v>115</v>
      </c>
      <c r="F48" s="157"/>
      <c r="G48" s="240" t="s">
        <v>110</v>
      </c>
      <c r="H48" s="242"/>
      <c r="I48" s="155"/>
      <c r="J48" s="155"/>
      <c r="K48" s="155"/>
      <c r="L48" s="155"/>
      <c r="M48" s="63"/>
      <c r="N48" s="63"/>
      <c r="O48" s="63"/>
      <c r="P48" s="63"/>
      <c r="Q48" s="63"/>
      <c r="R48" s="63"/>
      <c r="S48" s="63"/>
      <c r="T48" s="63"/>
      <c r="U48" s="64"/>
      <c r="V48" s="17"/>
      <c r="W48" s="17"/>
      <c r="X48" s="17"/>
      <c r="Y48" s="17"/>
      <c r="Z48" s="17"/>
    </row>
    <row r="49" ht="15.0" customHeight="1">
      <c r="A49" s="150"/>
      <c r="B49" s="155"/>
      <c r="C49" s="244"/>
      <c r="D49" s="245" t="s">
        <v>116</v>
      </c>
      <c r="E49" s="246" t="s">
        <v>117</v>
      </c>
      <c r="F49" s="157"/>
      <c r="G49" s="245" t="s">
        <v>113</v>
      </c>
      <c r="H49" s="247"/>
      <c r="I49" s="199"/>
      <c r="J49" s="155"/>
      <c r="K49" s="155"/>
      <c r="L49" s="155"/>
      <c r="M49" s="63"/>
      <c r="N49" s="63"/>
      <c r="O49" s="63"/>
      <c r="P49" s="63"/>
      <c r="Q49" s="63"/>
      <c r="R49" s="63"/>
      <c r="S49" s="63"/>
      <c r="T49" s="63"/>
      <c r="U49" s="64"/>
      <c r="V49" s="17"/>
      <c r="W49" s="17"/>
      <c r="X49" s="17"/>
      <c r="Y49" s="17"/>
      <c r="Z49" s="17"/>
    </row>
    <row r="50" ht="19.5" customHeight="1">
      <c r="A50" s="150"/>
      <c r="B50" s="151"/>
      <c r="C50" s="151"/>
      <c r="D50" s="151"/>
      <c r="E50" s="151"/>
      <c r="F50" s="151"/>
      <c r="G50" s="151"/>
      <c r="H50" s="151"/>
      <c r="I50" s="151"/>
      <c r="J50" s="151"/>
      <c r="K50" s="155"/>
      <c r="L50" s="155"/>
      <c r="M50" s="63"/>
      <c r="N50" s="63"/>
      <c r="O50" s="63"/>
      <c r="P50" s="63"/>
      <c r="Q50" s="63"/>
      <c r="R50" s="63"/>
      <c r="S50" s="63"/>
      <c r="T50" s="63"/>
      <c r="U50" s="64"/>
      <c r="V50" s="17"/>
      <c r="W50" s="17"/>
      <c r="X50" s="17"/>
      <c r="Y50" s="17"/>
      <c r="Z50" s="17"/>
    </row>
    <row r="51" ht="14.25" customHeight="1">
      <c r="A51" s="150"/>
      <c r="B51" s="252"/>
      <c r="C51" s="20"/>
      <c r="D51" s="20"/>
      <c r="E51" s="20"/>
      <c r="F51" s="20"/>
      <c r="G51" s="20"/>
      <c r="H51" s="20"/>
      <c r="I51" s="20"/>
      <c r="J51" s="20"/>
      <c r="K51" s="157"/>
      <c r="L51" s="155"/>
      <c r="M51" s="63"/>
      <c r="N51" s="63"/>
      <c r="O51" s="63"/>
      <c r="P51" s="63"/>
      <c r="Q51" s="63"/>
      <c r="R51" s="63"/>
      <c r="S51" s="63"/>
      <c r="T51" s="63"/>
      <c r="U51" s="64"/>
      <c r="V51" s="17"/>
      <c r="W51" s="17"/>
      <c r="X51" s="17"/>
      <c r="Y51" s="17"/>
      <c r="Z51" s="17"/>
    </row>
    <row r="52" ht="16.5" customHeight="1">
      <c r="A52" s="150"/>
      <c r="B52" s="252"/>
      <c r="C52" s="20"/>
      <c r="D52" s="20"/>
      <c r="E52" s="20"/>
      <c r="F52" s="20"/>
      <c r="G52" s="20"/>
      <c r="H52" s="20"/>
      <c r="I52" s="20"/>
      <c r="J52" s="20"/>
      <c r="K52" s="157"/>
      <c r="L52" s="155"/>
      <c r="M52" s="63"/>
      <c r="N52" s="63"/>
      <c r="O52" s="63"/>
      <c r="P52" s="63"/>
      <c r="Q52" s="63"/>
      <c r="R52" s="63"/>
      <c r="S52" s="63"/>
      <c r="T52" s="63"/>
      <c r="U52" s="64"/>
      <c r="V52" s="17"/>
      <c r="W52" s="17"/>
      <c r="X52" s="17"/>
      <c r="Y52" s="17"/>
      <c r="Z52" s="17"/>
    </row>
    <row r="53" ht="16.5" customHeight="1">
      <c r="A53" s="150"/>
      <c r="B53" s="252"/>
      <c r="C53" s="20"/>
      <c r="D53" s="20"/>
      <c r="E53" s="20"/>
      <c r="F53" s="20"/>
      <c r="G53" s="20"/>
      <c r="H53" s="20"/>
      <c r="I53" s="20"/>
      <c r="J53" s="20"/>
      <c r="K53" s="157"/>
      <c r="L53" s="155"/>
      <c r="M53" s="63"/>
      <c r="N53" s="63"/>
      <c r="O53" s="63"/>
      <c r="P53" s="63"/>
      <c r="Q53" s="63"/>
      <c r="R53" s="63"/>
      <c r="S53" s="63"/>
      <c r="T53" s="63"/>
      <c r="U53" s="64"/>
      <c r="V53" s="17"/>
      <c r="W53" s="17"/>
      <c r="X53" s="17"/>
      <c r="Y53" s="17"/>
      <c r="Z53" s="17"/>
    </row>
    <row r="54" ht="16.5" customHeight="1">
      <c r="A54" s="150"/>
      <c r="B54" s="252"/>
      <c r="C54" s="20"/>
      <c r="D54" s="20"/>
      <c r="E54" s="20"/>
      <c r="F54" s="20"/>
      <c r="G54" s="20"/>
      <c r="H54" s="20"/>
      <c r="I54" s="20"/>
      <c r="J54" s="20"/>
      <c r="K54" s="157"/>
      <c r="L54" s="155"/>
      <c r="M54" s="63"/>
      <c r="N54" s="63"/>
      <c r="O54" s="63"/>
      <c r="P54" s="63"/>
      <c r="Q54" s="63"/>
      <c r="R54" s="63"/>
      <c r="S54" s="63"/>
      <c r="T54" s="63"/>
      <c r="U54" s="64"/>
      <c r="V54" s="17"/>
      <c r="W54" s="17"/>
      <c r="X54" s="17"/>
      <c r="Y54" s="17"/>
      <c r="Z54" s="17"/>
    </row>
    <row r="55" ht="16.5" customHeight="1">
      <c r="A55" s="150"/>
      <c r="B55" s="253"/>
      <c r="C55" s="20"/>
      <c r="D55" s="20"/>
      <c r="E55" s="20"/>
      <c r="F55" s="20"/>
      <c r="G55" s="20"/>
      <c r="H55" s="20"/>
      <c r="I55" s="20"/>
      <c r="J55" s="20"/>
      <c r="K55" s="157"/>
      <c r="L55" s="155"/>
      <c r="M55" s="63"/>
      <c r="N55" s="63"/>
      <c r="O55" s="63"/>
      <c r="P55" s="63"/>
      <c r="Q55" s="63"/>
      <c r="R55" s="63"/>
      <c r="S55" s="63"/>
      <c r="T55" s="63"/>
      <c r="U55" s="64"/>
      <c r="V55" s="17"/>
      <c r="W55" s="17"/>
      <c r="X55" s="17"/>
      <c r="Y55" s="17"/>
      <c r="Z55" s="17"/>
    </row>
    <row r="56" ht="16.5" customHeight="1">
      <c r="A56" s="150"/>
      <c r="B56" s="252"/>
      <c r="C56" s="20"/>
      <c r="D56" s="20"/>
      <c r="E56" s="20"/>
      <c r="F56" s="20"/>
      <c r="G56" s="20"/>
      <c r="H56" s="20"/>
      <c r="I56" s="20"/>
      <c r="J56" s="20"/>
      <c r="K56" s="157"/>
      <c r="L56" s="155"/>
      <c r="M56" s="63"/>
      <c r="N56" s="63"/>
      <c r="O56" s="63"/>
      <c r="P56" s="63"/>
      <c r="Q56" s="63"/>
      <c r="R56" s="63"/>
      <c r="S56" s="63"/>
      <c r="T56" s="63"/>
      <c r="U56" s="64"/>
      <c r="V56" s="17"/>
      <c r="W56" s="17"/>
      <c r="X56" s="17"/>
      <c r="Y56" s="17"/>
      <c r="Z56" s="17"/>
    </row>
    <row r="57" ht="7.5" customHeight="1">
      <c r="A57" s="254"/>
      <c r="B57" s="155"/>
      <c r="C57" s="151"/>
      <c r="D57" s="151"/>
      <c r="E57" s="151"/>
      <c r="F57" s="151"/>
      <c r="G57" s="151"/>
      <c r="H57" s="151"/>
      <c r="I57" s="151"/>
      <c r="J57" s="151"/>
      <c r="K57" s="151"/>
      <c r="L57" s="155"/>
      <c r="M57" s="63"/>
      <c r="N57" s="63"/>
      <c r="O57" s="63"/>
      <c r="P57" s="63"/>
      <c r="Q57" s="63"/>
      <c r="R57" s="63"/>
      <c r="S57" s="63"/>
      <c r="T57" s="63"/>
      <c r="U57" s="64"/>
      <c r="V57" s="17"/>
      <c r="W57" s="17"/>
      <c r="X57" s="17"/>
      <c r="Y57" s="17"/>
      <c r="Z57" s="17"/>
    </row>
    <row r="58" ht="16.5" customHeight="1">
      <c r="A58" s="254"/>
      <c r="B58" s="155"/>
      <c r="C58" s="151"/>
      <c r="D58" s="151"/>
      <c r="E58" s="151"/>
      <c r="F58" s="151"/>
      <c r="G58" s="151"/>
      <c r="H58" s="151"/>
      <c r="I58" s="151"/>
      <c r="J58" s="151"/>
      <c r="K58" s="151"/>
      <c r="L58" s="155"/>
      <c r="M58" s="63"/>
      <c r="N58" s="63"/>
      <c r="O58" s="63"/>
      <c r="P58" s="63"/>
      <c r="Q58" s="63"/>
      <c r="R58" s="63"/>
      <c r="S58" s="63"/>
      <c r="T58" s="63"/>
      <c r="U58" s="64"/>
      <c r="V58" s="17"/>
      <c r="W58" s="17"/>
      <c r="X58" s="17"/>
      <c r="Y58" s="17"/>
      <c r="Z58" s="17"/>
    </row>
    <row r="59" ht="16.5" customHeight="1">
      <c r="A59" s="254"/>
      <c r="B59" s="155"/>
      <c r="C59" s="151"/>
      <c r="D59" s="151"/>
      <c r="E59" s="151"/>
      <c r="F59" s="151"/>
      <c r="G59" s="151"/>
      <c r="H59" s="151"/>
      <c r="I59" s="151"/>
      <c r="J59" s="151"/>
      <c r="K59" s="151"/>
      <c r="L59" s="155"/>
      <c r="M59" s="63"/>
      <c r="N59" s="63"/>
      <c r="O59" s="63"/>
      <c r="P59" s="63"/>
      <c r="Q59" s="63"/>
      <c r="R59" s="63"/>
      <c r="S59" s="63"/>
      <c r="T59" s="63"/>
      <c r="U59" s="64"/>
      <c r="V59" s="17"/>
      <c r="W59" s="17"/>
      <c r="X59" s="17"/>
      <c r="Y59" s="17"/>
      <c r="Z59" s="17"/>
    </row>
    <row r="60" ht="11.25" customHeight="1">
      <c r="A60" s="254"/>
      <c r="B60" s="155"/>
      <c r="C60" s="255"/>
      <c r="D60" s="249"/>
      <c r="E60" s="249"/>
      <c r="F60" s="249"/>
      <c r="G60" s="256"/>
      <c r="H60" s="256"/>
      <c r="I60" s="249"/>
      <c r="J60" s="257"/>
      <c r="K60" s="155"/>
      <c r="L60" s="155"/>
      <c r="M60" s="63"/>
      <c r="N60" s="63"/>
      <c r="O60" s="63"/>
      <c r="P60" s="63"/>
      <c r="Q60" s="63"/>
      <c r="R60" s="63"/>
      <c r="S60" s="63"/>
      <c r="T60" s="63"/>
      <c r="U60" s="64"/>
      <c r="V60" s="17"/>
      <c r="W60" s="17"/>
      <c r="X60" s="17"/>
      <c r="Y60" s="17"/>
      <c r="Z60" s="17"/>
    </row>
    <row r="61" ht="7.5" hidden="1" customHeight="1">
      <c r="A61" s="254"/>
      <c r="B61" s="63"/>
      <c r="C61" s="258"/>
      <c r="D61" s="259"/>
      <c r="E61" s="259"/>
      <c r="F61" s="259"/>
      <c r="G61" s="260"/>
      <c r="H61" s="260"/>
      <c r="I61" s="259"/>
      <c r="J61" s="261"/>
      <c r="K61" s="63"/>
      <c r="L61" s="63"/>
      <c r="M61" s="63"/>
      <c r="N61" s="63"/>
      <c r="O61" s="63"/>
      <c r="P61" s="63"/>
      <c r="Q61" s="63"/>
      <c r="R61" s="63"/>
      <c r="S61" s="63"/>
      <c r="T61" s="63"/>
      <c r="U61" s="64"/>
      <c r="V61" s="17"/>
      <c r="W61" s="17"/>
      <c r="X61" s="17"/>
      <c r="Y61" s="17"/>
      <c r="Z61" s="17"/>
    </row>
    <row r="62" ht="12.75" customHeight="1">
      <c r="A62" s="254"/>
      <c r="B62" s="63"/>
      <c r="C62" s="63"/>
      <c r="D62" s="63"/>
      <c r="E62" s="63"/>
      <c r="F62" s="63"/>
      <c r="G62" s="63"/>
      <c r="H62" s="63"/>
      <c r="I62" s="63"/>
      <c r="J62" s="63"/>
      <c r="K62" s="63"/>
      <c r="L62" s="63"/>
      <c r="M62" s="63"/>
      <c r="N62" s="63"/>
      <c r="O62" s="63"/>
      <c r="P62" s="63"/>
      <c r="Q62" s="63"/>
      <c r="R62" s="63"/>
      <c r="S62" s="63"/>
      <c r="T62" s="63"/>
      <c r="U62" s="64"/>
      <c r="V62" s="17"/>
      <c r="W62" s="17"/>
      <c r="X62" s="17"/>
      <c r="Y62" s="17"/>
      <c r="Z62" s="17"/>
    </row>
    <row r="63" ht="12.75" customHeight="1">
      <c r="A63" s="254"/>
      <c r="B63" s="63"/>
      <c r="C63" s="63"/>
      <c r="D63" s="63"/>
      <c r="E63" s="63"/>
      <c r="F63" s="63"/>
      <c r="G63" s="63"/>
      <c r="H63" s="63"/>
      <c r="I63" s="63"/>
      <c r="J63" s="262"/>
      <c r="K63" s="63"/>
      <c r="L63" s="63"/>
      <c r="M63" s="63"/>
      <c r="N63" s="63"/>
      <c r="O63" s="63"/>
      <c r="P63" s="63"/>
      <c r="Q63" s="63"/>
      <c r="R63" s="63"/>
      <c r="S63" s="63"/>
      <c r="T63" s="63"/>
      <c r="U63" s="64"/>
      <c r="V63" s="17"/>
      <c r="W63" s="17"/>
      <c r="X63" s="17"/>
      <c r="Y63" s="17"/>
      <c r="Z63" s="17"/>
    </row>
    <row r="64" ht="12.75" customHeight="1">
      <c r="A64" s="263"/>
      <c r="B64" s="142"/>
      <c r="C64" s="142"/>
      <c r="D64" s="142"/>
      <c r="E64" s="142"/>
      <c r="F64" s="142"/>
      <c r="G64" s="142"/>
      <c r="H64" s="142"/>
      <c r="I64" s="264"/>
      <c r="J64" s="142"/>
      <c r="K64" s="142"/>
      <c r="L64" s="142"/>
      <c r="M64" s="142"/>
      <c r="N64" s="142"/>
      <c r="O64" s="142"/>
      <c r="P64" s="142"/>
      <c r="Q64" s="142"/>
      <c r="R64" s="142"/>
      <c r="S64" s="142"/>
      <c r="T64" s="142"/>
      <c r="U64" s="143"/>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37">
    <mergeCell ref="B3:F3"/>
    <mergeCell ref="I3:J3"/>
    <mergeCell ref="B5:B6"/>
    <mergeCell ref="D6:G6"/>
    <mergeCell ref="D7:G7"/>
    <mergeCell ref="D8:G8"/>
    <mergeCell ref="D12:F12"/>
    <mergeCell ref="D14:F14"/>
    <mergeCell ref="D16:F16"/>
    <mergeCell ref="D18:F18"/>
    <mergeCell ref="D19:E19"/>
    <mergeCell ref="D20:F20"/>
    <mergeCell ref="I22:J22"/>
    <mergeCell ref="C28:G28"/>
    <mergeCell ref="C29:G29"/>
    <mergeCell ref="C30:G30"/>
    <mergeCell ref="C31:D31"/>
    <mergeCell ref="C37:D37"/>
    <mergeCell ref="E37:F37"/>
    <mergeCell ref="J37:K37"/>
    <mergeCell ref="E38:F38"/>
    <mergeCell ref="J38:K38"/>
    <mergeCell ref="J39:K39"/>
    <mergeCell ref="E40:F40"/>
    <mergeCell ref="E41:F41"/>
    <mergeCell ref="E45:F45"/>
    <mergeCell ref="E46:F46"/>
    <mergeCell ref="R46:S46"/>
    <mergeCell ref="B55:K55"/>
    <mergeCell ref="B56:K56"/>
    <mergeCell ref="B48:C48"/>
    <mergeCell ref="E48:F48"/>
    <mergeCell ref="E49:F49"/>
    <mergeCell ref="B51:K51"/>
    <mergeCell ref="B52:K52"/>
    <mergeCell ref="B53:K53"/>
    <mergeCell ref="B54:K54"/>
  </mergeCells>
  <conditionalFormatting sqref="B40 C6:C9 C12:D13 C14:I14 C15:F16 C17:D20 C21:F21 C23:K23 C25:D26 C31:C32 C41:E41 D22 D24:K24 D32:K32 D40:E40 E13:F13 E18:F20 E31 G12 G16 G22:H22 G31:K31 G41:I41 H11:I11 H13:I13 H40:J40 I15 J16:K18 K20:K21 K22 U18">
    <cfRule type="cellIs" dxfId="0" priority="1" stopIfTrue="1" operator="equal">
      <formula>0</formula>
    </cfRule>
  </conditionalFormatting>
  <conditionalFormatting sqref="C42:I43 E17:F17 I22:J22 J41:K41 K40">
    <cfRule type="cellIs" dxfId="0" priority="2" stopIfTrue="1" operator="equal">
      <formula>0</formula>
    </cfRule>
  </conditionalFormatting>
  <conditionalFormatting sqref="C42:I43 E17:F17 I22:J22 J41:K41 K40">
    <cfRule type="cellIs" dxfId="0" priority="3" stopIfTrue="1" operator="equal">
      <formula>0</formula>
    </cfRule>
  </conditionalFormatting>
  <conditionalFormatting sqref="G40">
    <cfRule type="expression" dxfId="0" priority="4" stopIfTrue="1">
      <formula>AND(YEAR(TRUE)=YEAR(G40),MONTH(TRUE)=MONTH(G40),DAY(TRUE)=DAY(G40))</formula>
    </cfRule>
  </conditionalFormatting>
  <conditionalFormatting sqref="E46:F47 E49:F49">
    <cfRule type="cellIs" dxfId="0" priority="5" stopIfTrue="1" operator="equal">
      <formula>"sin referencia"</formula>
    </cfRule>
  </conditionalFormatting>
  <conditionalFormatting sqref="E46:F47 E49:F49">
    <cfRule type="cellIs" dxfId="0" priority="6" stopIfTrue="1" operator="equal">
      <formula>0</formula>
    </cfRule>
  </conditionalFormatting>
  <conditionalFormatting sqref="E46:F47 E49:F49">
    <cfRule type="cellIs" dxfId="0" priority="7" stopIfTrue="1" operator="equal">
      <formula>0</formula>
    </cfRule>
  </conditionalFormatting>
  <printOptions/>
  <pageMargins bottom="0.54" footer="0.0" header="0.0" left="0.19685" right="0.19685" top="0.590551"/>
  <pageSetup scale="75" orientation="portrait"/>
  <headerFooter>
    <oddFooter>&amp;R0000FFCertificado Original Metkal     000000O-MK-0285.atG0hm.xlsx</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38"/>
    <col customWidth="1" min="2" max="2" width="10.38"/>
    <col customWidth="1" min="3" max="3" width="13.63"/>
    <col customWidth="1" min="4" max="5" width="9.13"/>
    <col customWidth="1" min="6" max="6" width="5.5"/>
    <col customWidth="1" min="7" max="26" width="9.13"/>
  </cols>
  <sheetData>
    <row r="1" ht="12.75" customHeight="1">
      <c r="A1" s="265"/>
      <c r="B1" s="265"/>
      <c r="C1" s="265"/>
      <c r="D1" s="265"/>
      <c r="E1" s="265"/>
      <c r="F1" s="265"/>
      <c r="G1" s="265"/>
      <c r="H1" s="265"/>
      <c r="I1" s="17"/>
      <c r="J1" s="17"/>
      <c r="K1" s="17"/>
      <c r="L1" s="17"/>
      <c r="M1" s="17"/>
      <c r="N1" s="17"/>
      <c r="O1" s="17"/>
      <c r="P1" s="17"/>
      <c r="Q1" s="17"/>
      <c r="R1" s="17"/>
      <c r="S1" s="17"/>
      <c r="T1" s="17"/>
      <c r="U1" s="17"/>
      <c r="V1" s="17"/>
      <c r="W1" s="17"/>
      <c r="X1" s="17"/>
      <c r="Y1" s="17"/>
      <c r="Z1" s="17"/>
    </row>
    <row r="2" ht="12.75" customHeight="1">
      <c r="A2" s="265"/>
      <c r="B2" s="265"/>
      <c r="C2" s="265"/>
      <c r="D2" s="265"/>
      <c r="E2" s="265"/>
      <c r="F2" s="265"/>
      <c r="G2" s="265"/>
      <c r="H2" s="265"/>
      <c r="I2" s="17"/>
      <c r="J2" s="17"/>
      <c r="K2" s="17"/>
      <c r="L2" s="17"/>
      <c r="M2" s="17"/>
      <c r="N2" s="17"/>
      <c r="O2" s="17"/>
      <c r="P2" s="17"/>
      <c r="Q2" s="17"/>
      <c r="R2" s="17"/>
      <c r="S2" s="17"/>
      <c r="T2" s="17"/>
      <c r="U2" s="17"/>
      <c r="V2" s="17"/>
      <c r="W2" s="17"/>
      <c r="X2" s="17"/>
      <c r="Y2" s="17"/>
      <c r="Z2" s="17"/>
    </row>
    <row r="3" ht="12.75" customHeight="1">
      <c r="A3" s="265"/>
      <c r="B3" s="265"/>
      <c r="C3" s="265"/>
      <c r="D3" s="265"/>
      <c r="E3" s="265"/>
      <c r="F3" s="265"/>
      <c r="G3" s="265"/>
      <c r="H3" s="265"/>
      <c r="I3" s="17"/>
      <c r="J3" s="17"/>
      <c r="K3" s="17"/>
      <c r="L3" s="17"/>
      <c r="M3" s="17"/>
      <c r="N3" s="17"/>
      <c r="O3" s="17"/>
      <c r="P3" s="17"/>
      <c r="Q3" s="17"/>
      <c r="R3" s="17"/>
      <c r="S3" s="17"/>
      <c r="T3" s="17"/>
      <c r="U3" s="17"/>
      <c r="V3" s="17"/>
      <c r="W3" s="17"/>
      <c r="X3" s="17"/>
      <c r="Y3" s="17"/>
      <c r="Z3" s="17"/>
    </row>
    <row r="4" ht="12.75" customHeight="1">
      <c r="A4" s="265"/>
      <c r="B4" s="265"/>
      <c r="C4" s="265"/>
      <c r="D4" s="265"/>
      <c r="E4" s="265"/>
      <c r="F4" s="265"/>
      <c r="G4" s="265"/>
      <c r="H4" s="265"/>
      <c r="I4" s="17"/>
      <c r="J4" s="17"/>
      <c r="K4" s="17"/>
      <c r="L4" s="17"/>
      <c r="M4" s="17"/>
      <c r="N4" s="17"/>
      <c r="O4" s="17"/>
      <c r="P4" s="17"/>
      <c r="Q4" s="17"/>
      <c r="R4" s="17"/>
      <c r="S4" s="17"/>
      <c r="T4" s="17"/>
      <c r="U4" s="17"/>
      <c r="V4" s="17"/>
      <c r="W4" s="17"/>
      <c r="X4" s="17"/>
      <c r="Y4" s="17"/>
      <c r="Z4" s="17"/>
    </row>
    <row r="5" ht="12.75" customHeight="1">
      <c r="A5" s="265"/>
      <c r="B5" s="265"/>
      <c r="C5" s="265"/>
      <c r="D5" s="265"/>
      <c r="E5" s="265"/>
      <c r="F5" s="265"/>
      <c r="G5" s="265"/>
      <c r="H5" s="265"/>
      <c r="I5" s="17"/>
      <c r="J5" s="17"/>
      <c r="K5" s="17"/>
      <c r="L5" s="17"/>
      <c r="M5" s="17"/>
      <c r="N5" s="17"/>
      <c r="O5" s="17"/>
      <c r="P5" s="17"/>
      <c r="Q5" s="17"/>
      <c r="R5" s="17"/>
      <c r="S5" s="17"/>
      <c r="T5" s="17"/>
      <c r="U5" s="17"/>
      <c r="V5" s="17"/>
      <c r="W5" s="17"/>
      <c r="X5" s="17"/>
      <c r="Y5" s="17"/>
      <c r="Z5" s="17"/>
    </row>
    <row r="6" ht="12.75" customHeight="1">
      <c r="A6" s="265"/>
      <c r="B6" s="265"/>
      <c r="C6" s="265"/>
      <c r="D6" s="265"/>
      <c r="E6" s="265"/>
      <c r="F6" s="265"/>
      <c r="G6" s="265"/>
      <c r="H6" s="265"/>
      <c r="I6" s="17"/>
      <c r="J6" s="17"/>
      <c r="K6" s="17"/>
      <c r="L6" s="17"/>
      <c r="M6" s="17"/>
      <c r="N6" s="17"/>
      <c r="O6" s="17"/>
      <c r="P6" s="17"/>
      <c r="Q6" s="17"/>
      <c r="R6" s="17"/>
      <c r="S6" s="17"/>
      <c r="T6" s="17"/>
      <c r="U6" s="17"/>
      <c r="V6" s="17"/>
      <c r="W6" s="17"/>
      <c r="X6" s="17"/>
      <c r="Y6" s="17"/>
      <c r="Z6" s="17"/>
    </row>
    <row r="7" ht="12.75" customHeight="1">
      <c r="A7" s="265"/>
      <c r="B7" s="265"/>
      <c r="C7" s="265"/>
      <c r="D7" s="265"/>
      <c r="E7" s="265"/>
      <c r="F7" s="265"/>
      <c r="G7" s="265"/>
      <c r="H7" s="265"/>
      <c r="I7" s="17"/>
      <c r="J7" s="17"/>
      <c r="K7" s="17"/>
      <c r="L7" s="17"/>
      <c r="M7" s="17"/>
      <c r="N7" s="17"/>
      <c r="O7" s="17"/>
      <c r="P7" s="17"/>
      <c r="Q7" s="17"/>
      <c r="R7" s="17"/>
      <c r="S7" s="17"/>
      <c r="T7" s="17"/>
      <c r="U7" s="17"/>
      <c r="V7" s="17"/>
      <c r="W7" s="17"/>
      <c r="X7" s="17"/>
      <c r="Y7" s="17"/>
      <c r="Z7" s="17"/>
    </row>
    <row r="8" ht="12.75" customHeight="1">
      <c r="A8" s="265"/>
      <c r="B8" s="265"/>
      <c r="C8" s="265"/>
      <c r="D8" s="265"/>
      <c r="E8" s="265"/>
      <c r="F8" s="265"/>
      <c r="G8" s="265"/>
      <c r="H8" s="265"/>
      <c r="I8" s="17"/>
      <c r="J8" s="17"/>
      <c r="K8" s="17"/>
      <c r="L8" s="17"/>
      <c r="M8" s="17"/>
      <c r="N8" s="17"/>
      <c r="O8" s="17"/>
      <c r="P8" s="17"/>
      <c r="Q8" s="17"/>
      <c r="R8" s="17"/>
      <c r="S8" s="17"/>
      <c r="T8" s="17"/>
      <c r="U8" s="17"/>
      <c r="V8" s="17"/>
      <c r="W8" s="17"/>
      <c r="X8" s="17"/>
      <c r="Y8" s="17"/>
      <c r="Z8" s="17"/>
    </row>
    <row r="9" ht="12.75" customHeight="1">
      <c r="A9" s="265"/>
      <c r="B9" s="265"/>
      <c r="C9" s="265"/>
      <c r="D9" s="265"/>
      <c r="E9" s="265"/>
      <c r="F9" s="265"/>
      <c r="G9" s="265"/>
      <c r="H9" s="265"/>
      <c r="I9" s="17"/>
      <c r="J9" s="17"/>
      <c r="K9" s="17"/>
      <c r="L9" s="17"/>
      <c r="M9" s="17"/>
      <c r="N9" s="17"/>
      <c r="O9" s="17"/>
      <c r="P9" s="17"/>
      <c r="Q9" s="17"/>
      <c r="R9" s="17"/>
      <c r="S9" s="17"/>
      <c r="T9" s="17"/>
      <c r="U9" s="17"/>
      <c r="V9" s="17"/>
      <c r="W9" s="17"/>
      <c r="X9" s="17"/>
      <c r="Y9" s="17"/>
      <c r="Z9" s="17"/>
    </row>
    <row r="10" ht="12.75" customHeight="1">
      <c r="A10" s="265"/>
      <c r="B10" s="265"/>
      <c r="C10" s="266"/>
      <c r="D10" s="265"/>
      <c r="E10" s="265"/>
      <c r="F10" s="265"/>
      <c r="G10" s="265"/>
      <c r="H10" s="265"/>
      <c r="I10" s="17"/>
      <c r="J10" s="17"/>
      <c r="K10" s="17"/>
      <c r="L10" s="17"/>
      <c r="M10" s="17"/>
      <c r="N10" s="17"/>
      <c r="O10" s="17"/>
      <c r="P10" s="17"/>
      <c r="Q10" s="17"/>
      <c r="R10" s="17"/>
      <c r="S10" s="17"/>
      <c r="T10" s="17"/>
      <c r="U10" s="17"/>
      <c r="V10" s="17"/>
      <c r="W10" s="17"/>
      <c r="X10" s="17"/>
      <c r="Y10" s="17"/>
      <c r="Z10" s="17"/>
    </row>
    <row r="11" ht="12.75" customHeight="1">
      <c r="A11" s="265"/>
      <c r="B11" s="266"/>
      <c r="C11" s="265"/>
      <c r="D11" s="265"/>
      <c r="E11" s="265"/>
      <c r="F11" s="265"/>
      <c r="G11" s="265"/>
      <c r="H11" s="265"/>
      <c r="I11" s="17"/>
      <c r="J11" s="17"/>
      <c r="K11" s="17"/>
      <c r="L11" s="17"/>
      <c r="M11" s="17"/>
      <c r="N11" s="17"/>
      <c r="O11" s="17"/>
      <c r="P11" s="17"/>
      <c r="Q11" s="17"/>
      <c r="R11" s="17"/>
      <c r="S11" s="17"/>
      <c r="T11" s="17"/>
      <c r="U11" s="17"/>
      <c r="V11" s="17"/>
      <c r="W11" s="17"/>
      <c r="X11" s="17"/>
      <c r="Y11" s="17"/>
      <c r="Z11" s="17"/>
    </row>
    <row r="12" ht="12.75" customHeight="1">
      <c r="A12" s="265"/>
      <c r="B12" s="266"/>
      <c r="C12" s="265"/>
      <c r="D12" s="265"/>
      <c r="E12" s="265"/>
      <c r="F12" s="265"/>
      <c r="G12" s="265"/>
      <c r="H12" s="265"/>
      <c r="I12" s="17"/>
      <c r="J12" s="17"/>
      <c r="K12" s="17"/>
      <c r="L12" s="17"/>
      <c r="M12" s="17"/>
      <c r="N12" s="17"/>
      <c r="O12" s="17"/>
      <c r="P12" s="17"/>
      <c r="Q12" s="17"/>
      <c r="R12" s="17"/>
      <c r="S12" s="17"/>
      <c r="T12" s="17"/>
      <c r="U12" s="17"/>
      <c r="V12" s="17"/>
      <c r="W12" s="17"/>
      <c r="X12" s="17"/>
      <c r="Y12" s="17"/>
      <c r="Z12" s="17"/>
    </row>
    <row r="13" ht="12.75" customHeight="1">
      <c r="A13" s="265"/>
      <c r="B13" s="266"/>
      <c r="C13" s="265"/>
      <c r="D13" s="266"/>
      <c r="E13" s="265"/>
      <c r="F13" s="266"/>
      <c r="G13" s="265"/>
      <c r="H13" s="265"/>
      <c r="I13" s="17"/>
      <c r="J13" s="17"/>
      <c r="K13" s="17"/>
      <c r="L13" s="17"/>
      <c r="M13" s="17"/>
      <c r="N13" s="17"/>
      <c r="O13" s="17"/>
      <c r="P13" s="17"/>
      <c r="Q13" s="17"/>
      <c r="R13" s="17"/>
      <c r="S13" s="17"/>
      <c r="T13" s="17"/>
      <c r="U13" s="17"/>
      <c r="V13" s="17"/>
      <c r="W13" s="17"/>
      <c r="X13" s="17"/>
      <c r="Y13" s="17"/>
      <c r="Z13" s="17"/>
    </row>
    <row r="14" ht="12.75" customHeight="1">
      <c r="A14" s="265"/>
      <c r="B14" s="266"/>
      <c r="C14" s="265"/>
      <c r="D14" s="265"/>
      <c r="E14" s="265"/>
      <c r="F14" s="267"/>
      <c r="G14" s="265"/>
      <c r="H14" s="265"/>
      <c r="I14" s="17"/>
      <c r="J14" s="17"/>
      <c r="K14" s="17"/>
      <c r="L14" s="17"/>
      <c r="M14" s="17"/>
      <c r="N14" s="17"/>
      <c r="O14" s="17"/>
      <c r="P14" s="17"/>
      <c r="Q14" s="17"/>
      <c r="R14" s="17"/>
      <c r="S14" s="17"/>
      <c r="T14" s="17"/>
      <c r="U14" s="17"/>
      <c r="V14" s="17"/>
      <c r="W14" s="17"/>
      <c r="X14" s="17"/>
      <c r="Y14" s="17"/>
      <c r="Z14" s="17"/>
    </row>
    <row r="15" ht="12.75" customHeight="1">
      <c r="A15" s="265"/>
      <c r="B15" s="265"/>
      <c r="C15" s="265"/>
      <c r="D15" s="265"/>
      <c r="E15" s="265"/>
      <c r="F15" s="265"/>
      <c r="G15" s="265"/>
      <c r="H15" s="265"/>
      <c r="I15" s="17"/>
      <c r="J15" s="17"/>
      <c r="K15" s="17"/>
      <c r="L15" s="17"/>
      <c r="M15" s="17"/>
      <c r="N15" s="17"/>
      <c r="O15" s="17"/>
      <c r="P15" s="17"/>
      <c r="Q15" s="17"/>
      <c r="R15" s="17"/>
      <c r="S15" s="17"/>
      <c r="T15" s="17"/>
      <c r="U15" s="17"/>
      <c r="V15" s="17"/>
      <c r="W15" s="17"/>
      <c r="X15" s="17"/>
      <c r="Y15" s="17"/>
      <c r="Z15" s="17"/>
    </row>
    <row r="16" ht="12.75" customHeight="1">
      <c r="A16" s="265"/>
      <c r="B16" s="266"/>
      <c r="C16" s="265"/>
      <c r="D16" s="265"/>
      <c r="E16" s="265"/>
      <c r="F16" s="265"/>
      <c r="G16" s="265"/>
      <c r="H16" s="265"/>
      <c r="I16" s="17"/>
      <c r="J16" s="17"/>
      <c r="K16" s="17"/>
      <c r="L16" s="17"/>
      <c r="M16" s="17"/>
      <c r="N16" s="17"/>
      <c r="O16" s="17"/>
      <c r="P16" s="17"/>
      <c r="Q16" s="17"/>
      <c r="R16" s="17"/>
      <c r="S16" s="17"/>
      <c r="T16" s="17"/>
      <c r="U16" s="17"/>
      <c r="V16" s="17"/>
      <c r="W16" s="17"/>
      <c r="X16" s="17"/>
      <c r="Y16" s="17"/>
      <c r="Z16" s="17"/>
    </row>
    <row r="17" ht="18.0" customHeight="1">
      <c r="A17" s="265"/>
      <c r="B17" s="266"/>
      <c r="C17" s="265"/>
      <c r="D17" s="265"/>
      <c r="E17" s="265"/>
      <c r="F17" s="265"/>
      <c r="G17" s="265"/>
      <c r="H17" s="265"/>
      <c r="I17" s="17"/>
      <c r="J17" s="17"/>
      <c r="K17" s="17"/>
      <c r="L17" s="17"/>
      <c r="M17" s="17"/>
      <c r="N17" s="17"/>
      <c r="O17" s="17"/>
      <c r="P17" s="17"/>
      <c r="Q17" s="17"/>
      <c r="R17" s="17"/>
      <c r="S17" s="17"/>
      <c r="T17" s="17"/>
      <c r="U17" s="17"/>
      <c r="V17" s="17"/>
      <c r="W17" s="17"/>
      <c r="X17" s="17"/>
      <c r="Y17" s="17"/>
      <c r="Z17" s="17"/>
    </row>
    <row r="18" ht="12.75" customHeight="1">
      <c r="A18" s="265"/>
      <c r="B18" s="265"/>
      <c r="C18" s="266"/>
      <c r="D18" s="265"/>
      <c r="E18" s="265"/>
      <c r="F18" s="265"/>
      <c r="G18" s="265"/>
      <c r="H18" s="265"/>
      <c r="I18" s="17"/>
      <c r="J18" s="17"/>
      <c r="K18" s="17"/>
      <c r="L18" s="17"/>
      <c r="M18" s="17"/>
      <c r="N18" s="17"/>
      <c r="O18" s="17"/>
      <c r="P18" s="17"/>
      <c r="Q18" s="17"/>
      <c r="R18" s="17"/>
      <c r="S18" s="17"/>
      <c r="T18" s="17"/>
      <c r="U18" s="17"/>
      <c r="V18" s="17"/>
      <c r="W18" s="17"/>
      <c r="X18" s="17"/>
      <c r="Y18" s="17"/>
      <c r="Z18" s="17"/>
    </row>
    <row r="19" ht="12.75" customHeight="1">
      <c r="A19" s="265"/>
      <c r="B19" s="266"/>
      <c r="C19" s="265"/>
      <c r="D19" s="265"/>
      <c r="E19" s="265"/>
      <c r="F19" s="267"/>
      <c r="G19" s="265"/>
      <c r="H19" s="265"/>
      <c r="I19" s="17"/>
      <c r="J19" s="17"/>
      <c r="K19" s="17"/>
      <c r="L19" s="17"/>
      <c r="M19" s="17"/>
      <c r="N19" s="17"/>
      <c r="O19" s="17"/>
      <c r="P19" s="17"/>
      <c r="Q19" s="17"/>
      <c r="R19" s="17"/>
      <c r="S19" s="17"/>
      <c r="T19" s="17"/>
      <c r="U19" s="17"/>
      <c r="V19" s="17"/>
      <c r="W19" s="17"/>
      <c r="X19" s="17"/>
      <c r="Y19" s="17"/>
      <c r="Z19" s="17"/>
    </row>
    <row r="20" ht="12.75" customHeight="1">
      <c r="A20" s="265"/>
      <c r="B20" s="266"/>
      <c r="C20" s="265"/>
      <c r="D20" s="265"/>
      <c r="E20" s="265"/>
      <c r="F20" s="267"/>
      <c r="G20" s="268"/>
      <c r="H20" s="265"/>
      <c r="I20" s="17"/>
      <c r="J20" s="17"/>
      <c r="K20" s="17"/>
      <c r="L20" s="17"/>
      <c r="M20" s="17"/>
      <c r="N20" s="17"/>
      <c r="O20" s="17"/>
      <c r="P20" s="17"/>
      <c r="Q20" s="17"/>
      <c r="R20" s="17"/>
      <c r="S20" s="17"/>
      <c r="T20" s="17"/>
      <c r="U20" s="17"/>
      <c r="V20" s="17"/>
      <c r="W20" s="17"/>
      <c r="X20" s="17"/>
      <c r="Y20" s="17"/>
      <c r="Z20" s="17"/>
    </row>
    <row r="21" ht="12.75" customHeight="1">
      <c r="A21" s="265"/>
      <c r="B21" s="266"/>
      <c r="C21" s="265"/>
      <c r="D21" s="265"/>
      <c r="E21" s="265"/>
      <c r="F21" s="265"/>
      <c r="G21" s="265"/>
      <c r="H21" s="265"/>
      <c r="I21" s="17"/>
      <c r="J21" s="17"/>
      <c r="K21" s="17"/>
      <c r="L21" s="17"/>
      <c r="M21" s="17"/>
      <c r="N21" s="17"/>
      <c r="O21" s="17"/>
      <c r="P21" s="17"/>
      <c r="Q21" s="17"/>
      <c r="R21" s="17"/>
      <c r="S21" s="17"/>
      <c r="T21" s="17"/>
      <c r="U21" s="17"/>
      <c r="V21" s="17"/>
      <c r="W21" s="17"/>
      <c r="X21" s="17"/>
      <c r="Y21" s="17"/>
      <c r="Z21" s="17"/>
    </row>
    <row r="22" ht="12.75" customHeight="1">
      <c r="A22" s="265"/>
      <c r="B22" s="266"/>
      <c r="C22" s="265"/>
      <c r="D22" s="265"/>
      <c r="E22" s="265"/>
      <c r="F22" s="265"/>
      <c r="G22" s="265"/>
      <c r="H22" s="265"/>
      <c r="I22" s="17"/>
      <c r="J22" s="17"/>
      <c r="K22" s="17"/>
      <c r="L22" s="17"/>
      <c r="M22" s="17"/>
      <c r="N22" s="17"/>
      <c r="O22" s="17"/>
      <c r="P22" s="17"/>
      <c r="Q22" s="17"/>
      <c r="R22" s="17"/>
      <c r="S22" s="17"/>
      <c r="T22" s="17"/>
      <c r="U22" s="17"/>
      <c r="V22" s="17"/>
      <c r="W22" s="17"/>
      <c r="X22" s="17"/>
      <c r="Y22" s="17"/>
      <c r="Z22" s="17"/>
    </row>
    <row r="23" ht="12.75" customHeight="1">
      <c r="A23" s="265"/>
      <c r="B23" s="266"/>
      <c r="C23" s="265"/>
      <c r="D23" s="265"/>
      <c r="E23" s="265"/>
      <c r="F23" s="265"/>
      <c r="G23" s="265"/>
      <c r="H23" s="265"/>
      <c r="I23" s="17"/>
      <c r="J23" s="17"/>
      <c r="K23" s="17"/>
      <c r="L23" s="17"/>
      <c r="M23" s="17"/>
      <c r="N23" s="17"/>
      <c r="O23" s="17"/>
      <c r="P23" s="17"/>
      <c r="Q23" s="17"/>
      <c r="R23" s="17"/>
      <c r="S23" s="17"/>
      <c r="T23" s="17"/>
      <c r="U23" s="17"/>
      <c r="V23" s="17"/>
      <c r="W23" s="17"/>
      <c r="X23" s="17"/>
      <c r="Y23" s="17"/>
      <c r="Z23" s="17"/>
    </row>
    <row r="24" ht="12.75" customHeight="1">
      <c r="A24" s="265"/>
      <c r="B24" s="265"/>
      <c r="C24" s="265"/>
      <c r="D24" s="265"/>
      <c r="E24" s="265"/>
      <c r="F24" s="265"/>
      <c r="G24" s="265"/>
      <c r="H24" s="265"/>
      <c r="I24" s="17"/>
      <c r="J24" s="17"/>
      <c r="K24" s="17"/>
      <c r="L24" s="17"/>
      <c r="M24" s="17"/>
      <c r="N24" s="17"/>
      <c r="O24" s="17"/>
      <c r="P24" s="17"/>
      <c r="Q24" s="17"/>
      <c r="R24" s="17"/>
      <c r="S24" s="17"/>
      <c r="T24" s="17"/>
      <c r="U24" s="17"/>
      <c r="V24" s="17"/>
      <c r="W24" s="17"/>
      <c r="X24" s="17"/>
      <c r="Y24" s="17"/>
      <c r="Z24" s="17"/>
    </row>
    <row r="25" ht="12.75" customHeight="1">
      <c r="A25" s="265"/>
      <c r="B25" s="266"/>
      <c r="C25" s="265"/>
      <c r="D25" s="265"/>
      <c r="E25" s="265"/>
      <c r="F25" s="265"/>
      <c r="G25" s="265"/>
      <c r="H25" s="265"/>
      <c r="I25" s="17"/>
      <c r="J25" s="17"/>
      <c r="K25" s="17"/>
      <c r="L25" s="17"/>
      <c r="M25" s="17"/>
      <c r="N25" s="17"/>
      <c r="O25" s="17"/>
      <c r="P25" s="17"/>
      <c r="Q25" s="17"/>
      <c r="R25" s="17"/>
      <c r="S25" s="17"/>
      <c r="T25" s="17"/>
      <c r="U25" s="17"/>
      <c r="V25" s="17"/>
      <c r="W25" s="17"/>
      <c r="X25" s="17"/>
      <c r="Y25" s="17"/>
      <c r="Z25" s="17"/>
    </row>
    <row r="26" ht="12.75" customHeight="1">
      <c r="A26" s="265"/>
      <c r="B26" s="266"/>
      <c r="C26" s="265"/>
      <c r="D26" s="265"/>
      <c r="E26" s="265"/>
      <c r="F26" s="265"/>
      <c r="G26" s="265"/>
      <c r="H26" s="265"/>
      <c r="I26" s="17"/>
      <c r="J26" s="17"/>
      <c r="K26" s="17"/>
      <c r="L26" s="17"/>
      <c r="M26" s="17"/>
      <c r="N26" s="17"/>
      <c r="O26" s="17"/>
      <c r="P26" s="17"/>
      <c r="Q26" s="17"/>
      <c r="R26" s="17"/>
      <c r="S26" s="17"/>
      <c r="T26" s="17"/>
      <c r="U26" s="17"/>
      <c r="V26" s="17"/>
      <c r="W26" s="17"/>
      <c r="X26" s="17"/>
      <c r="Y26" s="17"/>
      <c r="Z26" s="17"/>
    </row>
    <row r="27" ht="12.75" customHeight="1">
      <c r="A27" s="265"/>
      <c r="B27" s="265"/>
      <c r="C27" s="265"/>
      <c r="D27" s="265"/>
      <c r="E27" s="265"/>
      <c r="F27" s="265"/>
      <c r="G27" s="265"/>
      <c r="H27" s="265"/>
      <c r="I27" s="17"/>
      <c r="J27" s="17"/>
      <c r="K27" s="17"/>
      <c r="L27" s="17"/>
      <c r="M27" s="17"/>
      <c r="N27" s="17"/>
      <c r="O27" s="17"/>
      <c r="P27" s="17"/>
      <c r="Q27" s="17"/>
      <c r="R27" s="17"/>
      <c r="S27" s="17"/>
      <c r="T27" s="17"/>
      <c r="U27" s="17"/>
      <c r="V27" s="17"/>
      <c r="W27" s="17"/>
      <c r="X27" s="17"/>
      <c r="Y27" s="17"/>
      <c r="Z27" s="17"/>
    </row>
    <row r="28" ht="12.75" customHeight="1">
      <c r="A28" s="265"/>
      <c r="B28" s="265"/>
      <c r="C28" s="265"/>
      <c r="D28" s="265"/>
      <c r="E28" s="265"/>
      <c r="F28" s="265"/>
      <c r="G28" s="265"/>
      <c r="H28" s="265"/>
      <c r="I28" s="17"/>
      <c r="J28" s="17"/>
      <c r="K28" s="17"/>
      <c r="L28" s="17"/>
      <c r="M28" s="17"/>
      <c r="N28" s="17"/>
      <c r="O28" s="17"/>
      <c r="P28" s="17"/>
      <c r="Q28" s="17"/>
      <c r="R28" s="17"/>
      <c r="S28" s="17"/>
      <c r="T28" s="17"/>
      <c r="U28" s="17"/>
      <c r="V28" s="17"/>
      <c r="W28" s="17"/>
      <c r="X28" s="17"/>
      <c r="Y28" s="17"/>
      <c r="Z28" s="17"/>
    </row>
    <row r="29" ht="12.75" customHeight="1">
      <c r="A29" s="265"/>
      <c r="B29" s="265"/>
      <c r="C29" s="265"/>
      <c r="D29" s="265"/>
      <c r="E29" s="265"/>
      <c r="F29" s="265"/>
      <c r="G29" s="265"/>
      <c r="H29" s="265"/>
      <c r="I29" s="17"/>
      <c r="J29" s="17"/>
      <c r="K29" s="17"/>
      <c r="L29" s="17"/>
      <c r="M29" s="17"/>
      <c r="N29" s="17"/>
      <c r="O29" s="17"/>
      <c r="P29" s="17"/>
      <c r="Q29" s="17"/>
      <c r="R29" s="17"/>
      <c r="S29" s="17"/>
      <c r="T29" s="17"/>
      <c r="U29" s="17"/>
      <c r="V29" s="17"/>
      <c r="W29" s="17"/>
      <c r="X29" s="17"/>
      <c r="Y29" s="17"/>
      <c r="Z29" s="17"/>
    </row>
    <row r="30" ht="12.75" customHeight="1">
      <c r="A30" s="265"/>
      <c r="B30" s="265"/>
      <c r="C30" s="265"/>
      <c r="D30" s="265"/>
      <c r="E30" s="265"/>
      <c r="F30" s="265"/>
      <c r="G30" s="265"/>
      <c r="H30" s="265"/>
      <c r="I30" s="17"/>
      <c r="J30" s="17"/>
      <c r="K30" s="17"/>
      <c r="L30" s="17"/>
      <c r="M30" s="17"/>
      <c r="N30" s="17"/>
      <c r="O30" s="17"/>
      <c r="P30" s="17"/>
      <c r="Q30" s="17"/>
      <c r="R30" s="17"/>
      <c r="S30" s="17"/>
      <c r="T30" s="17"/>
      <c r="U30" s="17"/>
      <c r="V30" s="17"/>
      <c r="W30" s="17"/>
      <c r="X30" s="17"/>
      <c r="Y30" s="17"/>
      <c r="Z30" s="17"/>
    </row>
    <row r="31" ht="12.75" customHeight="1">
      <c r="A31" s="265"/>
      <c r="B31" s="265"/>
      <c r="C31" s="265"/>
      <c r="D31" s="265"/>
      <c r="E31" s="265"/>
      <c r="F31" s="265"/>
      <c r="G31" s="265"/>
      <c r="H31" s="265"/>
      <c r="I31" s="17"/>
      <c r="J31" s="17"/>
      <c r="K31" s="17"/>
      <c r="L31" s="17"/>
      <c r="M31" s="17"/>
      <c r="N31" s="17"/>
      <c r="O31" s="17"/>
      <c r="P31" s="17"/>
      <c r="Q31" s="17"/>
      <c r="R31" s="17"/>
      <c r="S31" s="17"/>
      <c r="T31" s="17"/>
      <c r="U31" s="17"/>
      <c r="V31" s="17"/>
      <c r="W31" s="17"/>
      <c r="X31" s="17"/>
      <c r="Y31" s="17"/>
      <c r="Z31" s="17"/>
    </row>
    <row r="32" ht="12.75" customHeight="1">
      <c r="A32" s="265"/>
      <c r="B32" s="265"/>
      <c r="C32" s="265"/>
      <c r="D32" s="265"/>
      <c r="E32" s="265"/>
      <c r="F32" s="265"/>
      <c r="G32" s="265"/>
      <c r="H32" s="265"/>
      <c r="I32" s="17"/>
      <c r="J32" s="17"/>
      <c r="K32" s="17"/>
      <c r="L32" s="17"/>
      <c r="M32" s="17"/>
      <c r="N32" s="17"/>
      <c r="O32" s="17"/>
      <c r="P32" s="17"/>
      <c r="Q32" s="17"/>
      <c r="R32" s="17"/>
      <c r="S32" s="17"/>
      <c r="T32" s="17"/>
      <c r="U32" s="17"/>
      <c r="V32" s="17"/>
      <c r="W32" s="17"/>
      <c r="X32" s="17"/>
      <c r="Y32" s="17"/>
      <c r="Z32" s="17"/>
    </row>
    <row r="33" ht="12.75" customHeight="1">
      <c r="A33" s="265"/>
      <c r="B33" s="265"/>
      <c r="C33" s="265"/>
      <c r="D33" s="265"/>
      <c r="E33" s="265"/>
      <c r="F33" s="265"/>
      <c r="G33" s="265"/>
      <c r="H33" s="265"/>
      <c r="I33" s="17"/>
      <c r="J33" s="17"/>
      <c r="K33" s="17"/>
      <c r="L33" s="17"/>
      <c r="M33" s="17"/>
      <c r="N33" s="17"/>
      <c r="O33" s="17"/>
      <c r="P33" s="17"/>
      <c r="Q33" s="17"/>
      <c r="R33" s="17"/>
      <c r="S33" s="17"/>
      <c r="T33" s="17"/>
      <c r="U33" s="17"/>
      <c r="V33" s="17"/>
      <c r="W33" s="17"/>
      <c r="X33" s="17"/>
      <c r="Y33" s="17"/>
      <c r="Z33" s="17"/>
    </row>
    <row r="34" ht="12.75" customHeight="1">
      <c r="A34" s="265"/>
      <c r="B34" s="265"/>
      <c r="C34" s="265"/>
      <c r="D34" s="265"/>
      <c r="E34" s="265"/>
      <c r="F34" s="265"/>
      <c r="G34" s="265"/>
      <c r="H34" s="265"/>
      <c r="I34" s="17"/>
      <c r="J34" s="17"/>
      <c r="K34" s="17"/>
      <c r="L34" s="17"/>
      <c r="M34" s="17"/>
      <c r="N34" s="17"/>
      <c r="O34" s="17"/>
      <c r="P34" s="17"/>
      <c r="Q34" s="17"/>
      <c r="R34" s="17"/>
      <c r="S34" s="17"/>
      <c r="T34" s="17"/>
      <c r="U34" s="17"/>
      <c r="V34" s="17"/>
      <c r="W34" s="17"/>
      <c r="X34" s="17"/>
      <c r="Y34" s="17"/>
      <c r="Z34" s="17"/>
    </row>
    <row r="35" ht="12.75" customHeight="1">
      <c r="A35" s="265"/>
      <c r="B35" s="265"/>
      <c r="C35" s="265"/>
      <c r="D35" s="265"/>
      <c r="E35" s="265"/>
      <c r="F35" s="265"/>
      <c r="G35" s="265"/>
      <c r="H35" s="265"/>
      <c r="I35" s="17"/>
      <c r="J35" s="17"/>
      <c r="K35" s="17"/>
      <c r="L35" s="17"/>
      <c r="M35" s="17"/>
      <c r="N35" s="17"/>
      <c r="O35" s="17"/>
      <c r="P35" s="17"/>
      <c r="Q35" s="17"/>
      <c r="R35" s="17"/>
      <c r="S35" s="17"/>
      <c r="T35" s="17"/>
      <c r="U35" s="17"/>
      <c r="V35" s="17"/>
      <c r="W35" s="17"/>
      <c r="X35" s="17"/>
      <c r="Y35" s="17"/>
      <c r="Z35" s="17"/>
    </row>
    <row r="36" ht="12.75" customHeight="1">
      <c r="A36" s="265"/>
      <c r="B36" s="265"/>
      <c r="C36" s="265"/>
      <c r="D36" s="265"/>
      <c r="E36" s="265"/>
      <c r="F36" s="265"/>
      <c r="G36" s="265"/>
      <c r="H36" s="265"/>
      <c r="I36" s="17"/>
      <c r="J36" s="17"/>
      <c r="K36" s="17"/>
      <c r="L36" s="17"/>
      <c r="M36" s="17"/>
      <c r="N36" s="17"/>
      <c r="O36" s="17"/>
      <c r="P36" s="17"/>
      <c r="Q36" s="17"/>
      <c r="R36" s="17"/>
      <c r="S36" s="17"/>
      <c r="T36" s="17"/>
      <c r="U36" s="17"/>
      <c r="V36" s="17"/>
      <c r="W36" s="17"/>
      <c r="X36" s="17"/>
      <c r="Y36" s="17"/>
      <c r="Z36" s="17"/>
    </row>
    <row r="37" ht="12.75" customHeight="1">
      <c r="A37" s="265"/>
      <c r="B37" s="265"/>
      <c r="C37" s="265"/>
      <c r="D37" s="265"/>
      <c r="E37" s="265"/>
      <c r="F37" s="265"/>
      <c r="G37" s="265"/>
      <c r="H37" s="265"/>
      <c r="I37" s="17"/>
      <c r="J37" s="17"/>
      <c r="K37" s="17"/>
      <c r="L37" s="17"/>
      <c r="M37" s="17"/>
      <c r="N37" s="17"/>
      <c r="O37" s="17"/>
      <c r="P37" s="17"/>
      <c r="Q37" s="17"/>
      <c r="R37" s="17"/>
      <c r="S37" s="17"/>
      <c r="T37" s="17"/>
      <c r="U37" s="17"/>
      <c r="V37" s="17"/>
      <c r="W37" s="17"/>
      <c r="X37" s="17"/>
      <c r="Y37" s="17"/>
      <c r="Z37" s="17"/>
    </row>
    <row r="38" ht="12.75" customHeight="1">
      <c r="A38" s="265"/>
      <c r="B38" s="265"/>
      <c r="C38" s="265"/>
      <c r="D38" s="265"/>
      <c r="E38" s="265"/>
      <c r="F38" s="265"/>
      <c r="G38" s="265"/>
      <c r="H38" s="265"/>
      <c r="I38" s="17"/>
      <c r="J38" s="17"/>
      <c r="K38" s="17"/>
      <c r="L38" s="17"/>
      <c r="M38" s="17"/>
      <c r="N38" s="17"/>
      <c r="O38" s="17"/>
      <c r="P38" s="17"/>
      <c r="Q38" s="17"/>
      <c r="R38" s="17"/>
      <c r="S38" s="17"/>
      <c r="T38" s="17"/>
      <c r="U38" s="17"/>
      <c r="V38" s="17"/>
      <c r="W38" s="17"/>
      <c r="X38" s="17"/>
      <c r="Y38" s="17"/>
      <c r="Z38" s="17"/>
    </row>
    <row r="39" ht="12.75" customHeight="1">
      <c r="A39" s="265"/>
      <c r="B39" s="265"/>
      <c r="C39" s="265"/>
      <c r="D39" s="265"/>
      <c r="E39" s="265"/>
      <c r="F39" s="265"/>
      <c r="G39" s="265"/>
      <c r="H39" s="265"/>
      <c r="I39" s="17"/>
      <c r="J39" s="17"/>
      <c r="K39" s="17"/>
      <c r="L39" s="17"/>
      <c r="M39" s="17"/>
      <c r="N39" s="17"/>
      <c r="O39" s="17"/>
      <c r="P39" s="17"/>
      <c r="Q39" s="17"/>
      <c r="R39" s="17"/>
      <c r="S39" s="17"/>
      <c r="T39" s="17"/>
      <c r="U39" s="17"/>
      <c r="V39" s="17"/>
      <c r="W39" s="17"/>
      <c r="X39" s="17"/>
      <c r="Y39" s="17"/>
      <c r="Z39" s="17"/>
    </row>
    <row r="40" ht="12.75" customHeight="1">
      <c r="A40" s="265"/>
      <c r="B40" s="265"/>
      <c r="C40" s="265"/>
      <c r="D40" s="265"/>
      <c r="E40" s="265"/>
      <c r="F40" s="265"/>
      <c r="G40" s="265"/>
      <c r="H40" s="265"/>
      <c r="I40" s="17"/>
      <c r="J40" s="17"/>
      <c r="K40" s="17"/>
      <c r="L40" s="17"/>
      <c r="M40" s="17"/>
      <c r="N40" s="17"/>
      <c r="O40" s="17"/>
      <c r="P40" s="17"/>
      <c r="Q40" s="17"/>
      <c r="R40" s="17"/>
      <c r="S40" s="17"/>
      <c r="T40" s="17"/>
      <c r="U40" s="17"/>
      <c r="V40" s="17"/>
      <c r="W40" s="17"/>
      <c r="X40" s="17"/>
      <c r="Y40" s="17"/>
      <c r="Z40" s="17"/>
    </row>
    <row r="41" ht="12.75" customHeight="1">
      <c r="A41" s="265"/>
      <c r="B41" s="265"/>
      <c r="C41" s="265"/>
      <c r="D41" s="265"/>
      <c r="E41" s="265"/>
      <c r="F41" s="265"/>
      <c r="G41" s="265"/>
      <c r="H41" s="265"/>
      <c r="I41" s="17"/>
      <c r="J41" s="17"/>
      <c r="K41" s="17"/>
      <c r="L41" s="17"/>
      <c r="M41" s="17"/>
      <c r="N41" s="17"/>
      <c r="O41" s="17"/>
      <c r="P41" s="17"/>
      <c r="Q41" s="17"/>
      <c r="R41" s="17"/>
      <c r="S41" s="17"/>
      <c r="T41" s="17"/>
      <c r="U41" s="17"/>
      <c r="V41" s="17"/>
      <c r="W41" s="17"/>
      <c r="X41" s="17"/>
      <c r="Y41" s="17"/>
      <c r="Z41" s="17"/>
    </row>
    <row r="42" ht="12.75" customHeight="1">
      <c r="A42" s="265"/>
      <c r="B42" s="265"/>
      <c r="C42" s="265"/>
      <c r="D42" s="265"/>
      <c r="E42" s="265"/>
      <c r="F42" s="265"/>
      <c r="G42" s="265"/>
      <c r="H42" s="265"/>
      <c r="I42" s="17"/>
      <c r="J42" s="17"/>
      <c r="K42" s="17"/>
      <c r="L42" s="17"/>
      <c r="M42" s="17"/>
      <c r="N42" s="17"/>
      <c r="O42" s="17"/>
      <c r="P42" s="17"/>
      <c r="Q42" s="17"/>
      <c r="R42" s="17"/>
      <c r="S42" s="17"/>
      <c r="T42" s="17"/>
      <c r="U42" s="17"/>
      <c r="V42" s="17"/>
      <c r="W42" s="17"/>
      <c r="X42" s="17"/>
      <c r="Y42" s="17"/>
      <c r="Z42" s="17"/>
    </row>
    <row r="43" ht="12.75" customHeight="1">
      <c r="A43" s="265"/>
      <c r="B43" s="265"/>
      <c r="C43" s="265"/>
      <c r="D43" s="265"/>
      <c r="E43" s="265"/>
      <c r="F43" s="265"/>
      <c r="G43" s="265"/>
      <c r="H43" s="265"/>
      <c r="I43" s="17"/>
      <c r="J43" s="17"/>
      <c r="K43" s="17"/>
      <c r="L43" s="17"/>
      <c r="M43" s="17"/>
      <c r="N43" s="17"/>
      <c r="O43" s="17"/>
      <c r="P43" s="17"/>
      <c r="Q43" s="17"/>
      <c r="R43" s="17"/>
      <c r="S43" s="17"/>
      <c r="T43" s="17"/>
      <c r="U43" s="17"/>
      <c r="V43" s="17"/>
      <c r="W43" s="17"/>
      <c r="X43" s="17"/>
      <c r="Y43" s="17"/>
      <c r="Z43" s="17"/>
    </row>
    <row r="44" ht="12.75" customHeight="1">
      <c r="A44" s="265"/>
      <c r="B44" s="265"/>
      <c r="C44" s="265"/>
      <c r="D44" s="265"/>
      <c r="E44" s="265"/>
      <c r="F44" s="265"/>
      <c r="G44" s="265"/>
      <c r="H44" s="265"/>
      <c r="I44" s="17"/>
      <c r="J44" s="17"/>
      <c r="K44" s="17"/>
      <c r="L44" s="17"/>
      <c r="M44" s="17"/>
      <c r="N44" s="17"/>
      <c r="O44" s="17"/>
      <c r="P44" s="17"/>
      <c r="Q44" s="17"/>
      <c r="R44" s="17"/>
      <c r="S44" s="17"/>
      <c r="T44" s="17"/>
      <c r="U44" s="17"/>
      <c r="V44" s="17"/>
      <c r="W44" s="17"/>
      <c r="X44" s="17"/>
      <c r="Y44" s="17"/>
      <c r="Z44" s="17"/>
    </row>
    <row r="45" ht="12.75" customHeight="1">
      <c r="A45" s="265"/>
      <c r="B45" s="265"/>
      <c r="C45" s="265"/>
      <c r="D45" s="265"/>
      <c r="E45" s="265"/>
      <c r="F45" s="265"/>
      <c r="G45" s="265"/>
      <c r="H45" s="265"/>
      <c r="I45" s="17"/>
      <c r="J45" s="17"/>
      <c r="K45" s="17"/>
      <c r="L45" s="17"/>
      <c r="M45" s="17"/>
      <c r="N45" s="17"/>
      <c r="O45" s="17"/>
      <c r="P45" s="17"/>
      <c r="Q45" s="17"/>
      <c r="R45" s="17"/>
      <c r="S45" s="17"/>
      <c r="T45" s="17"/>
      <c r="U45" s="17"/>
      <c r="V45" s="17"/>
      <c r="W45" s="17"/>
      <c r="X45" s="17"/>
      <c r="Y45" s="17"/>
      <c r="Z45" s="17"/>
    </row>
    <row r="46" ht="12.75" customHeight="1">
      <c r="A46" s="265"/>
      <c r="B46" s="265"/>
      <c r="C46" s="265"/>
      <c r="D46" s="265"/>
      <c r="E46" s="265"/>
      <c r="F46" s="265"/>
      <c r="G46" s="265"/>
      <c r="H46" s="265"/>
      <c r="I46" s="17"/>
      <c r="J46" s="17"/>
      <c r="K46" s="17"/>
      <c r="L46" s="17"/>
      <c r="M46" s="17"/>
      <c r="N46" s="17"/>
      <c r="O46" s="17"/>
      <c r="P46" s="17"/>
      <c r="Q46" s="17"/>
      <c r="R46" s="17"/>
      <c r="S46" s="17"/>
      <c r="T46" s="17"/>
      <c r="U46" s="17"/>
      <c r="V46" s="17"/>
      <c r="W46" s="17"/>
      <c r="X46" s="17"/>
      <c r="Y46" s="17"/>
      <c r="Z46" s="17"/>
    </row>
    <row r="47" ht="12.75" customHeight="1">
      <c r="A47" s="265"/>
      <c r="B47" s="265"/>
      <c r="C47" s="265"/>
      <c r="D47" s="265"/>
      <c r="E47" s="265"/>
      <c r="F47" s="265"/>
      <c r="G47" s="265"/>
      <c r="H47" s="265"/>
      <c r="I47" s="17"/>
      <c r="J47" s="17"/>
      <c r="K47" s="17"/>
      <c r="L47" s="17"/>
      <c r="M47" s="17"/>
      <c r="N47" s="17"/>
      <c r="O47" s="17"/>
      <c r="P47" s="17"/>
      <c r="Q47" s="17"/>
      <c r="R47" s="17"/>
      <c r="S47" s="17"/>
      <c r="T47" s="17"/>
      <c r="U47" s="17"/>
      <c r="V47" s="17"/>
      <c r="W47" s="17"/>
      <c r="X47" s="17"/>
      <c r="Y47" s="17"/>
      <c r="Z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pageMargins bottom="0.984252" footer="0.0" header="0.0" left="0.748031" right="0.748031" top="0.984252"/>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88"/>
    <col customWidth="1" min="2" max="2" width="2.38"/>
    <col customWidth="1" min="3" max="7" width="14.0"/>
    <col customWidth="1" min="8" max="8" width="11.5"/>
    <col customWidth="1" min="9" max="11" width="14.0"/>
    <col customWidth="1" min="12" max="12" width="2.38"/>
    <col customWidth="1" hidden="1" min="13" max="15" width="10.88"/>
    <col customWidth="1" min="16" max="26" width="10.88"/>
  </cols>
  <sheetData>
    <row r="1" ht="12.75" customHeight="1">
      <c r="A1" s="7"/>
      <c r="B1" s="8"/>
      <c r="C1" s="8"/>
      <c r="D1" s="8"/>
      <c r="E1" s="8"/>
      <c r="F1" s="8"/>
      <c r="G1" s="8"/>
      <c r="H1" s="8"/>
      <c r="I1" s="8"/>
      <c r="J1" s="8"/>
      <c r="K1" s="8"/>
      <c r="L1" s="269"/>
      <c r="M1" s="270"/>
      <c r="N1" s="270"/>
      <c r="O1" s="270"/>
      <c r="P1" s="17"/>
      <c r="Q1" s="17"/>
      <c r="R1" s="17"/>
      <c r="S1" s="17"/>
      <c r="T1" s="17"/>
      <c r="U1" s="17"/>
      <c r="V1" s="17"/>
      <c r="W1" s="17"/>
      <c r="X1" s="17"/>
      <c r="Y1" s="17"/>
      <c r="Z1" s="17"/>
    </row>
    <row r="2" ht="12.75" customHeight="1">
      <c r="A2" s="16"/>
      <c r="B2" s="17"/>
      <c r="C2" s="17"/>
      <c r="D2" s="17"/>
      <c r="E2" s="17"/>
      <c r="F2" s="17"/>
      <c r="G2" s="17"/>
      <c r="H2" s="17"/>
      <c r="I2" s="17"/>
      <c r="J2" s="17"/>
      <c r="K2" s="17"/>
      <c r="L2" s="271"/>
      <c r="M2" s="272"/>
      <c r="N2" s="272"/>
      <c r="O2" s="272"/>
      <c r="P2" s="17"/>
      <c r="Q2" s="17"/>
      <c r="R2" s="17"/>
      <c r="S2" s="17"/>
      <c r="T2" s="17"/>
      <c r="U2" s="17"/>
      <c r="V2" s="17"/>
      <c r="W2" s="17"/>
      <c r="X2" s="17"/>
      <c r="Y2" s="17"/>
      <c r="Z2" s="17"/>
    </row>
    <row r="3" ht="18.0" customHeight="1">
      <c r="A3" s="16"/>
      <c r="B3" s="17"/>
      <c r="C3" s="17"/>
      <c r="D3" s="17"/>
      <c r="E3" s="17"/>
      <c r="F3" s="17"/>
      <c r="G3" s="17"/>
      <c r="H3" s="17"/>
      <c r="I3" s="273"/>
      <c r="J3" s="17"/>
      <c r="K3" s="17"/>
      <c r="L3" s="271"/>
      <c r="M3" s="272"/>
      <c r="N3" s="272"/>
      <c r="O3" s="272"/>
      <c r="P3" s="17"/>
      <c r="Q3" s="17"/>
      <c r="R3" s="17"/>
      <c r="S3" s="17"/>
      <c r="T3" s="17"/>
      <c r="U3" s="17"/>
      <c r="V3" s="17"/>
      <c r="W3" s="17"/>
      <c r="X3" s="17"/>
      <c r="Y3" s="17"/>
      <c r="Z3" s="17"/>
    </row>
    <row r="4" ht="49.5" customHeight="1">
      <c r="A4" s="16"/>
      <c r="B4" s="17"/>
      <c r="C4" s="274"/>
      <c r="D4" s="17"/>
      <c r="E4" s="17"/>
      <c r="F4" s="17"/>
      <c r="G4" s="17"/>
      <c r="H4" s="17"/>
      <c r="I4" s="17"/>
      <c r="J4" s="17"/>
      <c r="K4" s="17"/>
      <c r="L4" s="271"/>
      <c r="M4" s="272"/>
      <c r="N4" s="272"/>
      <c r="O4" s="272"/>
      <c r="P4" s="17"/>
      <c r="Q4" s="17"/>
      <c r="R4" s="17"/>
      <c r="S4" s="17"/>
      <c r="T4" s="17"/>
      <c r="U4" s="17"/>
      <c r="V4" s="17"/>
      <c r="W4" s="17"/>
      <c r="X4" s="17"/>
      <c r="Y4" s="17"/>
      <c r="Z4" s="17"/>
    </row>
    <row r="5" ht="7.5" customHeight="1">
      <c r="A5" s="16"/>
      <c r="B5" s="275"/>
      <c r="C5" s="275"/>
      <c r="D5" s="275"/>
      <c r="E5" s="275"/>
      <c r="F5" s="275"/>
      <c r="G5" s="275"/>
      <c r="H5" s="275"/>
      <c r="I5" s="275"/>
      <c r="J5" s="275"/>
      <c r="K5" s="275"/>
      <c r="L5" s="271"/>
      <c r="M5" s="272"/>
      <c r="N5" s="272"/>
      <c r="O5" s="272"/>
      <c r="P5" s="17"/>
      <c r="Q5" s="17"/>
      <c r="R5" s="17"/>
      <c r="S5" s="17"/>
      <c r="T5" s="17"/>
      <c r="U5" s="17"/>
      <c r="V5" s="17"/>
      <c r="W5" s="17"/>
      <c r="X5" s="17"/>
      <c r="Y5" s="17"/>
      <c r="Z5" s="17"/>
    </row>
    <row r="6" ht="7.5" customHeight="1">
      <c r="A6" s="16"/>
      <c r="B6" s="275"/>
      <c r="C6" s="275"/>
      <c r="D6" s="275"/>
      <c r="E6" s="275"/>
      <c r="F6" s="275"/>
      <c r="G6" s="275"/>
      <c r="H6" s="275"/>
      <c r="I6" s="275"/>
      <c r="J6" s="275"/>
      <c r="K6" s="275"/>
      <c r="L6" s="271"/>
      <c r="M6" s="272"/>
      <c r="N6" s="272"/>
      <c r="O6" s="272"/>
      <c r="P6" s="17"/>
      <c r="Q6" s="17"/>
      <c r="R6" s="17"/>
      <c r="S6" s="17"/>
      <c r="T6" s="17"/>
      <c r="U6" s="17"/>
      <c r="V6" s="17"/>
      <c r="W6" s="17"/>
      <c r="X6" s="17"/>
      <c r="Y6" s="17"/>
      <c r="Z6" s="17"/>
    </row>
    <row r="7" ht="7.5" customHeight="1">
      <c r="A7" s="16"/>
      <c r="B7" s="275"/>
      <c r="C7" s="275"/>
      <c r="D7" s="275"/>
      <c r="E7" s="275"/>
      <c r="F7" s="275"/>
      <c r="G7" s="275"/>
      <c r="H7" s="275"/>
      <c r="I7" s="275"/>
      <c r="J7" s="275"/>
      <c r="K7" s="275"/>
      <c r="L7" s="271"/>
      <c r="M7" s="272"/>
      <c r="N7" s="272"/>
      <c r="O7" s="272"/>
      <c r="P7" s="17"/>
      <c r="Q7" s="17"/>
      <c r="R7" s="17"/>
      <c r="S7" s="17"/>
      <c r="T7" s="17"/>
      <c r="U7" s="17"/>
      <c r="V7" s="17"/>
      <c r="W7" s="17"/>
      <c r="X7" s="17"/>
      <c r="Y7" s="17"/>
      <c r="Z7" s="17"/>
    </row>
    <row r="8" ht="7.5" customHeight="1">
      <c r="A8" s="16"/>
      <c r="B8" s="275"/>
      <c r="C8" s="275"/>
      <c r="D8" s="275"/>
      <c r="E8" s="275"/>
      <c r="F8" s="275"/>
      <c r="G8" s="275"/>
      <c r="H8" s="275"/>
      <c r="I8" s="275"/>
      <c r="J8" s="275"/>
      <c r="K8" s="275"/>
      <c r="L8" s="271"/>
      <c r="M8" s="272"/>
      <c r="N8" s="272"/>
      <c r="O8" s="272"/>
      <c r="P8" s="17"/>
      <c r="Q8" s="17"/>
      <c r="R8" s="17"/>
      <c r="S8" s="17"/>
      <c r="T8" s="17"/>
      <c r="U8" s="17"/>
      <c r="V8" s="17"/>
      <c r="W8" s="17"/>
      <c r="X8" s="17"/>
      <c r="Y8" s="17"/>
      <c r="Z8" s="17"/>
    </row>
    <row r="9" ht="23.25" customHeight="1">
      <c r="A9" s="16"/>
      <c r="B9" s="275"/>
      <c r="C9" s="275"/>
      <c r="D9" s="275"/>
      <c r="E9" s="275"/>
      <c r="F9" s="275"/>
      <c r="G9" s="275"/>
      <c r="H9" s="192" t="s">
        <v>118</v>
      </c>
      <c r="I9" s="157"/>
      <c r="J9" s="276" t="str">
        <f t="array" ref="J9">Certificado!I3</f>
        <v>O-MK-0285/26</v>
      </c>
      <c r="K9" s="157"/>
      <c r="L9" s="271"/>
      <c r="M9" s="272"/>
      <c r="N9" s="272"/>
      <c r="O9" s="272"/>
      <c r="P9" s="17"/>
      <c r="Q9" s="17"/>
      <c r="R9" s="17"/>
      <c r="S9" s="17"/>
      <c r="T9" s="17"/>
      <c r="U9" s="17"/>
      <c r="V9" s="17"/>
      <c r="W9" s="17"/>
      <c r="X9" s="17"/>
      <c r="Y9" s="17"/>
      <c r="Z9" s="17"/>
    </row>
    <row r="10" ht="23.25" customHeight="1">
      <c r="A10" s="16"/>
      <c r="B10" s="275"/>
      <c r="C10" s="277" t="s">
        <v>119</v>
      </c>
      <c r="D10" s="278"/>
      <c r="E10" s="278"/>
      <c r="F10" s="278"/>
      <c r="G10" s="279"/>
      <c r="H10" s="192" t="s">
        <v>120</v>
      </c>
      <c r="I10" s="157"/>
      <c r="J10" s="280">
        <f t="array" ref="J10">Certificado!J5</f>
        <v>46048</v>
      </c>
      <c r="K10" s="157"/>
      <c r="L10" s="271"/>
      <c r="M10" s="272"/>
      <c r="N10" s="272"/>
      <c r="O10" s="272"/>
      <c r="P10" s="17"/>
      <c r="Q10" s="17"/>
      <c r="R10" s="17"/>
      <c r="S10" s="17"/>
      <c r="T10" s="17"/>
      <c r="U10" s="17"/>
      <c r="V10" s="17"/>
      <c r="W10" s="17"/>
      <c r="X10" s="17"/>
      <c r="Y10" s="17"/>
      <c r="Z10" s="17"/>
    </row>
    <row r="11" ht="23.25" customHeight="1">
      <c r="A11" s="16"/>
      <c r="B11" s="275"/>
      <c r="C11" s="281"/>
      <c r="D11" s="282"/>
      <c r="E11" s="282"/>
      <c r="F11" s="282"/>
      <c r="G11" s="283"/>
      <c r="H11" s="192" t="s">
        <v>121</v>
      </c>
      <c r="I11" s="157"/>
      <c r="J11" s="280">
        <f t="array" ref="J11">Certificado!J6</f>
        <v>46048</v>
      </c>
      <c r="K11" s="157"/>
      <c r="L11" s="271"/>
      <c r="M11" s="272"/>
      <c r="N11" s="272"/>
      <c r="O11" s="272"/>
      <c r="P11" s="17"/>
      <c r="Q11" s="17"/>
      <c r="R11" s="17"/>
      <c r="S11" s="17"/>
      <c r="T11" s="17"/>
      <c r="U11" s="17"/>
      <c r="V11" s="17"/>
      <c r="W11" s="17"/>
      <c r="X11" s="17"/>
      <c r="Y11" s="17"/>
      <c r="Z11" s="17"/>
    </row>
    <row r="12" ht="23.25" customHeight="1">
      <c r="A12" s="16"/>
      <c r="B12" s="275"/>
      <c r="C12" s="275"/>
      <c r="D12" s="284"/>
      <c r="E12" s="275"/>
      <c r="F12" s="275"/>
      <c r="G12" s="275"/>
      <c r="H12" s="192" t="s">
        <v>122</v>
      </c>
      <c r="I12" s="157"/>
      <c r="J12" s="176" t="s">
        <v>123</v>
      </c>
      <c r="K12" s="157"/>
      <c r="L12" s="271"/>
      <c r="M12" s="272"/>
      <c r="N12" s="272"/>
      <c r="O12" s="272"/>
      <c r="P12" s="17"/>
      <c r="Q12" s="17"/>
      <c r="R12" s="17"/>
      <c r="S12" s="17"/>
      <c r="T12" s="17"/>
      <c r="U12" s="17"/>
      <c r="V12" s="17"/>
      <c r="W12" s="17"/>
      <c r="X12" s="17"/>
      <c r="Y12" s="17"/>
      <c r="Z12" s="17"/>
    </row>
    <row r="13" ht="64.5" customHeight="1">
      <c r="A13" s="16"/>
      <c r="B13" s="275"/>
      <c r="C13" s="275"/>
      <c r="D13" s="275"/>
      <c r="E13" s="275"/>
      <c r="F13" s="275"/>
      <c r="G13" s="275"/>
      <c r="H13" s="285"/>
      <c r="I13" s="286"/>
      <c r="J13" s="287"/>
      <c r="K13" s="286"/>
      <c r="L13" s="271"/>
      <c r="M13" s="272"/>
      <c r="N13" s="272"/>
      <c r="O13" s="272"/>
      <c r="P13" s="17"/>
      <c r="Q13" s="17"/>
      <c r="R13" s="17"/>
      <c r="S13" s="17"/>
      <c r="T13" s="17"/>
      <c r="U13" s="17"/>
      <c r="V13" s="17"/>
      <c r="W13" s="17"/>
      <c r="X13" s="17"/>
      <c r="Y13" s="17"/>
      <c r="Z13" s="17"/>
    </row>
    <row r="14" ht="7.5" customHeight="1">
      <c r="A14" s="16"/>
      <c r="B14" s="275"/>
      <c r="C14" s="288"/>
      <c r="D14" s="288"/>
      <c r="E14" s="288"/>
      <c r="F14" s="288"/>
      <c r="G14" s="288"/>
      <c r="H14" s="285"/>
      <c r="I14" s="286"/>
      <c r="J14" s="287"/>
      <c r="K14" s="286"/>
      <c r="L14" s="271"/>
      <c r="M14" s="272"/>
      <c r="N14" s="272"/>
      <c r="O14" s="272"/>
      <c r="P14" s="17"/>
      <c r="Q14" s="17"/>
      <c r="R14" s="17"/>
      <c r="S14" s="17"/>
      <c r="T14" s="17"/>
      <c r="U14" s="17"/>
      <c r="V14" s="17"/>
      <c r="W14" s="17"/>
      <c r="X14" s="17"/>
      <c r="Y14" s="17"/>
      <c r="Z14" s="17"/>
    </row>
    <row r="15" ht="18.75" customHeight="1">
      <c r="A15" s="16"/>
      <c r="B15" s="289"/>
      <c r="C15" s="290" t="s">
        <v>124</v>
      </c>
      <c r="D15" s="291"/>
      <c r="E15" s="291"/>
      <c r="F15" s="291"/>
      <c r="G15" s="292"/>
      <c r="H15" s="293"/>
      <c r="I15" s="294"/>
      <c r="J15" s="294"/>
      <c r="K15" s="294"/>
      <c r="L15" s="295"/>
      <c r="M15" s="296"/>
      <c r="N15" s="296"/>
      <c r="O15" s="296"/>
      <c r="P15" s="17"/>
      <c r="Q15" s="17"/>
      <c r="R15" s="17"/>
      <c r="S15" s="17"/>
      <c r="T15" s="17"/>
      <c r="U15" s="17"/>
      <c r="V15" s="17"/>
      <c r="W15" s="17"/>
      <c r="X15" s="17"/>
      <c r="Y15" s="17"/>
      <c r="Z15" s="17"/>
    </row>
    <row r="16" ht="13.5" customHeight="1">
      <c r="A16" s="16"/>
      <c r="B16" s="297"/>
      <c r="C16" s="298" t="s">
        <v>125</v>
      </c>
      <c r="D16" s="299"/>
      <c r="E16" s="300"/>
      <c r="F16" s="301"/>
      <c r="G16" s="302" t="s">
        <v>126</v>
      </c>
      <c r="H16" s="293"/>
      <c r="I16" s="294"/>
      <c r="J16" s="294"/>
      <c r="K16" s="294"/>
      <c r="L16" s="295"/>
      <c r="M16" s="296"/>
      <c r="N16" s="296"/>
      <c r="O16" s="296"/>
      <c r="P16" s="17"/>
      <c r="Q16" s="17"/>
      <c r="R16" s="17"/>
      <c r="S16" s="17"/>
      <c r="T16" s="17"/>
      <c r="U16" s="17"/>
      <c r="V16" s="17"/>
      <c r="W16" s="17"/>
      <c r="X16" s="17"/>
      <c r="Y16" s="17"/>
      <c r="Z16" s="17"/>
    </row>
    <row r="17" ht="13.5" customHeight="1">
      <c r="A17" s="16"/>
      <c r="B17" s="297"/>
      <c r="C17" s="303" t="s">
        <v>127</v>
      </c>
      <c r="D17" s="304">
        <f t="array" ref="D17">'Cálculos'!C11</f>
        <v>100</v>
      </c>
      <c r="E17" s="305" t="s">
        <v>128</v>
      </c>
      <c r="F17" s="306">
        <v>4000.0</v>
      </c>
      <c r="G17" s="307" t="str">
        <f t="array" ref="G17">'Cálculos'!C13</f>
        <v>Lux</v>
      </c>
      <c r="H17" s="293"/>
      <c r="I17" s="294"/>
      <c r="J17" s="294"/>
      <c r="K17" s="294"/>
      <c r="L17" s="295"/>
      <c r="M17" s="296"/>
      <c r="N17" s="296"/>
      <c r="O17" s="296"/>
      <c r="P17" s="17"/>
      <c r="Q17" s="17"/>
      <c r="R17" s="17"/>
      <c r="S17" s="17"/>
      <c r="T17" s="17"/>
      <c r="U17" s="17"/>
      <c r="V17" s="17"/>
      <c r="W17" s="17"/>
      <c r="X17" s="17"/>
      <c r="Y17" s="17"/>
      <c r="Z17" s="17"/>
    </row>
    <row r="18" ht="12.75" customHeight="1">
      <c r="A18" s="16"/>
      <c r="B18" s="297"/>
      <c r="C18" s="308"/>
      <c r="D18" s="309"/>
      <c r="E18" s="310"/>
      <c r="F18" s="311"/>
      <c r="G18" s="312"/>
      <c r="H18" s="293"/>
      <c r="I18" s="294"/>
      <c r="J18" s="294"/>
      <c r="K18" s="294"/>
      <c r="L18" s="295"/>
      <c r="M18" s="296"/>
      <c r="N18" s="296"/>
      <c r="O18" s="296"/>
      <c r="P18" s="17"/>
      <c r="Q18" s="17"/>
      <c r="R18" s="17"/>
      <c r="S18" s="17"/>
      <c r="T18" s="17"/>
      <c r="U18" s="17"/>
      <c r="V18" s="17"/>
      <c r="W18" s="17"/>
      <c r="X18" s="17"/>
      <c r="Y18" s="17"/>
      <c r="Z18" s="17"/>
    </row>
    <row r="19" ht="13.5" customHeight="1">
      <c r="A19" s="16"/>
      <c r="B19" s="297"/>
      <c r="C19" s="313" t="s">
        <v>129</v>
      </c>
      <c r="D19" s="314">
        <f t="array" ref="D19">'Cálculos'!C12</f>
        <v>0.1</v>
      </c>
      <c r="E19" s="315"/>
      <c r="F19" s="316"/>
      <c r="G19" s="317"/>
      <c r="H19" s="293"/>
      <c r="I19" s="294"/>
      <c r="J19" s="294"/>
      <c r="K19" s="294"/>
      <c r="L19" s="295"/>
      <c r="M19" s="296"/>
      <c r="N19" s="296"/>
      <c r="O19" s="296"/>
      <c r="P19" s="17"/>
      <c r="Q19" s="17"/>
      <c r="R19" s="17"/>
      <c r="S19" s="17"/>
      <c r="T19" s="17"/>
      <c r="U19" s="17"/>
      <c r="V19" s="17"/>
      <c r="W19" s="17"/>
      <c r="X19" s="17"/>
      <c r="Y19" s="17"/>
      <c r="Z19" s="17"/>
    </row>
    <row r="20" ht="13.5" customHeight="1">
      <c r="A20" s="16"/>
      <c r="B20" s="297"/>
      <c r="C20" s="318"/>
      <c r="D20" s="311"/>
      <c r="E20" s="319"/>
      <c r="F20" s="320"/>
      <c r="G20" s="321"/>
      <c r="H20" s="293"/>
      <c r="I20" s="294"/>
      <c r="J20" s="294"/>
      <c r="K20" s="294"/>
      <c r="L20" s="295"/>
      <c r="M20" s="296"/>
      <c r="N20" s="296"/>
      <c r="O20" s="296"/>
      <c r="P20" s="17"/>
      <c r="Q20" s="17"/>
      <c r="R20" s="17"/>
      <c r="S20" s="17"/>
      <c r="T20" s="17"/>
      <c r="U20" s="17"/>
      <c r="V20" s="17"/>
      <c r="W20" s="17"/>
      <c r="X20" s="17"/>
      <c r="Y20" s="17"/>
      <c r="Z20" s="17"/>
    </row>
    <row r="21" ht="12.75" customHeight="1">
      <c r="A21" s="16"/>
      <c r="B21" s="297"/>
      <c r="C21" s="322" t="s">
        <v>130</v>
      </c>
      <c r="D21" s="323" t="s">
        <v>131</v>
      </c>
      <c r="E21" s="323" t="s">
        <v>132</v>
      </c>
      <c r="F21" s="324" t="s">
        <v>133</v>
      </c>
      <c r="G21" s="325"/>
      <c r="H21" s="293"/>
      <c r="I21" s="294"/>
      <c r="J21" s="294"/>
      <c r="K21" s="294"/>
      <c r="L21" s="295"/>
      <c r="M21" s="296"/>
      <c r="N21" s="296"/>
      <c r="O21" s="296"/>
      <c r="P21" s="17"/>
      <c r="Q21" s="17"/>
      <c r="R21" s="17"/>
      <c r="S21" s="17"/>
      <c r="T21" s="17"/>
      <c r="U21" s="17"/>
      <c r="V21" s="17"/>
      <c r="W21" s="17"/>
      <c r="X21" s="17"/>
      <c r="Y21" s="17"/>
      <c r="Z21" s="17"/>
    </row>
    <row r="22" ht="13.5" customHeight="1">
      <c r="A22" s="16"/>
      <c r="B22" s="297"/>
      <c r="C22" s="326" t="str">
        <f t="array" ref="C22">'Cálculos'!B17</f>
        <v>del Patrón</v>
      </c>
      <c r="D22" s="172"/>
      <c r="E22" s="172"/>
      <c r="F22" s="172"/>
      <c r="G22" s="327"/>
      <c r="H22" s="293"/>
      <c r="I22" s="294"/>
      <c r="J22" s="17"/>
      <c r="K22" s="17"/>
      <c r="L22" s="271"/>
      <c r="M22" s="272"/>
      <c r="N22" s="272"/>
      <c r="O22" s="272"/>
      <c r="P22" s="17"/>
      <c r="Q22" s="17"/>
      <c r="R22" s="17"/>
      <c r="S22" s="17"/>
      <c r="T22" s="17"/>
      <c r="U22" s="17"/>
      <c r="V22" s="17"/>
      <c r="W22" s="17"/>
      <c r="X22" s="17"/>
      <c r="Y22" s="17"/>
      <c r="Z22" s="17"/>
    </row>
    <row r="23" ht="13.5" customHeight="1">
      <c r="A23" s="16"/>
      <c r="B23" s="328"/>
      <c r="C23" s="329">
        <f t="array" ref="C23">'Cálculos'!B19</f>
        <v>100.2</v>
      </c>
      <c r="D23" s="330">
        <f t="array" ref="D23">AVERAGE('Cálculos'!C19:G19)</f>
        <v>90.3</v>
      </c>
      <c r="E23" s="330">
        <f t="array" ref="E23">D23-C23</f>
        <v>-9.9</v>
      </c>
      <c r="F23" s="331">
        <f t="array" ref="F23">'Cálculos'!P19</f>
        <v>2</v>
      </c>
      <c r="G23" s="327"/>
      <c r="H23" s="293"/>
      <c r="I23" s="294"/>
      <c r="J23" s="17"/>
      <c r="K23" s="17"/>
      <c r="L23" s="271"/>
      <c r="M23" s="272"/>
      <c r="N23" s="272"/>
      <c r="O23" s="272"/>
      <c r="P23" s="17"/>
      <c r="Q23" s="17"/>
      <c r="R23" s="17"/>
      <c r="S23" s="17"/>
      <c r="T23" s="17"/>
      <c r="U23" s="17"/>
      <c r="V23" s="17"/>
      <c r="W23" s="17"/>
      <c r="X23" s="17"/>
      <c r="Y23" s="17"/>
      <c r="Z23" s="17"/>
    </row>
    <row r="24" ht="13.5" customHeight="1">
      <c r="A24" s="16"/>
      <c r="B24" s="328"/>
      <c r="C24" s="332">
        <f t="array" ref="C24">'Cálculos'!B20</f>
        <v>1014</v>
      </c>
      <c r="D24" s="333">
        <f t="array" ref="D24">AVERAGE('Cálculos'!C20:G20)</f>
        <v>1003</v>
      </c>
      <c r="E24" s="330">
        <f t="array" ref="E24">D24-C24</f>
        <v>-11</v>
      </c>
      <c r="F24" s="331">
        <f t="array" ref="F24">'Cálculos'!P20</f>
        <v>2</v>
      </c>
      <c r="G24" s="327"/>
      <c r="H24" s="293"/>
      <c r="I24" s="294"/>
      <c r="J24" s="17"/>
      <c r="K24" s="17"/>
      <c r="L24" s="271"/>
      <c r="M24" s="272"/>
      <c r="N24" s="272"/>
      <c r="O24" s="272"/>
      <c r="P24" s="17"/>
      <c r="Q24" s="17"/>
      <c r="R24" s="17"/>
      <c r="S24" s="17"/>
      <c r="T24" s="17"/>
      <c r="U24" s="17"/>
      <c r="V24" s="17"/>
      <c r="W24" s="17"/>
      <c r="X24" s="17"/>
      <c r="Y24" s="17"/>
      <c r="Z24" s="17"/>
    </row>
    <row r="25" ht="13.5" customHeight="1">
      <c r="A25" s="16"/>
      <c r="B25" s="328"/>
      <c r="C25" s="332">
        <f t="array" ref="C25">'Cálculos'!B21</f>
        <v>2320</v>
      </c>
      <c r="D25" s="333">
        <f t="array" ref="D25">AVERAGE('Cálculos'!C21:G21)</f>
        <v>2313</v>
      </c>
      <c r="E25" s="330">
        <f t="array" ref="E25">D25-C25</f>
        <v>-7</v>
      </c>
      <c r="F25" s="331">
        <f t="array" ref="F25">'Cálculos'!P21</f>
        <v>2</v>
      </c>
      <c r="G25" s="327"/>
      <c r="H25" s="293"/>
      <c r="I25" s="294"/>
      <c r="J25" s="17"/>
      <c r="K25" s="17"/>
      <c r="L25" s="271"/>
      <c r="M25" s="272"/>
      <c r="N25" s="272"/>
      <c r="O25" s="272"/>
      <c r="P25" s="17"/>
      <c r="Q25" s="17"/>
      <c r="R25" s="17"/>
      <c r="S25" s="17"/>
      <c r="T25" s="17"/>
      <c r="U25" s="17"/>
      <c r="V25" s="17"/>
      <c r="W25" s="17"/>
      <c r="X25" s="17"/>
      <c r="Y25" s="17"/>
      <c r="Z25" s="17"/>
    </row>
    <row r="26" ht="13.5" customHeight="1">
      <c r="A26" s="16"/>
      <c r="B26" s="328"/>
      <c r="C26" s="332">
        <f t="array" ref="C26">'Cálculos'!B22</f>
        <v>3527</v>
      </c>
      <c r="D26" s="333">
        <f t="array" ref="D26">AVERAGE('Cálculos'!C22:G22)</f>
        <v>3517</v>
      </c>
      <c r="E26" s="330">
        <f t="array" ref="E26">D26-C26</f>
        <v>-10</v>
      </c>
      <c r="F26" s="331">
        <f t="array" ref="F26">'Cálculos'!P22</f>
        <v>2</v>
      </c>
      <c r="G26" s="327"/>
      <c r="H26" s="293"/>
      <c r="I26" s="294"/>
      <c r="J26" s="17"/>
      <c r="K26" s="17"/>
      <c r="L26" s="271"/>
      <c r="M26" s="272"/>
      <c r="N26" s="272"/>
      <c r="O26" s="272"/>
      <c r="P26" s="17"/>
      <c r="Q26" s="17"/>
      <c r="R26" s="17"/>
      <c r="S26" s="17"/>
      <c r="T26" s="17"/>
      <c r="U26" s="17"/>
      <c r="V26" s="17"/>
      <c r="W26" s="17"/>
      <c r="X26" s="17"/>
      <c r="Y26" s="17"/>
      <c r="Z26" s="17"/>
    </row>
    <row r="27" ht="14.25" customHeight="1">
      <c r="A27" s="16"/>
      <c r="B27" s="328"/>
      <c r="C27" s="334">
        <f t="array" ref="C27">'Cálculos'!B23</f>
        <v>4000</v>
      </c>
      <c r="D27" s="335">
        <f t="array" ref="D27">AVERAGE('Cálculos'!C23:G23)</f>
        <v>3987</v>
      </c>
      <c r="E27" s="336">
        <f t="array" ref="E27">D27-C27</f>
        <v>-13</v>
      </c>
      <c r="F27" s="337">
        <f t="array" ref="F27">'Cálculos'!P23</f>
        <v>2</v>
      </c>
      <c r="G27" s="338"/>
      <c r="H27" s="293"/>
      <c r="I27" s="294"/>
      <c r="J27" s="17"/>
      <c r="K27" s="17"/>
      <c r="L27" s="271"/>
      <c r="M27" s="272"/>
      <c r="N27" s="272"/>
      <c r="O27" s="272"/>
      <c r="P27" s="17"/>
      <c r="Q27" s="17"/>
      <c r="R27" s="17"/>
      <c r="S27" s="17"/>
      <c r="T27" s="17"/>
      <c r="U27" s="17"/>
      <c r="V27" s="17"/>
      <c r="W27" s="17"/>
      <c r="X27" s="17"/>
      <c r="Y27" s="17"/>
      <c r="Z27" s="17"/>
    </row>
    <row r="28" ht="18.75" customHeight="1">
      <c r="A28" s="16"/>
      <c r="B28" s="339"/>
      <c r="C28" s="340"/>
      <c r="D28" s="341"/>
      <c r="E28" s="341"/>
      <c r="F28" s="341"/>
      <c r="G28" s="341"/>
      <c r="H28" s="294"/>
      <c r="I28" s="294"/>
      <c r="J28" s="294"/>
      <c r="K28" s="294"/>
      <c r="L28" s="271"/>
      <c r="M28" s="272"/>
      <c r="N28" s="272"/>
      <c r="O28" s="272"/>
      <c r="P28" s="17"/>
      <c r="Q28" s="17"/>
      <c r="R28" s="17"/>
      <c r="S28" s="17"/>
      <c r="T28" s="17"/>
      <c r="U28" s="17"/>
      <c r="V28" s="17"/>
      <c r="W28" s="17"/>
      <c r="X28" s="17"/>
      <c r="Y28" s="17"/>
      <c r="Z28" s="17"/>
    </row>
    <row r="29" ht="13.5" customHeight="1">
      <c r="A29" s="16"/>
      <c r="B29" s="339"/>
      <c r="C29" s="342"/>
      <c r="D29" s="284"/>
      <c r="E29" s="284"/>
      <c r="F29" s="284"/>
      <c r="G29" s="342"/>
      <c r="H29" s="294"/>
      <c r="I29" s="294"/>
      <c r="J29" s="294"/>
      <c r="K29" s="294"/>
      <c r="L29" s="271"/>
      <c r="M29" s="272"/>
      <c r="N29" s="272"/>
      <c r="O29" s="272"/>
      <c r="P29" s="17"/>
      <c r="Q29" s="17"/>
      <c r="R29" s="17"/>
      <c r="S29" s="17"/>
      <c r="T29" s="17"/>
      <c r="U29" s="17"/>
      <c r="V29" s="17"/>
      <c r="W29" s="17"/>
      <c r="X29" s="17"/>
      <c r="Y29" s="17"/>
      <c r="Z29" s="17"/>
    </row>
    <row r="30" ht="12.75" customHeight="1">
      <c r="A30" s="16"/>
      <c r="B30" s="339"/>
      <c r="C30" s="343"/>
      <c r="D30" s="344"/>
      <c r="E30" s="345"/>
      <c r="F30" s="344"/>
      <c r="G30" s="346"/>
      <c r="H30" s="294"/>
      <c r="I30" s="294"/>
      <c r="J30" s="294"/>
      <c r="K30" s="294"/>
      <c r="L30" s="271"/>
      <c r="M30" s="272"/>
      <c r="N30" s="272"/>
      <c r="O30" s="272"/>
      <c r="P30" s="17"/>
      <c r="Q30" s="17"/>
      <c r="R30" s="17"/>
      <c r="S30" s="17"/>
      <c r="T30" s="17"/>
      <c r="U30" s="17"/>
      <c r="V30" s="17"/>
      <c r="W30" s="17"/>
      <c r="X30" s="17"/>
      <c r="Y30" s="17"/>
      <c r="Z30" s="17"/>
    </row>
    <row r="31" ht="12.75" customHeight="1">
      <c r="A31" s="16"/>
      <c r="B31" s="339"/>
      <c r="C31" s="172"/>
      <c r="D31" s="172"/>
      <c r="E31" s="172"/>
      <c r="F31" s="172"/>
      <c r="G31" s="172"/>
      <c r="H31" s="294"/>
      <c r="I31" s="294"/>
      <c r="J31" s="294"/>
      <c r="K31" s="294"/>
      <c r="L31" s="271"/>
      <c r="M31" s="272"/>
      <c r="N31" s="272"/>
      <c r="O31" s="272"/>
      <c r="P31" s="17"/>
      <c r="Q31" s="17"/>
      <c r="R31" s="17"/>
      <c r="S31" s="17"/>
      <c r="T31" s="17"/>
      <c r="U31" s="17"/>
      <c r="V31" s="17"/>
      <c r="W31" s="17"/>
      <c r="X31" s="17"/>
      <c r="Y31" s="17"/>
      <c r="Z31" s="17"/>
    </row>
    <row r="32" ht="13.5" customHeight="1">
      <c r="A32" s="16"/>
      <c r="B32" s="339"/>
      <c r="C32" s="346"/>
      <c r="D32" s="347"/>
      <c r="E32" s="342"/>
      <c r="F32" s="348"/>
      <c r="G32" s="349"/>
      <c r="H32" s="294"/>
      <c r="I32" s="294"/>
      <c r="J32" s="294"/>
      <c r="K32" s="294"/>
      <c r="L32" s="271"/>
      <c r="M32" s="272"/>
      <c r="N32" s="272"/>
      <c r="O32" s="272"/>
      <c r="P32" s="17"/>
      <c r="Q32" s="17"/>
      <c r="R32" s="17"/>
      <c r="S32" s="17"/>
      <c r="T32" s="17"/>
      <c r="U32" s="17"/>
      <c r="V32" s="17"/>
      <c r="W32" s="17"/>
      <c r="X32" s="17"/>
      <c r="Y32" s="17"/>
      <c r="Z32" s="17"/>
    </row>
    <row r="33" ht="13.5" customHeight="1">
      <c r="A33" s="16"/>
      <c r="B33" s="339"/>
      <c r="C33" s="172"/>
      <c r="D33" s="172"/>
      <c r="E33" s="350"/>
      <c r="F33" s="350"/>
      <c r="G33" s="349"/>
      <c r="H33" s="294"/>
      <c r="I33" s="294"/>
      <c r="J33" s="294"/>
      <c r="K33" s="294"/>
      <c r="L33" s="271"/>
      <c r="M33" s="272"/>
      <c r="N33" s="272"/>
      <c r="O33" s="272"/>
      <c r="P33" s="17"/>
      <c r="Q33" s="17"/>
      <c r="R33" s="17"/>
      <c r="S33" s="17"/>
      <c r="T33" s="17"/>
      <c r="U33" s="17"/>
      <c r="V33" s="17"/>
      <c r="W33" s="17"/>
      <c r="X33" s="17"/>
      <c r="Y33" s="17"/>
      <c r="Z33" s="17"/>
    </row>
    <row r="34" ht="13.5" customHeight="1">
      <c r="A34" s="16"/>
      <c r="B34" s="339"/>
      <c r="C34" s="351"/>
      <c r="D34" s="351"/>
      <c r="E34" s="352"/>
      <c r="F34" s="352"/>
      <c r="G34" s="348"/>
      <c r="H34" s="294"/>
      <c r="I34" s="294"/>
      <c r="J34" s="294"/>
      <c r="K34" s="294"/>
      <c r="L34" s="271"/>
      <c r="M34" s="272"/>
      <c r="N34" s="272"/>
      <c r="O34" s="272"/>
      <c r="P34" s="17"/>
      <c r="Q34" s="17"/>
      <c r="R34" s="17"/>
      <c r="S34" s="17"/>
      <c r="T34" s="17"/>
      <c r="U34" s="17"/>
      <c r="V34" s="17"/>
      <c r="W34" s="17"/>
      <c r="X34" s="17"/>
      <c r="Y34" s="17"/>
      <c r="Z34" s="17"/>
    </row>
    <row r="35" ht="13.5" customHeight="1">
      <c r="A35" s="16"/>
      <c r="B35" s="339"/>
      <c r="C35" s="351"/>
      <c r="D35" s="353"/>
      <c r="E35" s="172"/>
      <c r="F35" s="172"/>
      <c r="H35" s="294"/>
      <c r="I35" s="294"/>
      <c r="J35" s="17"/>
      <c r="K35" s="17"/>
      <c r="L35" s="271"/>
      <c r="M35" s="272"/>
      <c r="N35" s="272"/>
      <c r="O35" s="272"/>
      <c r="P35" s="17"/>
      <c r="Q35" s="17"/>
      <c r="R35" s="17"/>
      <c r="S35" s="17"/>
      <c r="T35" s="17"/>
      <c r="U35" s="17"/>
      <c r="V35" s="17"/>
      <c r="W35" s="17"/>
      <c r="X35" s="17"/>
      <c r="Y35" s="17"/>
      <c r="Z35" s="17"/>
    </row>
    <row r="36" ht="13.5" hidden="1" customHeight="1">
      <c r="A36" s="16"/>
      <c r="B36" s="339"/>
      <c r="C36" s="330"/>
      <c r="D36" s="331"/>
      <c r="E36" s="331"/>
      <c r="F36" s="354"/>
      <c r="G36" s="348"/>
      <c r="H36" s="294"/>
      <c r="I36" s="294"/>
      <c r="J36" s="17"/>
      <c r="K36" s="17"/>
      <c r="L36" s="271"/>
      <c r="M36" s="272"/>
      <c r="N36" s="272"/>
      <c r="O36" s="272"/>
      <c r="P36" s="17"/>
      <c r="Q36" s="17"/>
      <c r="R36" s="17"/>
      <c r="S36" s="17"/>
      <c r="T36" s="17"/>
      <c r="U36" s="17"/>
      <c r="V36" s="17"/>
      <c r="W36" s="17"/>
      <c r="X36" s="17"/>
      <c r="Y36" s="17"/>
      <c r="Z36" s="17"/>
    </row>
    <row r="37" ht="13.5" hidden="1" customHeight="1">
      <c r="A37" s="16"/>
      <c r="B37" s="339"/>
      <c r="C37" s="330"/>
      <c r="D37" s="331"/>
      <c r="E37" s="331"/>
      <c r="F37" s="354"/>
      <c r="G37" s="348"/>
      <c r="H37" s="294"/>
      <c r="I37" s="294"/>
      <c r="J37" s="17"/>
      <c r="K37" s="17"/>
      <c r="L37" s="271"/>
      <c r="M37" s="272"/>
      <c r="N37" s="272"/>
      <c r="O37" s="272"/>
      <c r="P37" s="17"/>
      <c r="Q37" s="17"/>
      <c r="R37" s="17"/>
      <c r="S37" s="17"/>
      <c r="T37" s="17"/>
      <c r="U37" s="17"/>
      <c r="V37" s="17"/>
      <c r="W37" s="17"/>
      <c r="X37" s="17"/>
      <c r="Y37" s="17"/>
      <c r="Z37" s="17"/>
    </row>
    <row r="38" ht="12.75" hidden="1" customHeight="1">
      <c r="A38" s="16"/>
      <c r="B38" s="339"/>
      <c r="C38" s="355"/>
      <c r="D38" s="356"/>
      <c r="E38" s="356"/>
      <c r="F38" s="357"/>
      <c r="G38" s="294"/>
      <c r="H38" s="294"/>
      <c r="I38" s="294"/>
      <c r="J38" s="17"/>
      <c r="K38" s="17"/>
      <c r="L38" s="271"/>
      <c r="M38" s="272"/>
      <c r="N38" s="272"/>
      <c r="O38" s="272"/>
      <c r="P38" s="17"/>
      <c r="Q38" s="17"/>
      <c r="R38" s="17"/>
      <c r="S38" s="17"/>
      <c r="T38" s="17"/>
      <c r="U38" s="17"/>
      <c r="V38" s="17"/>
      <c r="W38" s="17"/>
      <c r="X38" s="17"/>
      <c r="Y38" s="17"/>
      <c r="Z38" s="17"/>
    </row>
    <row r="39" ht="18.75" hidden="1" customHeight="1">
      <c r="A39" s="16"/>
      <c r="B39" s="339"/>
      <c r="C39" s="358"/>
      <c r="H39" s="294"/>
      <c r="I39" s="294"/>
      <c r="J39" s="294"/>
      <c r="K39" s="294"/>
      <c r="L39" s="271"/>
      <c r="M39" s="272"/>
      <c r="N39" s="272"/>
      <c r="O39" s="272"/>
      <c r="P39" s="17"/>
      <c r="Q39" s="17"/>
      <c r="R39" s="17"/>
      <c r="S39" s="17"/>
      <c r="T39" s="17"/>
      <c r="U39" s="17"/>
      <c r="V39" s="17"/>
      <c r="W39" s="17"/>
      <c r="X39" s="17"/>
      <c r="Y39" s="17"/>
      <c r="Z39" s="17"/>
    </row>
    <row r="40" ht="13.5" hidden="1" customHeight="1">
      <c r="A40" s="16"/>
      <c r="B40" s="339"/>
      <c r="C40" s="342"/>
      <c r="D40" s="284"/>
      <c r="E40" s="284"/>
      <c r="F40" s="284"/>
      <c r="G40" s="342"/>
      <c r="H40" s="294"/>
      <c r="I40" s="294"/>
      <c r="J40" s="294"/>
      <c r="K40" s="294"/>
      <c r="L40" s="271"/>
      <c r="M40" s="272"/>
      <c r="N40" s="272"/>
      <c r="O40" s="272"/>
      <c r="P40" s="17"/>
      <c r="Q40" s="17"/>
      <c r="R40" s="17"/>
      <c r="S40" s="17"/>
      <c r="T40" s="17"/>
      <c r="U40" s="17"/>
      <c r="V40" s="17"/>
      <c r="W40" s="17"/>
      <c r="X40" s="17"/>
      <c r="Y40" s="17"/>
      <c r="Z40" s="17"/>
    </row>
    <row r="41" ht="12.75" customHeight="1">
      <c r="A41" s="16"/>
      <c r="B41" s="339"/>
      <c r="C41" s="343"/>
      <c r="D41" s="344"/>
      <c r="E41" s="345"/>
      <c r="F41" s="344"/>
      <c r="G41" s="346"/>
      <c r="H41" s="294"/>
      <c r="I41" s="294"/>
      <c r="J41" s="294"/>
      <c r="K41" s="294"/>
      <c r="L41" s="271"/>
      <c r="M41" s="272"/>
      <c r="N41" s="272"/>
      <c r="O41" s="272"/>
      <c r="P41" s="17"/>
      <c r="Q41" s="17"/>
      <c r="R41" s="17"/>
      <c r="S41" s="17"/>
      <c r="T41" s="17"/>
      <c r="U41" s="17"/>
      <c r="V41" s="17"/>
      <c r="W41" s="17"/>
      <c r="X41" s="17"/>
      <c r="Y41" s="17"/>
      <c r="Z41" s="17"/>
    </row>
    <row r="42" ht="12.75" customHeight="1">
      <c r="A42" s="16"/>
      <c r="B42" s="339"/>
      <c r="C42" s="172"/>
      <c r="D42" s="172"/>
      <c r="E42" s="172"/>
      <c r="F42" s="172"/>
      <c r="G42" s="172"/>
      <c r="H42" s="294"/>
      <c r="I42" s="294"/>
      <c r="J42" s="294"/>
      <c r="K42" s="294"/>
      <c r="L42" s="271"/>
      <c r="M42" s="272"/>
      <c r="N42" s="272"/>
      <c r="O42" s="272"/>
      <c r="P42" s="17"/>
      <c r="Q42" s="17"/>
      <c r="R42" s="17"/>
      <c r="S42" s="17"/>
      <c r="T42" s="17"/>
      <c r="U42" s="17"/>
      <c r="V42" s="17"/>
      <c r="W42" s="17"/>
      <c r="X42" s="17"/>
      <c r="Y42" s="17"/>
      <c r="Z42" s="17"/>
    </row>
    <row r="43" ht="13.5" customHeight="1">
      <c r="A43" s="16"/>
      <c r="B43" s="339"/>
      <c r="C43" s="346"/>
      <c r="D43" s="347"/>
      <c r="E43" s="342"/>
      <c r="F43" s="348"/>
      <c r="G43" s="349"/>
      <c r="H43" s="294"/>
      <c r="I43" s="294"/>
      <c r="J43" s="294"/>
      <c r="K43" s="294"/>
      <c r="L43" s="271"/>
      <c r="M43" s="272"/>
      <c r="N43" s="272"/>
      <c r="O43" s="272"/>
      <c r="P43" s="17"/>
      <c r="Q43" s="17"/>
      <c r="R43" s="17"/>
      <c r="S43" s="17"/>
      <c r="T43" s="17"/>
      <c r="U43" s="17"/>
      <c r="V43" s="17"/>
      <c r="W43" s="17"/>
      <c r="X43" s="17"/>
      <c r="Y43" s="17"/>
      <c r="Z43" s="17"/>
    </row>
    <row r="44" ht="13.5" customHeight="1">
      <c r="A44" s="16"/>
      <c r="B44" s="339"/>
      <c r="C44" s="172"/>
      <c r="D44" s="172"/>
      <c r="E44" s="350"/>
      <c r="F44" s="350"/>
      <c r="G44" s="349"/>
      <c r="H44" s="294"/>
      <c r="I44" s="294"/>
      <c r="J44" s="294"/>
      <c r="K44" s="294"/>
      <c r="L44" s="271"/>
      <c r="M44" s="272"/>
      <c r="N44" s="272"/>
      <c r="O44" s="272"/>
      <c r="P44" s="17"/>
      <c r="Q44" s="17"/>
      <c r="R44" s="17"/>
      <c r="S44" s="17"/>
      <c r="T44" s="17"/>
      <c r="U44" s="17"/>
      <c r="V44" s="17"/>
      <c r="W44" s="17"/>
      <c r="X44" s="17"/>
      <c r="Y44" s="17"/>
      <c r="Z44" s="17"/>
    </row>
    <row r="45" ht="13.5" customHeight="1">
      <c r="A45" s="16"/>
      <c r="B45" s="339"/>
      <c r="C45" s="351"/>
      <c r="D45" s="351"/>
      <c r="E45" s="352"/>
      <c r="F45" s="352"/>
      <c r="G45" s="348"/>
      <c r="H45" s="294"/>
      <c r="I45" s="294"/>
      <c r="J45" s="294"/>
      <c r="K45" s="294"/>
      <c r="L45" s="271"/>
      <c r="M45" s="272"/>
      <c r="N45" s="272"/>
      <c r="O45" s="272"/>
      <c r="P45" s="17"/>
      <c r="Q45" s="17"/>
      <c r="R45" s="17"/>
      <c r="S45" s="17"/>
      <c r="T45" s="17"/>
      <c r="U45" s="17"/>
      <c r="V45" s="17"/>
      <c r="W45" s="17"/>
      <c r="X45" s="17"/>
      <c r="Y45" s="17"/>
      <c r="Z45" s="17"/>
    </row>
    <row r="46" ht="13.5" customHeight="1">
      <c r="A46" s="16"/>
      <c r="B46" s="339"/>
      <c r="C46" s="351"/>
      <c r="D46" s="353"/>
      <c r="E46" s="172"/>
      <c r="F46" s="172"/>
      <c r="H46" s="294"/>
      <c r="I46" s="294"/>
      <c r="J46" s="17"/>
      <c r="K46" s="17"/>
      <c r="L46" s="271"/>
      <c r="M46" s="272"/>
      <c r="N46" s="272"/>
      <c r="O46" s="272"/>
      <c r="P46" s="17"/>
      <c r="Q46" s="17"/>
      <c r="R46" s="17"/>
      <c r="S46" s="17"/>
      <c r="T46" s="17"/>
      <c r="U46" s="17"/>
      <c r="V46" s="17"/>
      <c r="W46" s="17"/>
      <c r="X46" s="17"/>
      <c r="Y46" s="17"/>
      <c r="Z46" s="17"/>
    </row>
    <row r="47" ht="13.5" customHeight="1">
      <c r="A47" s="16"/>
      <c r="B47" s="339"/>
      <c r="C47" s="330"/>
      <c r="D47" s="331"/>
      <c r="E47" s="331"/>
      <c r="F47" s="354"/>
      <c r="G47" s="348"/>
      <c r="H47" s="294"/>
      <c r="I47" s="294"/>
      <c r="J47" s="17"/>
      <c r="K47" s="17"/>
      <c r="L47" s="271"/>
      <c r="M47" s="272"/>
      <c r="N47" s="272"/>
      <c r="O47" s="272"/>
      <c r="P47" s="17"/>
      <c r="Q47" s="17"/>
      <c r="R47" s="17"/>
      <c r="S47" s="17"/>
      <c r="T47" s="17"/>
      <c r="U47" s="17"/>
      <c r="V47" s="17"/>
      <c r="W47" s="17"/>
      <c r="X47" s="17"/>
      <c r="Y47" s="17"/>
      <c r="Z47" s="17"/>
    </row>
    <row r="48" ht="13.5" customHeight="1">
      <c r="A48" s="16"/>
      <c r="B48" s="339"/>
      <c r="C48" s="330"/>
      <c r="D48" s="331"/>
      <c r="E48" s="331"/>
      <c r="F48" s="354"/>
      <c r="G48" s="348"/>
      <c r="H48" s="294"/>
      <c r="I48" s="294"/>
      <c r="J48" s="17"/>
      <c r="K48" s="17"/>
      <c r="L48" s="271"/>
      <c r="M48" s="272"/>
      <c r="N48" s="272"/>
      <c r="O48" s="272"/>
      <c r="P48" s="17"/>
      <c r="Q48" s="17"/>
      <c r="R48" s="17"/>
      <c r="S48" s="17"/>
      <c r="T48" s="17"/>
      <c r="U48" s="17"/>
      <c r="V48" s="17"/>
      <c r="W48" s="17"/>
      <c r="X48" s="17"/>
      <c r="Y48" s="17"/>
      <c r="Z48" s="17"/>
    </row>
    <row r="49" ht="13.5" customHeight="1">
      <c r="A49" s="16"/>
      <c r="B49" s="339"/>
      <c r="C49" s="330"/>
      <c r="D49" s="331"/>
      <c r="E49" s="331"/>
      <c r="F49" s="354"/>
      <c r="G49" s="348"/>
      <c r="H49" s="294"/>
      <c r="I49" s="294"/>
      <c r="J49" s="17"/>
      <c r="K49" s="17"/>
      <c r="L49" s="271"/>
      <c r="M49" s="272"/>
      <c r="N49" s="272"/>
      <c r="O49" s="272"/>
      <c r="P49" s="17"/>
      <c r="Q49" s="17"/>
      <c r="R49" s="17"/>
      <c r="S49" s="17"/>
      <c r="T49" s="17"/>
      <c r="U49" s="17"/>
      <c r="V49" s="17"/>
      <c r="W49" s="17"/>
      <c r="X49" s="17"/>
      <c r="Y49" s="17"/>
      <c r="Z49" s="17"/>
    </row>
    <row r="50" ht="13.5" customHeight="1">
      <c r="A50" s="16"/>
      <c r="B50" s="339"/>
      <c r="C50" s="359"/>
      <c r="D50" s="331"/>
      <c r="E50" s="331"/>
      <c r="F50" s="354"/>
      <c r="G50" s="348"/>
      <c r="H50" s="294"/>
      <c r="I50" s="294"/>
      <c r="J50" s="17"/>
      <c r="K50" s="17"/>
      <c r="L50" s="271"/>
      <c r="M50" s="272"/>
      <c r="N50" s="272"/>
      <c r="O50" s="272"/>
      <c r="P50" s="17"/>
      <c r="Q50" s="17"/>
      <c r="R50" s="17"/>
      <c r="S50" s="17"/>
      <c r="T50" s="17"/>
      <c r="U50" s="17"/>
      <c r="V50" s="17"/>
      <c r="W50" s="17"/>
      <c r="X50" s="17"/>
      <c r="Y50" s="17"/>
      <c r="Z50" s="17"/>
    </row>
    <row r="51" ht="13.5" customHeight="1">
      <c r="A51" s="16"/>
      <c r="B51" s="339"/>
      <c r="C51" s="330"/>
      <c r="D51" s="331"/>
      <c r="E51" s="331"/>
      <c r="F51" s="354"/>
      <c r="G51" s="348"/>
      <c r="H51" s="294"/>
      <c r="I51" s="294"/>
      <c r="J51" s="17"/>
      <c r="K51" s="17"/>
      <c r="L51" s="271"/>
      <c r="M51" s="272"/>
      <c r="N51" s="272"/>
      <c r="O51" s="272"/>
      <c r="P51" s="17"/>
      <c r="Q51" s="17"/>
      <c r="R51" s="17"/>
      <c r="S51" s="17"/>
      <c r="T51" s="17"/>
      <c r="U51" s="17"/>
      <c r="V51" s="17"/>
      <c r="W51" s="17"/>
      <c r="X51" s="17"/>
      <c r="Y51" s="17"/>
      <c r="Z51" s="17"/>
    </row>
    <row r="52" ht="12.75" customHeight="1">
      <c r="A52" s="16"/>
      <c r="B52" s="17"/>
      <c r="C52" s="17"/>
      <c r="D52" s="17"/>
      <c r="E52" s="17"/>
      <c r="F52" s="17"/>
      <c r="G52" s="17"/>
      <c r="H52" s="17"/>
      <c r="I52" s="17"/>
      <c r="J52" s="17"/>
      <c r="K52" s="17"/>
      <c r="L52" s="271"/>
      <c r="M52" s="272"/>
      <c r="N52" s="272"/>
      <c r="O52" s="272"/>
      <c r="P52" s="17"/>
      <c r="Q52" s="17"/>
      <c r="R52" s="17"/>
      <c r="S52" s="17"/>
      <c r="T52" s="17"/>
      <c r="U52" s="17"/>
      <c r="V52" s="17"/>
      <c r="W52" s="17"/>
      <c r="X52" s="17"/>
      <c r="Y52" s="17"/>
      <c r="Z52" s="17"/>
    </row>
    <row r="53" ht="12.75" customHeight="1">
      <c r="A53" s="16"/>
      <c r="B53" s="17"/>
      <c r="C53" s="17"/>
      <c r="D53" s="17"/>
      <c r="E53" s="17"/>
      <c r="F53" s="17"/>
      <c r="G53" s="17"/>
      <c r="H53" s="17"/>
      <c r="I53" s="17"/>
      <c r="J53" s="17"/>
      <c r="K53" s="17"/>
      <c r="L53" s="271"/>
      <c r="M53" s="272"/>
      <c r="N53" s="272"/>
      <c r="O53" s="272"/>
      <c r="P53" s="17"/>
      <c r="Q53" s="17"/>
      <c r="R53" s="17"/>
      <c r="S53" s="17"/>
      <c r="T53" s="17"/>
      <c r="U53" s="17"/>
      <c r="V53" s="17"/>
      <c r="W53" s="17"/>
      <c r="X53" s="17"/>
      <c r="Y53" s="17"/>
      <c r="Z53" s="17"/>
    </row>
    <row r="54" ht="12.75" customHeight="1">
      <c r="A54" s="16"/>
      <c r="B54" s="17"/>
      <c r="C54" s="17"/>
      <c r="D54" s="17"/>
      <c r="E54" s="17"/>
      <c r="F54" s="17"/>
      <c r="G54" s="17"/>
      <c r="H54" s="17"/>
      <c r="I54" s="17"/>
      <c r="J54" s="17"/>
      <c r="K54" s="17"/>
      <c r="L54" s="271"/>
      <c r="M54" s="272"/>
      <c r="N54" s="272"/>
      <c r="O54" s="272"/>
      <c r="P54" s="17"/>
      <c r="Q54" s="17"/>
      <c r="R54" s="17"/>
      <c r="S54" s="17"/>
      <c r="T54" s="17"/>
      <c r="U54" s="17"/>
      <c r="V54" s="17"/>
      <c r="W54" s="17"/>
      <c r="X54" s="17"/>
      <c r="Y54" s="17"/>
      <c r="Z54" s="17"/>
    </row>
    <row r="55" ht="12.75" customHeight="1">
      <c r="A55" s="16"/>
      <c r="B55" s="17"/>
      <c r="C55" s="17"/>
      <c r="D55" s="17"/>
      <c r="E55" s="17"/>
      <c r="F55" s="17"/>
      <c r="G55" s="17"/>
      <c r="H55" s="17"/>
      <c r="I55" s="17"/>
      <c r="J55" s="17"/>
      <c r="K55" s="17"/>
      <c r="L55" s="271"/>
      <c r="M55" s="272"/>
      <c r="N55" s="272"/>
      <c r="O55" s="272"/>
      <c r="P55" s="17"/>
      <c r="Q55" s="17"/>
      <c r="R55" s="17"/>
      <c r="S55" s="17"/>
      <c r="T55" s="17"/>
      <c r="U55" s="17"/>
      <c r="V55" s="17"/>
      <c r="W55" s="17"/>
      <c r="X55" s="17"/>
      <c r="Y55" s="17"/>
      <c r="Z55" s="17"/>
    </row>
    <row r="56" ht="12.75" customHeight="1">
      <c r="A56" s="16"/>
      <c r="B56" s="17"/>
      <c r="C56" s="17"/>
      <c r="D56" s="17"/>
      <c r="E56" s="17"/>
      <c r="F56" s="17"/>
      <c r="G56" s="17"/>
      <c r="H56" s="17"/>
      <c r="I56" s="17"/>
      <c r="J56" s="17"/>
      <c r="K56" s="17"/>
      <c r="L56" s="271"/>
      <c r="M56" s="272"/>
      <c r="N56" s="272"/>
      <c r="O56" s="272"/>
      <c r="P56" s="17"/>
      <c r="Q56" s="17"/>
      <c r="R56" s="17"/>
      <c r="S56" s="17"/>
      <c r="T56" s="17"/>
      <c r="U56" s="17"/>
      <c r="V56" s="17"/>
      <c r="W56" s="17"/>
      <c r="X56" s="17"/>
      <c r="Y56" s="17"/>
      <c r="Z56" s="17"/>
    </row>
    <row r="57" ht="12.75" customHeight="1">
      <c r="A57" s="16"/>
      <c r="B57" s="17"/>
      <c r="C57" s="17"/>
      <c r="D57" s="17"/>
      <c r="E57" s="17"/>
      <c r="F57" s="17"/>
      <c r="G57" s="17"/>
      <c r="H57" s="17"/>
      <c r="I57" s="17"/>
      <c r="J57" s="17"/>
      <c r="K57" s="17"/>
      <c r="L57" s="271"/>
      <c r="M57" s="272"/>
      <c r="N57" s="272"/>
      <c r="O57" s="272"/>
      <c r="P57" s="17"/>
      <c r="Q57" s="17"/>
      <c r="R57" s="17"/>
      <c r="S57" s="17"/>
      <c r="T57" s="17"/>
      <c r="U57" s="17"/>
      <c r="V57" s="17"/>
      <c r="W57" s="17"/>
      <c r="X57" s="17"/>
      <c r="Y57" s="17"/>
      <c r="Z57" s="17"/>
    </row>
    <row r="58" ht="12.75" customHeight="1">
      <c r="A58" s="16"/>
      <c r="B58" s="17"/>
      <c r="C58" s="17"/>
      <c r="D58" s="17"/>
      <c r="E58" s="17"/>
      <c r="F58" s="17"/>
      <c r="G58" s="17"/>
      <c r="H58" s="17"/>
      <c r="I58" s="17"/>
      <c r="J58" s="17"/>
      <c r="K58" s="17"/>
      <c r="L58" s="271"/>
      <c r="M58" s="272"/>
      <c r="N58" s="272"/>
      <c r="O58" s="272"/>
      <c r="P58" s="17"/>
      <c r="Q58" s="17"/>
      <c r="R58" s="17"/>
      <c r="S58" s="17"/>
      <c r="T58" s="17"/>
      <c r="U58" s="17"/>
      <c r="V58" s="17"/>
      <c r="W58" s="17"/>
      <c r="X58" s="17"/>
      <c r="Y58" s="17"/>
      <c r="Z58" s="17"/>
    </row>
    <row r="59" ht="12.75" customHeight="1">
      <c r="A59" s="16"/>
      <c r="B59" s="17"/>
      <c r="C59" s="17"/>
      <c r="D59" s="17"/>
      <c r="E59" s="17"/>
      <c r="F59" s="17"/>
      <c r="G59" s="17"/>
      <c r="H59" s="17"/>
      <c r="I59" s="17"/>
      <c r="J59" s="17"/>
      <c r="K59" s="17"/>
      <c r="L59" s="271"/>
      <c r="M59" s="272"/>
      <c r="N59" s="272"/>
      <c r="O59" s="272"/>
      <c r="P59" s="17"/>
      <c r="Q59" s="17"/>
      <c r="R59" s="17"/>
      <c r="S59" s="17"/>
      <c r="T59" s="17"/>
      <c r="U59" s="17"/>
      <c r="V59" s="17"/>
      <c r="W59" s="17"/>
      <c r="X59" s="17"/>
      <c r="Y59" s="17"/>
      <c r="Z59" s="17"/>
    </row>
    <row r="60" ht="12.75" customHeight="1">
      <c r="A60" s="16"/>
      <c r="B60" s="17"/>
      <c r="C60" s="17"/>
      <c r="D60" s="17"/>
      <c r="E60" s="17"/>
      <c r="F60" s="17"/>
      <c r="G60" s="17"/>
      <c r="H60" s="17"/>
      <c r="I60" s="17"/>
      <c r="J60" s="17"/>
      <c r="K60" s="17"/>
      <c r="L60" s="271"/>
      <c r="M60" s="272"/>
      <c r="N60" s="272"/>
      <c r="O60" s="272"/>
      <c r="P60" s="17"/>
      <c r="Q60" s="17"/>
      <c r="R60" s="17"/>
      <c r="S60" s="17"/>
      <c r="T60" s="17"/>
      <c r="U60" s="17"/>
      <c r="V60" s="17"/>
      <c r="W60" s="17"/>
      <c r="X60" s="17"/>
      <c r="Y60" s="17"/>
      <c r="Z60" s="17"/>
    </row>
    <row r="61" ht="12.75" customHeight="1">
      <c r="A61" s="16"/>
      <c r="B61" s="17"/>
      <c r="C61" s="17"/>
      <c r="D61" s="17"/>
      <c r="E61" s="17"/>
      <c r="F61" s="17"/>
      <c r="G61" s="17"/>
      <c r="H61" s="17"/>
      <c r="I61" s="17"/>
      <c r="J61" s="17"/>
      <c r="K61" s="17"/>
      <c r="L61" s="271"/>
      <c r="M61" s="272"/>
      <c r="N61" s="272"/>
      <c r="O61" s="272"/>
      <c r="P61" s="17"/>
      <c r="Q61" s="17"/>
      <c r="R61" s="17"/>
      <c r="S61" s="17"/>
      <c r="T61" s="17"/>
      <c r="U61" s="17"/>
      <c r="V61" s="17"/>
      <c r="W61" s="17"/>
      <c r="X61" s="17"/>
      <c r="Y61" s="17"/>
      <c r="Z61" s="17"/>
    </row>
    <row r="62" ht="12.75" customHeight="1">
      <c r="A62" s="16"/>
      <c r="B62" s="17"/>
      <c r="C62" s="17"/>
      <c r="D62" s="17"/>
      <c r="E62" s="17"/>
      <c r="F62" s="17"/>
      <c r="G62" s="17"/>
      <c r="H62" s="17"/>
      <c r="I62" s="17"/>
      <c r="J62" s="17"/>
      <c r="K62" s="17"/>
      <c r="L62" s="271"/>
      <c r="M62" s="272"/>
      <c r="N62" s="272"/>
      <c r="O62" s="272"/>
      <c r="P62" s="17"/>
      <c r="Q62" s="17"/>
      <c r="R62" s="17"/>
      <c r="S62" s="17"/>
      <c r="T62" s="17"/>
      <c r="U62" s="17"/>
      <c r="V62" s="17"/>
      <c r="W62" s="17"/>
      <c r="X62" s="17"/>
      <c r="Y62" s="17"/>
      <c r="Z62" s="17"/>
    </row>
    <row r="63" ht="12.75" customHeight="1">
      <c r="A63" s="16"/>
      <c r="B63" s="17"/>
      <c r="C63" s="17"/>
      <c r="D63" s="17"/>
      <c r="E63" s="17"/>
      <c r="F63" s="17"/>
      <c r="G63" s="17"/>
      <c r="H63" s="17"/>
      <c r="I63" s="17"/>
      <c r="J63" s="17"/>
      <c r="K63" s="17"/>
      <c r="L63" s="271"/>
      <c r="M63" s="272"/>
      <c r="N63" s="272"/>
      <c r="O63" s="272"/>
      <c r="P63" s="17"/>
      <c r="Q63" s="17"/>
      <c r="R63" s="17"/>
      <c r="S63" s="17"/>
      <c r="T63" s="17"/>
      <c r="U63" s="17"/>
      <c r="V63" s="17"/>
      <c r="W63" s="17"/>
      <c r="X63" s="17"/>
      <c r="Y63" s="17"/>
      <c r="Z63" s="17"/>
    </row>
    <row r="64" ht="12.75" customHeight="1">
      <c r="A64" s="16"/>
      <c r="B64" s="17"/>
      <c r="C64" s="17"/>
      <c r="D64" s="17"/>
      <c r="E64" s="17"/>
      <c r="F64" s="17"/>
      <c r="G64" s="17"/>
      <c r="H64" s="17"/>
      <c r="I64" s="17"/>
      <c r="J64" s="17"/>
      <c r="K64" s="17"/>
      <c r="L64" s="271"/>
      <c r="M64" s="272"/>
      <c r="N64" s="272"/>
      <c r="O64" s="272"/>
      <c r="P64" s="17"/>
      <c r="Q64" s="17"/>
      <c r="R64" s="17"/>
      <c r="S64" s="17"/>
      <c r="T64" s="17"/>
      <c r="U64" s="17"/>
      <c r="V64" s="17"/>
      <c r="W64" s="17"/>
      <c r="X64" s="17"/>
      <c r="Y64" s="17"/>
      <c r="Z64" s="17"/>
    </row>
    <row r="65" ht="12.75" customHeight="1">
      <c r="A65" s="16"/>
      <c r="B65" s="17"/>
      <c r="C65" s="17"/>
      <c r="D65" s="17"/>
      <c r="E65" s="17"/>
      <c r="F65" s="17"/>
      <c r="G65" s="17"/>
      <c r="H65" s="17"/>
      <c r="I65" s="17"/>
      <c r="J65" s="17"/>
      <c r="K65" s="17"/>
      <c r="L65" s="271"/>
      <c r="M65" s="272"/>
      <c r="N65" s="272"/>
      <c r="O65" s="272"/>
      <c r="P65" s="17"/>
      <c r="Q65" s="17"/>
      <c r="R65" s="17"/>
      <c r="S65" s="17"/>
      <c r="T65" s="17"/>
      <c r="U65" s="17"/>
      <c r="V65" s="17"/>
      <c r="W65" s="17"/>
      <c r="X65" s="17"/>
      <c r="Y65" s="17"/>
      <c r="Z65" s="17"/>
    </row>
    <row r="66" ht="12.75" customHeight="1">
      <c r="A66" s="16"/>
      <c r="B66" s="17"/>
      <c r="C66" s="17"/>
      <c r="D66" s="17"/>
      <c r="E66" s="17"/>
      <c r="F66" s="17"/>
      <c r="G66" s="17"/>
      <c r="H66" s="17"/>
      <c r="I66" s="17"/>
      <c r="J66" s="17"/>
      <c r="K66" s="17"/>
      <c r="L66" s="271"/>
      <c r="M66" s="272"/>
      <c r="N66" s="272"/>
      <c r="O66" s="272"/>
      <c r="P66" s="17"/>
      <c r="Q66" s="17"/>
      <c r="R66" s="17"/>
      <c r="S66" s="17"/>
      <c r="T66" s="17"/>
      <c r="U66" s="17"/>
      <c r="V66" s="17"/>
      <c r="W66" s="17"/>
      <c r="X66" s="17"/>
      <c r="Y66" s="17"/>
      <c r="Z66" s="17"/>
    </row>
    <row r="67" ht="12.75" customHeight="1">
      <c r="A67" s="16"/>
      <c r="B67" s="17"/>
      <c r="C67" s="17"/>
      <c r="D67" s="17"/>
      <c r="E67" s="17"/>
      <c r="F67" s="17"/>
      <c r="G67" s="17"/>
      <c r="H67" s="17"/>
      <c r="I67" s="17"/>
      <c r="J67" s="17"/>
      <c r="K67" s="17"/>
      <c r="L67" s="271"/>
      <c r="M67" s="272"/>
      <c r="N67" s="272"/>
      <c r="O67" s="272"/>
      <c r="P67" s="17"/>
      <c r="Q67" s="17"/>
      <c r="R67" s="17"/>
      <c r="S67" s="17"/>
      <c r="T67" s="17"/>
      <c r="U67" s="17"/>
      <c r="V67" s="17"/>
      <c r="W67" s="17"/>
      <c r="X67" s="17"/>
      <c r="Y67" s="17"/>
      <c r="Z67" s="17"/>
    </row>
    <row r="68" ht="12.75" customHeight="1">
      <c r="A68" s="16"/>
      <c r="B68" s="17"/>
      <c r="C68" s="17"/>
      <c r="D68" s="17"/>
      <c r="E68" s="17"/>
      <c r="F68" s="17"/>
      <c r="G68" s="17"/>
      <c r="H68" s="17"/>
      <c r="I68" s="17"/>
      <c r="J68" s="17"/>
      <c r="K68" s="17"/>
      <c r="L68" s="271"/>
      <c r="M68" s="272"/>
      <c r="N68" s="272"/>
      <c r="O68" s="272"/>
      <c r="P68" s="17"/>
      <c r="Q68" s="17"/>
      <c r="R68" s="17"/>
      <c r="S68" s="17"/>
      <c r="T68" s="17"/>
      <c r="U68" s="17"/>
      <c r="V68" s="17"/>
      <c r="W68" s="17"/>
      <c r="X68" s="17"/>
      <c r="Y68" s="17"/>
      <c r="Z68" s="17"/>
    </row>
    <row r="69" ht="12.75" customHeight="1">
      <c r="A69" s="16"/>
      <c r="B69" s="294"/>
      <c r="C69" s="294"/>
      <c r="D69" s="294"/>
      <c r="E69" s="294"/>
      <c r="F69" s="294"/>
      <c r="G69" s="294"/>
      <c r="H69" s="294"/>
      <c r="I69" s="294"/>
      <c r="J69" s="294"/>
      <c r="K69" s="294"/>
      <c r="L69" s="295"/>
      <c r="M69" s="296"/>
      <c r="N69" s="296"/>
      <c r="O69" s="296"/>
      <c r="P69" s="17"/>
      <c r="Q69" s="17"/>
      <c r="R69" s="17"/>
      <c r="S69" s="17"/>
      <c r="T69" s="17"/>
      <c r="U69" s="17"/>
      <c r="V69" s="17"/>
      <c r="W69" s="17"/>
      <c r="X69" s="17"/>
      <c r="Y69" s="17"/>
      <c r="Z69" s="17"/>
    </row>
    <row r="70" ht="12.75" customHeight="1">
      <c r="A70" s="16"/>
      <c r="B70" s="275"/>
      <c r="C70" s="275"/>
      <c r="D70" s="275"/>
      <c r="E70" s="275"/>
      <c r="F70" s="275"/>
      <c r="G70" s="275"/>
      <c r="H70" s="275"/>
      <c r="I70" s="17"/>
      <c r="J70" s="17"/>
      <c r="K70" s="17"/>
      <c r="L70" s="271"/>
      <c r="M70" s="272"/>
      <c r="N70" s="272"/>
      <c r="O70" s="272"/>
      <c r="P70" s="17"/>
      <c r="Q70" s="17"/>
      <c r="R70" s="17"/>
      <c r="S70" s="17"/>
      <c r="T70" s="17"/>
      <c r="U70" s="17"/>
      <c r="V70" s="17"/>
      <c r="W70" s="17"/>
      <c r="X70" s="17"/>
      <c r="Y70" s="17"/>
      <c r="Z70" s="17"/>
    </row>
    <row r="71" ht="12.75" customHeight="1">
      <c r="A71" s="16"/>
      <c r="B71" s="275"/>
      <c r="C71" s="275"/>
      <c r="D71" s="275"/>
      <c r="E71" s="275"/>
      <c r="F71" s="275"/>
      <c r="G71" s="275"/>
      <c r="H71" s="275"/>
      <c r="I71" s="17"/>
      <c r="J71" s="17"/>
      <c r="K71" s="17"/>
      <c r="L71" s="271"/>
      <c r="M71" s="272"/>
      <c r="N71" s="272"/>
      <c r="O71" s="272"/>
      <c r="P71" s="17"/>
      <c r="Q71" s="17"/>
      <c r="R71" s="17"/>
      <c r="S71" s="17"/>
      <c r="T71" s="17"/>
      <c r="U71" s="17"/>
      <c r="V71" s="17"/>
      <c r="W71" s="17"/>
      <c r="X71" s="17"/>
      <c r="Y71" s="17"/>
      <c r="Z71" s="17"/>
    </row>
    <row r="72" ht="12.75" customHeight="1">
      <c r="A72" s="16"/>
      <c r="B72" s="275"/>
      <c r="C72" s="275"/>
      <c r="D72" s="275"/>
      <c r="E72" s="275"/>
      <c r="F72" s="275"/>
      <c r="G72" s="275"/>
      <c r="H72" s="275"/>
      <c r="I72" s="17"/>
      <c r="J72" s="17"/>
      <c r="K72" s="17"/>
      <c r="L72" s="271"/>
      <c r="M72" s="272"/>
      <c r="N72" s="272"/>
      <c r="O72" s="272"/>
      <c r="P72" s="17"/>
      <c r="Q72" s="17"/>
      <c r="R72" s="17"/>
      <c r="S72" s="17"/>
      <c r="T72" s="17"/>
      <c r="U72" s="17"/>
      <c r="V72" s="17"/>
      <c r="W72" s="17"/>
      <c r="X72" s="17"/>
      <c r="Y72" s="17"/>
      <c r="Z72" s="17"/>
    </row>
    <row r="73" ht="12.75" customHeight="1">
      <c r="A73" s="16"/>
      <c r="B73" s="275"/>
      <c r="C73" s="275"/>
      <c r="D73" s="275"/>
      <c r="E73" s="275"/>
      <c r="F73" s="275"/>
      <c r="G73" s="275"/>
      <c r="H73" s="275"/>
      <c r="I73" s="17"/>
      <c r="J73" s="17"/>
      <c r="K73" s="17"/>
      <c r="L73" s="271"/>
      <c r="M73" s="272"/>
      <c r="N73" s="272"/>
      <c r="O73" s="272"/>
      <c r="P73" s="17"/>
      <c r="Q73" s="17"/>
      <c r="R73" s="17"/>
      <c r="S73" s="17"/>
      <c r="T73" s="17"/>
      <c r="U73" s="17"/>
      <c r="V73" s="17"/>
      <c r="W73" s="17"/>
      <c r="X73" s="17"/>
      <c r="Y73" s="17"/>
      <c r="Z73" s="17"/>
    </row>
    <row r="74" ht="12.75" customHeight="1">
      <c r="A74" s="16"/>
      <c r="B74" s="275"/>
      <c r="C74" s="275"/>
      <c r="D74" s="275"/>
      <c r="E74" s="275"/>
      <c r="F74" s="275"/>
      <c r="G74" s="275"/>
      <c r="H74" s="275"/>
      <c r="I74" s="17"/>
      <c r="J74" s="17"/>
      <c r="K74" s="17"/>
      <c r="L74" s="271"/>
      <c r="M74" s="272"/>
      <c r="N74" s="272"/>
      <c r="O74" s="272"/>
      <c r="P74" s="17"/>
      <c r="Q74" s="17"/>
      <c r="R74" s="17"/>
      <c r="S74" s="17"/>
      <c r="T74" s="17"/>
      <c r="U74" s="17"/>
      <c r="V74" s="17"/>
      <c r="W74" s="17"/>
      <c r="X74" s="17"/>
      <c r="Y74" s="17"/>
      <c r="Z74" s="17"/>
    </row>
    <row r="75" ht="12.75" customHeight="1">
      <c r="A75" s="16"/>
      <c r="B75" s="275"/>
      <c r="C75" s="275"/>
      <c r="D75" s="275"/>
      <c r="E75" s="275"/>
      <c r="F75" s="275"/>
      <c r="G75" s="275"/>
      <c r="H75" s="275"/>
      <c r="I75" s="17"/>
      <c r="J75" s="17"/>
      <c r="K75" s="17"/>
      <c r="L75" s="271"/>
      <c r="M75" s="272"/>
      <c r="N75" s="272"/>
      <c r="O75" s="272"/>
      <c r="P75" s="17"/>
      <c r="Q75" s="17"/>
      <c r="R75" s="17"/>
      <c r="S75" s="17"/>
      <c r="T75" s="17"/>
      <c r="U75" s="17"/>
      <c r="V75" s="17"/>
      <c r="W75" s="17"/>
      <c r="X75" s="17"/>
      <c r="Y75" s="17"/>
      <c r="Z75" s="17"/>
    </row>
    <row r="76" ht="12.75" customHeight="1">
      <c r="A76" s="16"/>
      <c r="B76" s="275"/>
      <c r="C76" s="275"/>
      <c r="D76" s="275"/>
      <c r="E76" s="275"/>
      <c r="F76" s="275"/>
      <c r="G76" s="275"/>
      <c r="H76" s="275"/>
      <c r="I76" s="17"/>
      <c r="J76" s="17"/>
      <c r="K76" s="17"/>
      <c r="L76" s="271"/>
      <c r="M76" s="272"/>
      <c r="N76" s="272"/>
      <c r="O76" s="272"/>
      <c r="P76" s="17"/>
      <c r="Q76" s="17"/>
      <c r="R76" s="17"/>
      <c r="S76" s="17"/>
      <c r="T76" s="17"/>
      <c r="U76" s="17"/>
      <c r="V76" s="17"/>
      <c r="W76" s="17"/>
      <c r="X76" s="17"/>
      <c r="Y76" s="17"/>
      <c r="Z76" s="17"/>
    </row>
    <row r="77" ht="12.75" customHeight="1">
      <c r="A77" s="16"/>
      <c r="B77" s="275"/>
      <c r="C77" s="275"/>
      <c r="D77" s="275"/>
      <c r="E77" s="275"/>
      <c r="F77" s="275"/>
      <c r="G77" s="275"/>
      <c r="H77" s="275"/>
      <c r="I77" s="17"/>
      <c r="J77" s="17"/>
      <c r="K77" s="17"/>
      <c r="L77" s="271"/>
      <c r="M77" s="272"/>
      <c r="N77" s="272"/>
      <c r="O77" s="272"/>
      <c r="P77" s="17"/>
      <c r="Q77" s="17"/>
      <c r="R77" s="17"/>
      <c r="S77" s="17"/>
      <c r="T77" s="17"/>
      <c r="U77" s="17"/>
      <c r="V77" s="17"/>
      <c r="W77" s="17"/>
      <c r="X77" s="17"/>
      <c r="Y77" s="17"/>
      <c r="Z77" s="17"/>
    </row>
    <row r="78" ht="12.75" customHeight="1">
      <c r="A78" s="16"/>
      <c r="B78" s="275"/>
      <c r="C78" s="275"/>
      <c r="D78" s="275"/>
      <c r="E78" s="275"/>
      <c r="F78" s="275"/>
      <c r="G78" s="275"/>
      <c r="H78" s="275"/>
      <c r="I78" s="17"/>
      <c r="J78" s="17"/>
      <c r="K78" s="17"/>
      <c r="L78" s="271"/>
      <c r="M78" s="272"/>
      <c r="N78" s="272"/>
      <c r="O78" s="272"/>
      <c r="P78" s="17"/>
      <c r="Q78" s="17"/>
      <c r="R78" s="17"/>
      <c r="S78" s="17"/>
      <c r="T78" s="17"/>
      <c r="U78" s="17"/>
      <c r="V78" s="17"/>
      <c r="W78" s="17"/>
      <c r="X78" s="17"/>
      <c r="Y78" s="17"/>
      <c r="Z78" s="17"/>
    </row>
    <row r="79" ht="12.75" customHeight="1">
      <c r="A79" s="16"/>
      <c r="B79" s="275"/>
      <c r="C79" s="275"/>
      <c r="D79" s="275"/>
      <c r="E79" s="275"/>
      <c r="F79" s="275"/>
      <c r="G79" s="275"/>
      <c r="H79" s="275"/>
      <c r="I79" s="17"/>
      <c r="J79" s="17"/>
      <c r="K79" s="17"/>
      <c r="L79" s="271"/>
      <c r="M79" s="272"/>
      <c r="N79" s="272"/>
      <c r="O79" s="272"/>
      <c r="P79" s="17"/>
      <c r="Q79" s="17"/>
      <c r="R79" s="17"/>
      <c r="S79" s="17"/>
      <c r="T79" s="17"/>
      <c r="U79" s="17"/>
      <c r="V79" s="17"/>
      <c r="W79" s="17"/>
      <c r="X79" s="17"/>
      <c r="Y79" s="17"/>
      <c r="Z79" s="17"/>
    </row>
    <row r="80" ht="12.75" customHeight="1">
      <c r="A80" s="16"/>
      <c r="B80" s="275"/>
      <c r="C80" s="275"/>
      <c r="D80" s="275"/>
      <c r="E80" s="275"/>
      <c r="F80" s="275"/>
      <c r="G80" s="275"/>
      <c r="H80" s="275"/>
      <c r="I80" s="17"/>
      <c r="J80" s="17"/>
      <c r="K80" s="17"/>
      <c r="L80" s="271"/>
      <c r="M80" s="272"/>
      <c r="N80" s="272"/>
      <c r="O80" s="272"/>
      <c r="P80" s="17"/>
      <c r="Q80" s="17"/>
      <c r="R80" s="17"/>
      <c r="S80" s="17"/>
      <c r="T80" s="17"/>
      <c r="U80" s="17"/>
      <c r="V80" s="17"/>
      <c r="W80" s="17"/>
      <c r="X80" s="17"/>
      <c r="Y80" s="17"/>
      <c r="Z80" s="17"/>
    </row>
    <row r="81" ht="12.75" customHeight="1">
      <c r="A81" s="16"/>
      <c r="B81" s="275"/>
      <c r="C81" s="275"/>
      <c r="D81" s="275"/>
      <c r="E81" s="275"/>
      <c r="F81" s="275"/>
      <c r="G81" s="275"/>
      <c r="H81" s="275"/>
      <c r="I81" s="17"/>
      <c r="J81" s="17"/>
      <c r="K81" s="17"/>
      <c r="L81" s="271"/>
      <c r="M81" s="272"/>
      <c r="N81" s="272"/>
      <c r="O81" s="272"/>
      <c r="P81" s="17"/>
      <c r="Q81" s="17"/>
      <c r="R81" s="17"/>
      <c r="S81" s="17"/>
      <c r="T81" s="17"/>
      <c r="U81" s="17"/>
      <c r="V81" s="17"/>
      <c r="W81" s="17"/>
      <c r="X81" s="17"/>
      <c r="Y81" s="17"/>
      <c r="Z81" s="17"/>
    </row>
    <row r="82" ht="12.75" customHeight="1">
      <c r="A82" s="16"/>
      <c r="B82" s="275"/>
      <c r="C82" s="275"/>
      <c r="D82" s="275"/>
      <c r="E82" s="275"/>
      <c r="F82" s="275"/>
      <c r="G82" s="275"/>
      <c r="H82" s="275"/>
      <c r="I82" s="17"/>
      <c r="J82" s="17"/>
      <c r="K82" s="17"/>
      <c r="L82" s="271"/>
      <c r="M82" s="272"/>
      <c r="N82" s="272"/>
      <c r="O82" s="272"/>
      <c r="P82" s="17"/>
      <c r="Q82" s="17"/>
      <c r="R82" s="17"/>
      <c r="S82" s="17"/>
      <c r="T82" s="17"/>
      <c r="U82" s="17"/>
      <c r="V82" s="17"/>
      <c r="W82" s="17"/>
      <c r="X82" s="17"/>
      <c r="Y82" s="17"/>
      <c r="Z82" s="17"/>
    </row>
    <row r="83" ht="12.75" customHeight="1">
      <c r="A83" s="16"/>
      <c r="B83" s="275"/>
      <c r="C83" s="275"/>
      <c r="D83" s="275"/>
      <c r="E83" s="275"/>
      <c r="F83" s="275"/>
      <c r="G83" s="275"/>
      <c r="H83" s="275"/>
      <c r="I83" s="17"/>
      <c r="J83" s="17"/>
      <c r="K83" s="17"/>
      <c r="L83" s="271"/>
      <c r="M83" s="272"/>
      <c r="N83" s="272"/>
      <c r="O83" s="272"/>
      <c r="P83" s="17"/>
      <c r="Q83" s="17"/>
      <c r="R83" s="17"/>
      <c r="S83" s="17"/>
      <c r="T83" s="17"/>
      <c r="U83" s="17"/>
      <c r="V83" s="17"/>
      <c r="W83" s="17"/>
      <c r="X83" s="17"/>
      <c r="Y83" s="17"/>
      <c r="Z83" s="17"/>
    </row>
    <row r="84" ht="12.75" customHeight="1">
      <c r="A84" s="16"/>
      <c r="B84" s="275"/>
      <c r="C84" s="275"/>
      <c r="D84" s="275"/>
      <c r="E84" s="275"/>
      <c r="F84" s="275"/>
      <c r="G84" s="275"/>
      <c r="H84" s="275"/>
      <c r="I84" s="17"/>
      <c r="J84" s="17"/>
      <c r="K84" s="17"/>
      <c r="L84" s="271"/>
      <c r="M84" s="272"/>
      <c r="N84" s="272"/>
      <c r="O84" s="272"/>
      <c r="P84" s="17"/>
      <c r="Q84" s="17"/>
      <c r="R84" s="17"/>
      <c r="S84" s="17"/>
      <c r="T84" s="17"/>
      <c r="U84" s="17"/>
      <c r="V84" s="17"/>
      <c r="W84" s="17"/>
      <c r="X84" s="17"/>
      <c r="Y84" s="17"/>
      <c r="Z84" s="17"/>
    </row>
    <row r="85" ht="12.75" customHeight="1">
      <c r="A85" s="16"/>
      <c r="B85" s="275"/>
      <c r="C85" s="275"/>
      <c r="D85" s="275"/>
      <c r="E85" s="275"/>
      <c r="F85" s="275"/>
      <c r="G85" s="275"/>
      <c r="H85" s="275"/>
      <c r="I85" s="17"/>
      <c r="J85" s="17"/>
      <c r="K85" s="17"/>
      <c r="L85" s="271"/>
      <c r="M85" s="272"/>
      <c r="N85" s="272"/>
      <c r="O85" s="272"/>
      <c r="P85" s="17"/>
      <c r="Q85" s="17"/>
      <c r="R85" s="17"/>
      <c r="S85" s="17"/>
      <c r="T85" s="17"/>
      <c r="U85" s="17"/>
      <c r="V85" s="17"/>
      <c r="W85" s="17"/>
      <c r="X85" s="17"/>
      <c r="Y85" s="17"/>
      <c r="Z85" s="17"/>
    </row>
    <row r="86" ht="12.75" customHeight="1">
      <c r="A86" s="16"/>
      <c r="B86" s="275"/>
      <c r="C86" s="275"/>
      <c r="D86" s="275"/>
      <c r="E86" s="275"/>
      <c r="F86" s="275"/>
      <c r="G86" s="275"/>
      <c r="H86" s="275"/>
      <c r="I86" s="17"/>
      <c r="J86" s="17"/>
      <c r="K86" s="17"/>
      <c r="L86" s="271"/>
      <c r="M86" s="272"/>
      <c r="N86" s="272"/>
      <c r="O86" s="272"/>
      <c r="P86" s="17"/>
      <c r="Q86" s="17"/>
      <c r="R86" s="17"/>
      <c r="S86" s="17"/>
      <c r="T86" s="17"/>
      <c r="U86" s="17"/>
      <c r="V86" s="17"/>
      <c r="W86" s="17"/>
      <c r="X86" s="17"/>
      <c r="Y86" s="17"/>
      <c r="Z86" s="17"/>
    </row>
    <row r="87" ht="12.75" customHeight="1">
      <c r="A87" s="16"/>
      <c r="B87" s="275"/>
      <c r="C87" s="275"/>
      <c r="D87" s="275"/>
      <c r="E87" s="275"/>
      <c r="F87" s="275"/>
      <c r="G87" s="275"/>
      <c r="H87" s="275"/>
      <c r="I87" s="17"/>
      <c r="J87" s="17"/>
      <c r="K87" s="17"/>
      <c r="L87" s="271"/>
      <c r="M87" s="272"/>
      <c r="N87" s="272"/>
      <c r="O87" s="272"/>
      <c r="P87" s="17"/>
      <c r="Q87" s="17"/>
      <c r="R87" s="17"/>
      <c r="S87" s="17"/>
      <c r="T87" s="17"/>
      <c r="U87" s="17"/>
      <c r="V87" s="17"/>
      <c r="W87" s="17"/>
      <c r="X87" s="17"/>
      <c r="Y87" s="17"/>
      <c r="Z87" s="17"/>
    </row>
    <row r="88" ht="12.75" customHeight="1">
      <c r="A88" s="16"/>
      <c r="B88" s="275"/>
      <c r="C88" s="275"/>
      <c r="D88" s="275"/>
      <c r="E88" s="275"/>
      <c r="F88" s="275"/>
      <c r="G88" s="275"/>
      <c r="H88" s="275"/>
      <c r="I88" s="17"/>
      <c r="J88" s="17"/>
      <c r="K88" s="17"/>
      <c r="L88" s="271"/>
      <c r="M88" s="272"/>
      <c r="N88" s="272"/>
      <c r="O88" s="272"/>
      <c r="P88" s="17"/>
      <c r="Q88" s="17"/>
      <c r="R88" s="17"/>
      <c r="S88" s="17"/>
      <c r="T88" s="17"/>
      <c r="U88" s="17"/>
      <c r="V88" s="17"/>
      <c r="W88" s="17"/>
      <c r="X88" s="17"/>
      <c r="Y88" s="17"/>
      <c r="Z88" s="17"/>
    </row>
    <row r="89" ht="12.75" customHeight="1">
      <c r="A89" s="16"/>
      <c r="B89" s="275"/>
      <c r="C89" s="275"/>
      <c r="D89" s="275"/>
      <c r="E89" s="275"/>
      <c r="F89" s="275"/>
      <c r="G89" s="275"/>
      <c r="H89" s="275"/>
      <c r="I89" s="17"/>
      <c r="J89" s="17"/>
      <c r="K89" s="17"/>
      <c r="L89" s="271"/>
      <c r="M89" s="272"/>
      <c r="N89" s="272"/>
      <c r="O89" s="272"/>
      <c r="P89" s="17"/>
      <c r="Q89" s="17"/>
      <c r="R89" s="17"/>
      <c r="S89" s="17"/>
      <c r="T89" s="17"/>
      <c r="U89" s="17"/>
      <c r="V89" s="17"/>
      <c r="W89" s="17"/>
      <c r="X89" s="17"/>
      <c r="Y89" s="17"/>
      <c r="Z89" s="17"/>
    </row>
    <row r="90" ht="12.75" customHeight="1">
      <c r="A90" s="16"/>
      <c r="B90" s="275"/>
      <c r="C90" s="275"/>
      <c r="D90" s="275"/>
      <c r="E90" s="275"/>
      <c r="F90" s="275"/>
      <c r="G90" s="275"/>
      <c r="H90" s="275"/>
      <c r="I90" s="17"/>
      <c r="J90" s="17"/>
      <c r="K90" s="17"/>
      <c r="L90" s="271"/>
      <c r="M90" s="272"/>
      <c r="N90" s="272"/>
      <c r="O90" s="272"/>
      <c r="P90" s="17"/>
      <c r="Q90" s="17"/>
      <c r="R90" s="17"/>
      <c r="S90" s="17"/>
      <c r="T90" s="17"/>
      <c r="U90" s="17"/>
      <c r="V90" s="17"/>
      <c r="W90" s="17"/>
      <c r="X90" s="17"/>
      <c r="Y90" s="17"/>
      <c r="Z90" s="17"/>
    </row>
    <row r="91" ht="12.75" customHeight="1">
      <c r="A91" s="16"/>
      <c r="B91" s="275"/>
      <c r="C91" s="275"/>
      <c r="D91" s="275"/>
      <c r="E91" s="275"/>
      <c r="F91" s="275"/>
      <c r="G91" s="275"/>
      <c r="H91" s="275"/>
      <c r="I91" s="17"/>
      <c r="J91" s="17"/>
      <c r="K91" s="17"/>
      <c r="L91" s="271"/>
      <c r="M91" s="272"/>
      <c r="N91" s="272"/>
      <c r="O91" s="272"/>
      <c r="P91" s="17"/>
      <c r="Q91" s="17"/>
      <c r="R91" s="17"/>
      <c r="S91" s="17"/>
      <c r="T91" s="17"/>
      <c r="U91" s="17"/>
      <c r="V91" s="17"/>
      <c r="W91" s="17"/>
      <c r="X91" s="17"/>
      <c r="Y91" s="17"/>
      <c r="Z91" s="17"/>
    </row>
    <row r="92" ht="12.75" customHeight="1">
      <c r="A92" s="16"/>
      <c r="B92" s="275"/>
      <c r="C92" s="275"/>
      <c r="D92" s="275"/>
      <c r="E92" s="275"/>
      <c r="F92" s="275"/>
      <c r="G92" s="275"/>
      <c r="H92" s="275"/>
      <c r="I92" s="17"/>
      <c r="J92" s="17"/>
      <c r="K92" s="17"/>
      <c r="L92" s="271"/>
      <c r="M92" s="272"/>
      <c r="N92" s="272"/>
      <c r="O92" s="272"/>
      <c r="P92" s="17"/>
      <c r="Q92" s="17"/>
      <c r="R92" s="17"/>
      <c r="S92" s="17"/>
      <c r="T92" s="17"/>
      <c r="U92" s="17"/>
      <c r="V92" s="17"/>
      <c r="W92" s="17"/>
      <c r="X92" s="17"/>
      <c r="Y92" s="17"/>
      <c r="Z92" s="17"/>
    </row>
    <row r="93" ht="12.75" customHeight="1">
      <c r="A93" s="16"/>
      <c r="B93" s="275"/>
      <c r="C93" s="275"/>
      <c r="D93" s="275"/>
      <c r="E93" s="275"/>
      <c r="F93" s="275"/>
      <c r="G93" s="275"/>
      <c r="H93" s="275"/>
      <c r="I93" s="17"/>
      <c r="J93" s="17"/>
      <c r="K93" s="17"/>
      <c r="L93" s="271"/>
      <c r="M93" s="272"/>
      <c r="N93" s="272"/>
      <c r="O93" s="272"/>
      <c r="P93" s="17"/>
      <c r="Q93" s="17"/>
      <c r="R93" s="17"/>
      <c r="S93" s="17"/>
      <c r="T93" s="17"/>
      <c r="U93" s="17"/>
      <c r="V93" s="17"/>
      <c r="W93" s="17"/>
      <c r="X93" s="17"/>
      <c r="Y93" s="17"/>
      <c r="Z93" s="17"/>
    </row>
    <row r="94" ht="12.75" customHeight="1">
      <c r="A94" s="16"/>
      <c r="B94" s="275"/>
      <c r="C94" s="275"/>
      <c r="D94" s="275"/>
      <c r="E94" s="275"/>
      <c r="F94" s="275"/>
      <c r="G94" s="275"/>
      <c r="H94" s="275"/>
      <c r="I94" s="17"/>
      <c r="J94" s="17"/>
      <c r="K94" s="17"/>
      <c r="L94" s="271"/>
      <c r="M94" s="272"/>
      <c r="N94" s="272"/>
      <c r="O94" s="272"/>
      <c r="P94" s="17"/>
      <c r="Q94" s="17"/>
      <c r="R94" s="17"/>
      <c r="S94" s="17"/>
      <c r="T94" s="17"/>
      <c r="U94" s="17"/>
      <c r="V94" s="17"/>
      <c r="W94" s="17"/>
      <c r="X94" s="17"/>
      <c r="Y94" s="17"/>
      <c r="Z94" s="17"/>
    </row>
    <row r="95" ht="12.75" customHeight="1">
      <c r="A95" s="16"/>
      <c r="B95" s="275"/>
      <c r="C95" s="275"/>
      <c r="D95" s="275"/>
      <c r="E95" s="275"/>
      <c r="F95" s="275"/>
      <c r="G95" s="275"/>
      <c r="H95" s="275"/>
      <c r="I95" s="17"/>
      <c r="J95" s="17"/>
      <c r="K95" s="17"/>
      <c r="L95" s="271"/>
      <c r="M95" s="272"/>
      <c r="N95" s="272"/>
      <c r="O95" s="272"/>
      <c r="P95" s="17"/>
      <c r="Q95" s="17"/>
      <c r="R95" s="17"/>
      <c r="S95" s="17"/>
      <c r="T95" s="17"/>
      <c r="U95" s="17"/>
      <c r="V95" s="17"/>
      <c r="W95" s="17"/>
      <c r="X95" s="17"/>
      <c r="Y95" s="17"/>
      <c r="Z95" s="17"/>
    </row>
    <row r="96" ht="12.75" customHeight="1">
      <c r="A96" s="16"/>
      <c r="B96" s="275"/>
      <c r="C96" s="275"/>
      <c r="D96" s="275"/>
      <c r="E96" s="275"/>
      <c r="F96" s="275"/>
      <c r="G96" s="275"/>
      <c r="H96" s="275"/>
      <c r="I96" s="17"/>
      <c r="J96" s="17"/>
      <c r="K96" s="17"/>
      <c r="L96" s="271"/>
      <c r="M96" s="272"/>
      <c r="N96" s="272"/>
      <c r="O96" s="272"/>
      <c r="P96" s="17"/>
      <c r="Q96" s="17"/>
      <c r="R96" s="17"/>
      <c r="S96" s="17"/>
      <c r="T96" s="17"/>
      <c r="U96" s="17"/>
      <c r="V96" s="17"/>
      <c r="W96" s="17"/>
      <c r="X96" s="17"/>
      <c r="Y96" s="17"/>
      <c r="Z96" s="17"/>
    </row>
    <row r="97" ht="12.75" customHeight="1">
      <c r="A97" s="16"/>
      <c r="B97" s="275"/>
      <c r="C97" s="275"/>
      <c r="D97" s="275"/>
      <c r="E97" s="275"/>
      <c r="F97" s="275"/>
      <c r="G97" s="275"/>
      <c r="H97" s="275"/>
      <c r="I97" s="17"/>
      <c r="J97" s="17"/>
      <c r="K97" s="17"/>
      <c r="L97" s="271"/>
      <c r="M97" s="272"/>
      <c r="N97" s="272"/>
      <c r="O97" s="272"/>
      <c r="P97" s="17"/>
      <c r="Q97" s="17"/>
      <c r="R97" s="17"/>
      <c r="S97" s="17"/>
      <c r="T97" s="17"/>
      <c r="U97" s="17"/>
      <c r="V97" s="17"/>
      <c r="W97" s="17"/>
      <c r="X97" s="17"/>
      <c r="Y97" s="17"/>
      <c r="Z97" s="17"/>
    </row>
    <row r="98" ht="12.75" customHeight="1">
      <c r="A98" s="16"/>
      <c r="B98" s="275"/>
      <c r="C98" s="275"/>
      <c r="D98" s="275"/>
      <c r="E98" s="275"/>
      <c r="F98" s="275"/>
      <c r="G98" s="275"/>
      <c r="H98" s="275"/>
      <c r="I98" s="17"/>
      <c r="J98" s="17"/>
      <c r="K98" s="17"/>
      <c r="L98" s="271"/>
      <c r="M98" s="272"/>
      <c r="N98" s="272"/>
      <c r="O98" s="272"/>
      <c r="P98" s="17"/>
      <c r="Q98" s="17"/>
      <c r="R98" s="17"/>
      <c r="S98" s="17"/>
      <c r="T98" s="17"/>
      <c r="U98" s="17"/>
      <c r="V98" s="17"/>
      <c r="W98" s="17"/>
      <c r="X98" s="17"/>
      <c r="Y98" s="17"/>
      <c r="Z98" s="17"/>
    </row>
    <row r="99" ht="12.75" customHeight="1">
      <c r="A99" s="16"/>
      <c r="B99" s="275"/>
      <c r="C99" s="275"/>
      <c r="D99" s="275"/>
      <c r="E99" s="275"/>
      <c r="F99" s="275"/>
      <c r="G99" s="275"/>
      <c r="H99" s="275"/>
      <c r="I99" s="17"/>
      <c r="J99" s="17"/>
      <c r="K99" s="17"/>
      <c r="L99" s="271"/>
      <c r="M99" s="272"/>
      <c r="N99" s="272"/>
      <c r="O99" s="272"/>
      <c r="P99" s="17"/>
      <c r="Q99" s="17"/>
      <c r="R99" s="17"/>
      <c r="S99" s="17"/>
      <c r="T99" s="17"/>
      <c r="U99" s="17"/>
      <c r="V99" s="17"/>
      <c r="W99" s="17"/>
      <c r="X99" s="17"/>
      <c r="Y99" s="17"/>
      <c r="Z99" s="17"/>
    </row>
    <row r="100" ht="11.25" customHeight="1">
      <c r="A100" s="16"/>
      <c r="B100" s="17"/>
      <c r="C100" s="17"/>
      <c r="D100" s="17"/>
      <c r="E100" s="17"/>
      <c r="F100" s="17"/>
      <c r="G100" s="17"/>
      <c r="H100" s="17"/>
      <c r="I100" s="17"/>
      <c r="J100" s="17"/>
      <c r="K100" s="17"/>
      <c r="L100" s="271"/>
      <c r="M100" s="272"/>
      <c r="N100" s="272"/>
      <c r="O100" s="272"/>
      <c r="P100" s="17"/>
      <c r="Q100" s="17"/>
      <c r="R100" s="17"/>
      <c r="S100" s="17"/>
      <c r="T100" s="17"/>
      <c r="U100" s="17"/>
      <c r="V100" s="17"/>
      <c r="W100" s="17"/>
      <c r="X100" s="17"/>
      <c r="Y100" s="17"/>
      <c r="Z100" s="17"/>
    </row>
    <row r="101" ht="11.25" customHeight="1">
      <c r="A101" s="16"/>
      <c r="B101" s="360"/>
      <c r="C101" s="360"/>
      <c r="D101" s="360"/>
      <c r="E101" s="360"/>
      <c r="F101" s="360"/>
      <c r="G101" s="360"/>
      <c r="H101" s="360"/>
      <c r="I101" s="360"/>
      <c r="J101" s="360"/>
      <c r="K101" s="360"/>
      <c r="L101" s="271"/>
      <c r="M101" s="272"/>
      <c r="N101" s="272"/>
      <c r="O101" s="272"/>
      <c r="P101" s="17"/>
      <c r="Q101" s="17"/>
      <c r="R101" s="17"/>
      <c r="S101" s="17"/>
      <c r="T101" s="17"/>
      <c r="U101" s="17"/>
      <c r="V101" s="17"/>
      <c r="W101" s="17"/>
      <c r="X101" s="17"/>
      <c r="Y101" s="17"/>
      <c r="Z101" s="17"/>
    </row>
    <row r="102" ht="30.0" customHeight="1">
      <c r="A102" s="102"/>
      <c r="B102" s="361" t="s">
        <v>134</v>
      </c>
      <c r="C102" s="362"/>
      <c r="D102" s="362"/>
      <c r="E102" s="362"/>
      <c r="F102" s="362"/>
      <c r="G102" s="362"/>
      <c r="H102" s="362"/>
      <c r="I102" s="362"/>
      <c r="J102" s="362"/>
      <c r="K102" s="363"/>
      <c r="L102" s="364"/>
      <c r="M102" s="272"/>
      <c r="N102" s="272"/>
      <c r="O102" s="272"/>
      <c r="P102" s="17"/>
      <c r="Q102" s="17"/>
      <c r="R102" s="17"/>
      <c r="S102" s="17"/>
      <c r="T102" s="17"/>
      <c r="U102" s="17"/>
      <c r="V102" s="17"/>
      <c r="W102" s="17"/>
      <c r="X102" s="17"/>
      <c r="Y102" s="17"/>
      <c r="Z102" s="17"/>
    </row>
    <row r="103" ht="14.25" customHeight="1">
      <c r="A103" s="16"/>
      <c r="B103" s="365"/>
      <c r="C103" s="365"/>
      <c r="D103" s="365"/>
      <c r="E103" s="365"/>
      <c r="F103" s="365"/>
      <c r="G103" s="365"/>
      <c r="H103" s="365"/>
      <c r="I103" s="365"/>
      <c r="J103" s="365"/>
      <c r="K103" s="365"/>
      <c r="L103" s="366"/>
      <c r="M103" s="272"/>
      <c r="N103" s="272"/>
      <c r="O103" s="272"/>
      <c r="P103" s="17"/>
      <c r="Q103" s="17"/>
      <c r="R103" s="17"/>
      <c r="S103" s="17"/>
      <c r="T103" s="17"/>
      <c r="U103" s="17"/>
      <c r="V103" s="17"/>
      <c r="W103" s="17"/>
      <c r="X103" s="17"/>
      <c r="Y103" s="17"/>
      <c r="Z103" s="17"/>
    </row>
    <row r="104" ht="14.25" customHeight="1">
      <c r="A104" s="16"/>
      <c r="B104" s="367"/>
      <c r="C104" s="367"/>
      <c r="D104" s="367"/>
      <c r="E104" s="367"/>
      <c r="F104" s="367"/>
      <c r="G104" s="367"/>
      <c r="H104" s="367"/>
      <c r="I104" s="367"/>
      <c r="J104" s="367"/>
      <c r="K104" s="367"/>
      <c r="L104" s="366"/>
      <c r="M104" s="272"/>
      <c r="N104" s="272"/>
      <c r="O104" s="272"/>
      <c r="P104" s="17"/>
      <c r="Q104" s="17"/>
      <c r="R104" s="17"/>
      <c r="S104" s="17"/>
      <c r="T104" s="17"/>
      <c r="U104" s="17"/>
      <c r="V104" s="17"/>
      <c r="W104" s="17"/>
      <c r="X104" s="17"/>
      <c r="Y104" s="17"/>
      <c r="Z104" s="17"/>
    </row>
    <row r="105" ht="23.25" customHeight="1">
      <c r="A105" s="102"/>
      <c r="B105" s="368" t="s">
        <v>135</v>
      </c>
      <c r="C105" s="369"/>
      <c r="D105" s="369"/>
      <c r="E105" s="369"/>
      <c r="F105" s="369"/>
      <c r="G105" s="369"/>
      <c r="H105" s="369"/>
      <c r="I105" s="369"/>
      <c r="J105" s="369"/>
      <c r="K105" s="370"/>
      <c r="L105" s="371"/>
      <c r="M105" s="272"/>
      <c r="N105" s="272"/>
      <c r="O105" s="272"/>
      <c r="P105" s="17"/>
      <c r="Q105" s="17"/>
      <c r="R105" s="17"/>
      <c r="S105" s="17"/>
      <c r="T105" s="17"/>
      <c r="U105" s="17"/>
      <c r="V105" s="17"/>
      <c r="W105" s="17"/>
      <c r="X105" s="17"/>
      <c r="Y105" s="17"/>
      <c r="Z105" s="17"/>
    </row>
    <row r="106" ht="23.25" customHeight="1">
      <c r="A106" s="102"/>
      <c r="B106" s="372"/>
      <c r="C106" s="373"/>
      <c r="D106" s="373"/>
      <c r="E106" s="373"/>
      <c r="F106" s="373"/>
      <c r="G106" s="373"/>
      <c r="H106" s="373"/>
      <c r="I106" s="373"/>
      <c r="J106" s="373"/>
      <c r="K106" s="374"/>
      <c r="L106" s="371"/>
      <c r="M106" s="272"/>
      <c r="N106" s="272"/>
      <c r="O106" s="272"/>
      <c r="P106" s="17"/>
      <c r="Q106" s="17"/>
      <c r="R106" s="17"/>
      <c r="S106" s="17"/>
      <c r="T106" s="17"/>
      <c r="U106" s="17"/>
      <c r="V106" s="17"/>
      <c r="W106" s="17"/>
      <c r="X106" s="17"/>
      <c r="Y106" s="17"/>
      <c r="Z106" s="17"/>
    </row>
    <row r="107" ht="11.25" customHeight="1">
      <c r="A107" s="16"/>
      <c r="B107" s="375"/>
      <c r="C107" s="375"/>
      <c r="D107" s="375"/>
      <c r="E107" s="375"/>
      <c r="F107" s="375"/>
      <c r="G107" s="375"/>
      <c r="H107" s="375"/>
      <c r="I107" s="375"/>
      <c r="J107" s="375"/>
      <c r="K107" s="375"/>
      <c r="L107" s="271"/>
      <c r="M107" s="272"/>
      <c r="N107" s="272"/>
      <c r="O107" s="272"/>
      <c r="P107" s="17"/>
      <c r="Q107" s="17"/>
      <c r="R107" s="17"/>
      <c r="S107" s="17"/>
      <c r="T107" s="17"/>
      <c r="U107" s="17"/>
      <c r="V107" s="17"/>
      <c r="W107" s="17"/>
      <c r="X107" s="17"/>
      <c r="Y107" s="17"/>
      <c r="Z107" s="17"/>
    </row>
    <row r="108" ht="11.25" customHeight="1">
      <c r="A108" s="16"/>
      <c r="B108" s="17"/>
      <c r="C108" s="17"/>
      <c r="D108" s="17"/>
      <c r="E108" s="17"/>
      <c r="F108" s="17"/>
      <c r="G108" s="17"/>
      <c r="H108" s="17"/>
      <c r="I108" s="17"/>
      <c r="J108" s="17"/>
      <c r="K108" s="17"/>
      <c r="L108" s="271"/>
      <c r="M108" s="272"/>
      <c r="N108" s="272"/>
      <c r="O108" s="272"/>
      <c r="P108" s="17"/>
      <c r="Q108" s="17"/>
      <c r="R108" s="17"/>
      <c r="S108" s="17"/>
      <c r="T108" s="17"/>
      <c r="U108" s="17"/>
      <c r="V108" s="17"/>
      <c r="W108" s="17"/>
      <c r="X108" s="17"/>
      <c r="Y108" s="17"/>
      <c r="Z108" s="17"/>
    </row>
    <row r="109" ht="16.5" customHeight="1">
      <c r="A109" s="376"/>
      <c r="B109" s="377" t="str">
        <f t="array" ref="B109">Certificado!B52</f>
        <v/>
      </c>
      <c r="C109" s="20"/>
      <c r="D109" s="20"/>
      <c r="E109" s="20"/>
      <c r="F109" s="20"/>
      <c r="G109" s="20"/>
      <c r="H109" s="20"/>
      <c r="I109" s="20"/>
      <c r="J109" s="20"/>
      <c r="K109" s="157"/>
      <c r="L109" s="271"/>
      <c r="M109" s="272"/>
      <c r="N109" s="272"/>
      <c r="O109" s="272"/>
      <c r="P109" s="17"/>
      <c r="Q109" s="17"/>
      <c r="R109" s="17"/>
      <c r="S109" s="17"/>
      <c r="T109" s="17"/>
      <c r="U109" s="17"/>
      <c r="V109" s="17"/>
      <c r="W109" s="17"/>
      <c r="X109" s="17"/>
      <c r="Y109" s="17"/>
      <c r="Z109" s="17"/>
    </row>
    <row r="110" ht="16.5" customHeight="1">
      <c r="A110" s="376"/>
      <c r="B110" s="377" t="str">
        <f t="array" ref="B110">Certificado!B53</f>
        <v/>
      </c>
      <c r="C110" s="20"/>
      <c r="D110" s="20"/>
      <c r="E110" s="20"/>
      <c r="F110" s="20"/>
      <c r="G110" s="20"/>
      <c r="H110" s="20"/>
      <c r="I110" s="20"/>
      <c r="J110" s="20"/>
      <c r="K110" s="157"/>
      <c r="L110" s="271"/>
      <c r="M110" s="272"/>
      <c r="N110" s="272"/>
      <c r="O110" s="272"/>
      <c r="P110" s="17"/>
      <c r="Q110" s="17"/>
      <c r="R110" s="17"/>
      <c r="S110" s="17"/>
      <c r="T110" s="17"/>
      <c r="U110" s="17"/>
      <c r="V110" s="17"/>
      <c r="W110" s="17"/>
      <c r="X110" s="17"/>
      <c r="Y110" s="17"/>
      <c r="Z110" s="17"/>
    </row>
    <row r="111" ht="16.5" customHeight="1">
      <c r="A111" s="376"/>
      <c r="B111" s="377" t="str">
        <f t="array" ref="B111">Certificado!B54</f>
        <v/>
      </c>
      <c r="C111" s="20"/>
      <c r="D111" s="20"/>
      <c r="E111" s="20"/>
      <c r="F111" s="20"/>
      <c r="G111" s="20"/>
      <c r="H111" s="20"/>
      <c r="I111" s="20"/>
      <c r="J111" s="20"/>
      <c r="K111" s="157"/>
      <c r="L111" s="271"/>
      <c r="M111" s="272"/>
      <c r="N111" s="272"/>
      <c r="O111" s="272"/>
      <c r="P111" s="17"/>
      <c r="Q111" s="17"/>
      <c r="R111" s="17"/>
      <c r="S111" s="17"/>
      <c r="T111" s="17"/>
      <c r="U111" s="17"/>
      <c r="V111" s="17"/>
      <c r="W111" s="17"/>
      <c r="X111" s="17"/>
      <c r="Y111" s="17"/>
      <c r="Z111" s="17"/>
    </row>
    <row r="112" ht="16.5" customHeight="1">
      <c r="A112" s="376"/>
      <c r="B112" s="377" t="str">
        <f t="array" ref="B112">Certificado!B55</f>
        <v/>
      </c>
      <c r="C112" s="20"/>
      <c r="D112" s="20"/>
      <c r="E112" s="20"/>
      <c r="F112" s="20"/>
      <c r="G112" s="20"/>
      <c r="H112" s="20"/>
      <c r="I112" s="20"/>
      <c r="J112" s="20"/>
      <c r="K112" s="157"/>
      <c r="L112" s="271"/>
      <c r="M112" s="272"/>
      <c r="N112" s="272"/>
      <c r="O112" s="272"/>
      <c r="P112" s="17"/>
      <c r="Q112" s="17"/>
      <c r="R112" s="17"/>
      <c r="S112" s="17"/>
      <c r="T112" s="17"/>
      <c r="U112" s="17"/>
      <c r="V112" s="17"/>
      <c r="W112" s="17"/>
      <c r="X112" s="17"/>
      <c r="Y112" s="17"/>
      <c r="Z112" s="17"/>
    </row>
    <row r="113" ht="16.5" customHeight="1">
      <c r="A113" s="376"/>
      <c r="B113" s="377" t="str">
        <f t="array" ref="B113">Certificado!B56</f>
        <v/>
      </c>
      <c r="C113" s="20"/>
      <c r="D113" s="20"/>
      <c r="E113" s="20"/>
      <c r="F113" s="20"/>
      <c r="G113" s="20"/>
      <c r="H113" s="20"/>
      <c r="I113" s="20"/>
      <c r="J113" s="20"/>
      <c r="K113" s="157"/>
      <c r="L113" s="271"/>
      <c r="M113" s="272"/>
      <c r="N113" s="272"/>
      <c r="O113" s="272"/>
      <c r="P113" s="17"/>
      <c r="Q113" s="17"/>
      <c r="R113" s="17"/>
      <c r="S113" s="17"/>
      <c r="T113" s="17"/>
      <c r="U113" s="17"/>
      <c r="V113" s="17"/>
      <c r="W113" s="17"/>
      <c r="X113" s="17"/>
      <c r="Y113" s="17"/>
      <c r="Z113" s="17"/>
    </row>
    <row r="114" ht="16.5" customHeight="1">
      <c r="A114" s="16"/>
      <c r="B114" s="378"/>
      <c r="C114" s="20"/>
      <c r="D114" s="20"/>
      <c r="E114" s="20"/>
      <c r="F114" s="20"/>
      <c r="G114" s="20"/>
      <c r="H114" s="20"/>
      <c r="I114" s="20"/>
      <c r="J114" s="20"/>
      <c r="K114" s="157"/>
      <c r="L114" s="271"/>
      <c r="M114" s="272"/>
      <c r="N114" s="272"/>
      <c r="O114" s="272"/>
      <c r="P114" s="17"/>
      <c r="Q114" s="17"/>
      <c r="R114" s="17"/>
      <c r="S114" s="17"/>
      <c r="T114" s="17"/>
      <c r="U114" s="17"/>
      <c r="V114" s="17"/>
      <c r="W114" s="17"/>
      <c r="X114" s="17"/>
      <c r="Y114" s="17"/>
      <c r="Z114" s="17"/>
    </row>
    <row r="115" ht="14.25" customHeight="1">
      <c r="A115" s="16"/>
      <c r="B115" s="17"/>
      <c r="C115" s="379"/>
      <c r="D115" s="379"/>
      <c r="E115" s="379"/>
      <c r="F115" s="379"/>
      <c r="G115" s="379"/>
      <c r="H115" s="379"/>
      <c r="I115" s="379"/>
      <c r="J115" s="379"/>
      <c r="K115" s="17"/>
      <c r="L115" s="271"/>
      <c r="M115" s="272"/>
      <c r="N115" s="272"/>
      <c r="O115" s="272"/>
      <c r="P115" s="17"/>
      <c r="Q115" s="17"/>
      <c r="R115" s="17"/>
      <c r="S115" s="17"/>
      <c r="T115" s="17"/>
      <c r="U115" s="17"/>
      <c r="V115" s="17"/>
      <c r="W115" s="17"/>
      <c r="X115" s="17"/>
      <c r="Y115" s="17"/>
      <c r="Z115" s="17"/>
    </row>
    <row r="116" ht="14.25" customHeight="1">
      <c r="A116" s="16"/>
      <c r="B116" s="17"/>
      <c r="C116" s="379"/>
      <c r="D116" s="379"/>
      <c r="E116" s="379"/>
      <c r="F116" s="379"/>
      <c r="G116" s="379"/>
      <c r="H116" s="379"/>
      <c r="I116" s="379"/>
      <c r="J116" s="379"/>
      <c r="K116" s="17"/>
      <c r="L116" s="271"/>
      <c r="M116" s="272"/>
      <c r="N116" s="272"/>
      <c r="O116" s="272"/>
      <c r="P116" s="17"/>
      <c r="Q116" s="17"/>
      <c r="R116" s="17"/>
      <c r="S116" s="17"/>
      <c r="T116" s="17"/>
      <c r="U116" s="17"/>
      <c r="V116" s="17"/>
      <c r="W116" s="17"/>
      <c r="X116" s="17"/>
      <c r="Y116" s="17"/>
      <c r="Z116" s="17"/>
    </row>
    <row r="117" ht="14.25" customHeight="1">
      <c r="A117" s="16"/>
      <c r="B117" s="17"/>
      <c r="C117" s="379"/>
      <c r="D117" s="379"/>
      <c r="E117" s="379"/>
      <c r="F117" s="379"/>
      <c r="G117" s="379"/>
      <c r="H117" s="379"/>
      <c r="I117" s="379"/>
      <c r="J117" s="379"/>
      <c r="K117" s="17"/>
      <c r="L117" s="271"/>
      <c r="M117" s="272"/>
      <c r="N117" s="272"/>
      <c r="O117" s="272"/>
      <c r="P117" s="17"/>
      <c r="Q117" s="17"/>
      <c r="R117" s="17"/>
      <c r="S117" s="17"/>
      <c r="T117" s="17"/>
      <c r="U117" s="17"/>
      <c r="V117" s="17"/>
      <c r="W117" s="17"/>
      <c r="X117" s="17"/>
      <c r="Y117" s="17"/>
      <c r="Z117" s="17"/>
    </row>
    <row r="118" ht="14.25" customHeight="1">
      <c r="A118" s="16"/>
      <c r="B118" s="17"/>
      <c r="C118" s="17"/>
      <c r="D118" s="380"/>
      <c r="E118" s="380"/>
      <c r="F118" s="380"/>
      <c r="G118" s="381"/>
      <c r="H118" s="380"/>
      <c r="I118" s="382"/>
      <c r="J118" s="379"/>
      <c r="K118" s="17"/>
      <c r="L118" s="271"/>
      <c r="M118" s="272"/>
      <c r="N118" s="272"/>
      <c r="O118" s="272"/>
      <c r="P118" s="17"/>
      <c r="Q118" s="17"/>
      <c r="R118" s="17"/>
      <c r="S118" s="17"/>
      <c r="T118" s="17"/>
      <c r="U118" s="17"/>
      <c r="V118" s="17"/>
      <c r="W118" s="17"/>
      <c r="X118" s="17"/>
      <c r="Y118" s="17"/>
      <c r="Z118" s="17"/>
    </row>
    <row r="119" ht="12.75" customHeight="1">
      <c r="A119" s="16"/>
      <c r="B119" s="17"/>
      <c r="C119" s="383"/>
      <c r="D119" s="380"/>
      <c r="E119" s="380"/>
      <c r="F119" s="380"/>
      <c r="G119" s="381"/>
      <c r="H119" s="380"/>
      <c r="I119" s="382"/>
      <c r="J119" s="383"/>
      <c r="K119" s="17"/>
      <c r="L119" s="271"/>
      <c r="M119" s="272"/>
      <c r="N119" s="272"/>
      <c r="O119" s="272"/>
      <c r="P119" s="17"/>
      <c r="Q119" s="17"/>
      <c r="R119" s="17"/>
      <c r="S119" s="17"/>
      <c r="T119" s="17"/>
      <c r="U119" s="17"/>
      <c r="V119" s="17"/>
      <c r="W119" s="17"/>
      <c r="X119" s="17"/>
      <c r="Y119" s="17"/>
      <c r="Z119" s="17"/>
    </row>
    <row r="120" ht="12.75" customHeight="1">
      <c r="A120" s="16"/>
      <c r="B120" s="17"/>
      <c r="C120" s="383"/>
      <c r="D120" s="380"/>
      <c r="E120" s="380"/>
      <c r="F120" s="380"/>
      <c r="G120" s="381"/>
      <c r="H120" s="380"/>
      <c r="I120" s="382"/>
      <c r="J120" s="275"/>
      <c r="K120" s="17"/>
      <c r="L120" s="271"/>
      <c r="M120" s="272"/>
      <c r="N120" s="272"/>
      <c r="O120" s="272"/>
      <c r="P120" s="17"/>
      <c r="Q120" s="17"/>
      <c r="R120" s="17"/>
      <c r="S120" s="17"/>
      <c r="T120" s="17"/>
      <c r="U120" s="17"/>
      <c r="V120" s="17"/>
      <c r="W120" s="17"/>
      <c r="X120" s="17"/>
      <c r="Y120" s="17"/>
      <c r="Z120" s="17"/>
    </row>
    <row r="121" ht="12.75" customHeight="1">
      <c r="A121" s="16"/>
      <c r="B121" s="17"/>
      <c r="C121" s="17"/>
      <c r="D121" s="17"/>
      <c r="E121" s="17"/>
      <c r="F121" s="17"/>
      <c r="G121" s="17"/>
      <c r="H121" s="17"/>
      <c r="I121" s="17"/>
      <c r="J121" s="17"/>
      <c r="K121" s="17"/>
      <c r="L121" s="271"/>
      <c r="M121" s="272"/>
      <c r="N121" s="272"/>
      <c r="O121" s="272"/>
      <c r="P121" s="17"/>
      <c r="Q121" s="17"/>
      <c r="R121" s="17"/>
      <c r="S121" s="17"/>
      <c r="T121" s="17"/>
      <c r="U121" s="17"/>
      <c r="V121" s="17"/>
      <c r="W121" s="17"/>
      <c r="X121" s="17"/>
      <c r="Y121" s="17"/>
      <c r="Z121" s="17"/>
    </row>
    <row r="122" ht="12.75" customHeight="1">
      <c r="A122" s="16"/>
      <c r="B122" s="17"/>
      <c r="C122" s="17"/>
      <c r="D122" s="17"/>
      <c r="E122" s="17"/>
      <c r="F122" s="17"/>
      <c r="G122" s="17"/>
      <c r="H122" s="17"/>
      <c r="I122" s="17"/>
      <c r="J122" s="17"/>
      <c r="K122" s="17"/>
      <c r="L122" s="271"/>
      <c r="M122" s="272"/>
      <c r="N122" s="272"/>
      <c r="O122" s="272"/>
      <c r="P122" s="17"/>
      <c r="Q122" s="17"/>
      <c r="R122" s="17"/>
      <c r="S122" s="17"/>
      <c r="T122" s="17"/>
      <c r="U122" s="17"/>
      <c r="V122" s="17"/>
      <c r="W122" s="17"/>
      <c r="X122" s="17"/>
      <c r="Y122" s="17"/>
      <c r="Z122" s="17"/>
    </row>
    <row r="123" ht="12.75" customHeight="1">
      <c r="A123" s="16"/>
      <c r="B123" s="134"/>
      <c r="C123" s="17"/>
      <c r="D123" s="17"/>
      <c r="E123" s="17"/>
      <c r="F123" s="17"/>
      <c r="G123" s="17"/>
      <c r="H123" s="17"/>
      <c r="I123" s="384"/>
      <c r="J123" s="17"/>
      <c r="K123" s="17"/>
      <c r="L123" s="271"/>
      <c r="M123" s="272"/>
      <c r="N123" s="272"/>
      <c r="O123" s="272"/>
      <c r="P123" s="17"/>
      <c r="Q123" s="17"/>
      <c r="R123" s="17"/>
      <c r="S123" s="17"/>
      <c r="T123" s="17"/>
      <c r="U123" s="17"/>
      <c r="V123" s="17"/>
      <c r="W123" s="17"/>
      <c r="X123" s="17"/>
      <c r="Y123" s="17"/>
      <c r="Z123" s="17"/>
    </row>
    <row r="124" ht="12.75" customHeight="1">
      <c r="A124" s="16"/>
      <c r="B124" s="134"/>
      <c r="C124" s="17"/>
      <c r="D124" s="17"/>
      <c r="E124" s="17"/>
      <c r="F124" s="17"/>
      <c r="G124" s="17"/>
      <c r="H124" s="17"/>
      <c r="I124" s="134"/>
      <c r="J124" s="17"/>
      <c r="K124" s="17"/>
      <c r="L124" s="271"/>
      <c r="M124" s="272"/>
      <c r="N124" s="272"/>
      <c r="O124" s="272"/>
      <c r="P124" s="17"/>
      <c r="Q124" s="17"/>
      <c r="R124" s="17"/>
      <c r="S124" s="17"/>
      <c r="T124" s="17"/>
      <c r="U124" s="17"/>
      <c r="V124" s="17"/>
      <c r="W124" s="17"/>
      <c r="X124" s="17"/>
      <c r="Y124" s="17"/>
      <c r="Z124" s="17"/>
    </row>
    <row r="125" ht="12.75" customHeight="1">
      <c r="A125" s="16"/>
      <c r="B125" s="134"/>
      <c r="C125" s="17"/>
      <c r="D125" s="17"/>
      <c r="E125" s="17"/>
      <c r="F125" s="17"/>
      <c r="G125" s="17"/>
      <c r="H125" s="17"/>
      <c r="I125" s="134"/>
      <c r="J125" s="17"/>
      <c r="K125" s="17"/>
      <c r="L125" s="271"/>
      <c r="M125" s="272"/>
      <c r="N125" s="272"/>
      <c r="O125" s="272"/>
      <c r="P125" s="17"/>
      <c r="Q125" s="17"/>
      <c r="R125" s="17"/>
      <c r="S125" s="17"/>
      <c r="T125" s="17"/>
      <c r="U125" s="17"/>
      <c r="V125" s="17"/>
      <c r="W125" s="17"/>
      <c r="X125" s="17"/>
      <c r="Y125" s="17"/>
      <c r="Z125" s="17"/>
    </row>
    <row r="126" ht="12.75" customHeight="1">
      <c r="A126" s="16"/>
      <c r="B126" s="134"/>
      <c r="C126" s="17"/>
      <c r="D126" s="17"/>
      <c r="E126" s="17"/>
      <c r="F126" s="17"/>
      <c r="G126" s="17"/>
      <c r="H126" s="17"/>
      <c r="I126" s="384"/>
      <c r="J126" s="17"/>
      <c r="K126" s="17"/>
      <c r="L126" s="271"/>
      <c r="M126" s="272"/>
      <c r="N126" s="272"/>
      <c r="O126" s="272"/>
      <c r="P126" s="17"/>
      <c r="Q126" s="17"/>
      <c r="R126" s="17"/>
      <c r="S126" s="17"/>
      <c r="T126" s="17"/>
      <c r="U126" s="17"/>
      <c r="V126" s="17"/>
      <c r="W126" s="17"/>
      <c r="X126" s="17"/>
      <c r="Y126" s="17"/>
      <c r="Z126" s="17"/>
    </row>
    <row r="127" ht="12.75" customHeight="1">
      <c r="A127" s="16"/>
      <c r="B127" s="17"/>
      <c r="C127" s="17"/>
      <c r="D127" s="17"/>
      <c r="E127" s="17"/>
      <c r="F127" s="17"/>
      <c r="G127" s="17"/>
      <c r="H127" s="17"/>
      <c r="I127" s="17"/>
      <c r="J127" s="17"/>
      <c r="K127" s="17"/>
      <c r="L127" s="271"/>
      <c r="M127" s="272"/>
      <c r="N127" s="272"/>
      <c r="O127" s="272"/>
      <c r="P127" s="17"/>
      <c r="Q127" s="17"/>
      <c r="R127" s="17"/>
      <c r="S127" s="17"/>
      <c r="T127" s="17"/>
      <c r="U127" s="17"/>
      <c r="V127" s="17"/>
      <c r="W127" s="17"/>
      <c r="X127" s="17"/>
      <c r="Y127" s="17"/>
      <c r="Z127" s="17"/>
    </row>
    <row r="128" ht="12.75" customHeight="1">
      <c r="A128" s="16"/>
      <c r="B128" s="17"/>
      <c r="C128" s="17"/>
      <c r="D128" s="17"/>
      <c r="E128" s="17"/>
      <c r="F128" s="17"/>
      <c r="G128" s="17"/>
      <c r="H128" s="17"/>
      <c r="I128" s="17"/>
      <c r="J128" s="17"/>
      <c r="K128" s="17"/>
      <c r="L128" s="271"/>
      <c r="M128" s="272"/>
      <c r="N128" s="272"/>
      <c r="O128" s="272"/>
      <c r="P128" s="17"/>
      <c r="Q128" s="17"/>
      <c r="R128" s="17"/>
      <c r="S128" s="17"/>
      <c r="T128" s="17"/>
      <c r="U128" s="17"/>
      <c r="V128" s="17"/>
      <c r="W128" s="17"/>
      <c r="X128" s="17"/>
      <c r="Y128" s="17"/>
      <c r="Z128" s="17"/>
    </row>
    <row r="129" ht="12.75" customHeight="1">
      <c r="A129" s="16"/>
      <c r="B129" s="17"/>
      <c r="C129" s="17"/>
      <c r="D129" s="17"/>
      <c r="E129" s="17"/>
      <c r="F129" s="17"/>
      <c r="G129" s="17"/>
      <c r="H129" s="17"/>
      <c r="I129" s="17"/>
      <c r="J129" s="17"/>
      <c r="K129" s="17"/>
      <c r="L129" s="271"/>
      <c r="M129" s="272"/>
      <c r="N129" s="272"/>
      <c r="O129" s="272"/>
      <c r="P129" s="17"/>
      <c r="Q129" s="17"/>
      <c r="R129" s="17"/>
      <c r="S129" s="17"/>
      <c r="T129" s="17"/>
      <c r="U129" s="17"/>
      <c r="V129" s="17"/>
      <c r="W129" s="17"/>
      <c r="X129" s="17"/>
      <c r="Y129" s="17"/>
      <c r="Z129" s="17"/>
    </row>
    <row r="130" ht="12.75" customHeight="1">
      <c r="A130" s="16"/>
      <c r="B130" s="17"/>
      <c r="C130" s="17"/>
      <c r="D130" s="17"/>
      <c r="E130" s="17"/>
      <c r="F130" s="17"/>
      <c r="G130" s="17"/>
      <c r="H130" s="17"/>
      <c r="I130" s="17"/>
      <c r="J130" s="17"/>
      <c r="K130" s="17"/>
      <c r="L130" s="271"/>
      <c r="M130" s="272"/>
      <c r="N130" s="272"/>
      <c r="O130" s="272"/>
      <c r="P130" s="17"/>
      <c r="Q130" s="17"/>
      <c r="R130" s="17"/>
      <c r="S130" s="17"/>
      <c r="T130" s="17"/>
      <c r="U130" s="17"/>
      <c r="V130" s="17"/>
      <c r="W130" s="17"/>
      <c r="X130" s="17"/>
      <c r="Y130" s="17"/>
      <c r="Z130" s="17"/>
    </row>
    <row r="131" ht="12.75" customHeight="1">
      <c r="A131" s="16"/>
      <c r="B131" s="17"/>
      <c r="C131" s="17"/>
      <c r="D131" s="17"/>
      <c r="E131" s="17"/>
      <c r="F131" s="17"/>
      <c r="G131" s="17"/>
      <c r="H131" s="17"/>
      <c r="I131" s="17"/>
      <c r="J131" s="17"/>
      <c r="K131" s="17"/>
      <c r="L131" s="271"/>
      <c r="M131" s="272"/>
      <c r="N131" s="272"/>
      <c r="O131" s="272"/>
      <c r="P131" s="17"/>
      <c r="Q131" s="17"/>
      <c r="R131" s="17"/>
      <c r="S131" s="17"/>
      <c r="T131" s="17"/>
      <c r="U131" s="17"/>
      <c r="V131" s="17"/>
      <c r="W131" s="17"/>
      <c r="X131" s="17"/>
      <c r="Y131" s="17"/>
      <c r="Z131" s="17"/>
    </row>
    <row r="132" ht="12.75" customHeight="1">
      <c r="A132" s="16"/>
      <c r="B132" s="17"/>
      <c r="C132" s="17"/>
      <c r="D132" s="17"/>
      <c r="E132" s="17"/>
      <c r="F132" s="17"/>
      <c r="G132" s="17"/>
      <c r="H132" s="17"/>
      <c r="I132" s="17"/>
      <c r="J132" s="17"/>
      <c r="K132" s="17"/>
      <c r="L132" s="271"/>
      <c r="M132" s="272"/>
      <c r="N132" s="272"/>
      <c r="O132" s="272"/>
      <c r="P132" s="17"/>
      <c r="Q132" s="17"/>
      <c r="R132" s="17"/>
      <c r="S132" s="17"/>
      <c r="T132" s="17"/>
      <c r="U132" s="17"/>
      <c r="V132" s="17"/>
      <c r="W132" s="17"/>
      <c r="X132" s="17"/>
      <c r="Y132" s="17"/>
      <c r="Z132" s="17"/>
    </row>
    <row r="133" ht="12.75" customHeight="1">
      <c r="A133" s="16"/>
      <c r="B133" s="17"/>
      <c r="C133" s="17"/>
      <c r="D133" s="17"/>
      <c r="E133" s="17"/>
      <c r="F133" s="17"/>
      <c r="G133" s="17"/>
      <c r="H133" s="17"/>
      <c r="I133" s="17"/>
      <c r="J133" s="17"/>
      <c r="K133" s="17"/>
      <c r="L133" s="271"/>
      <c r="M133" s="272"/>
      <c r="N133" s="272"/>
      <c r="O133" s="272"/>
      <c r="P133" s="17"/>
      <c r="Q133" s="17"/>
      <c r="R133" s="17"/>
      <c r="S133" s="17"/>
      <c r="T133" s="17"/>
      <c r="U133" s="17"/>
      <c r="V133" s="17"/>
      <c r="W133" s="17"/>
      <c r="X133" s="17"/>
      <c r="Y133" s="17"/>
      <c r="Z133" s="17"/>
    </row>
    <row r="134" ht="12.75" customHeight="1">
      <c r="A134" s="16"/>
      <c r="B134" s="17"/>
      <c r="C134" s="17"/>
      <c r="D134" s="17"/>
      <c r="E134" s="17"/>
      <c r="F134" s="17"/>
      <c r="G134" s="17"/>
      <c r="H134" s="17"/>
      <c r="I134" s="17"/>
      <c r="J134" s="17"/>
      <c r="K134" s="17"/>
      <c r="L134" s="271"/>
      <c r="M134" s="272"/>
      <c r="N134" s="272"/>
      <c r="O134" s="272"/>
      <c r="P134" s="17"/>
      <c r="Q134" s="17"/>
      <c r="R134" s="17"/>
      <c r="S134" s="17"/>
      <c r="T134" s="17"/>
      <c r="U134" s="17"/>
      <c r="V134" s="17"/>
      <c r="W134" s="17"/>
      <c r="X134" s="17"/>
      <c r="Y134" s="17"/>
      <c r="Z134" s="17"/>
    </row>
    <row r="135" ht="12.75" customHeight="1">
      <c r="A135" s="16"/>
      <c r="B135" s="17"/>
      <c r="C135" s="17"/>
      <c r="D135" s="17"/>
      <c r="E135" s="17"/>
      <c r="F135" s="17"/>
      <c r="G135" s="17"/>
      <c r="H135" s="17"/>
      <c r="I135" s="17"/>
      <c r="J135" s="17"/>
      <c r="K135" s="17"/>
      <c r="L135" s="271"/>
      <c r="M135" s="272"/>
      <c r="N135" s="272"/>
      <c r="O135" s="272"/>
      <c r="P135" s="17"/>
      <c r="Q135" s="17"/>
      <c r="R135" s="17"/>
      <c r="S135" s="17"/>
      <c r="T135" s="17"/>
      <c r="U135" s="17"/>
      <c r="V135" s="17"/>
      <c r="W135" s="17"/>
      <c r="X135" s="17"/>
      <c r="Y135" s="17"/>
      <c r="Z135" s="17"/>
    </row>
    <row r="136" ht="12.75" customHeight="1">
      <c r="A136" s="16"/>
      <c r="B136" s="17"/>
      <c r="C136" s="17"/>
      <c r="D136" s="17"/>
      <c r="E136" s="17"/>
      <c r="F136" s="17"/>
      <c r="G136" s="17"/>
      <c r="H136" s="17"/>
      <c r="I136" s="17"/>
      <c r="J136" s="17"/>
      <c r="K136" s="17"/>
      <c r="L136" s="271"/>
      <c r="M136" s="272"/>
      <c r="N136" s="272"/>
      <c r="O136" s="272"/>
      <c r="P136" s="17"/>
      <c r="Q136" s="17"/>
      <c r="R136" s="17"/>
      <c r="S136" s="17"/>
      <c r="T136" s="17"/>
      <c r="U136" s="17"/>
      <c r="V136" s="17"/>
      <c r="W136" s="17"/>
      <c r="X136" s="17"/>
      <c r="Y136" s="17"/>
      <c r="Z136" s="17"/>
    </row>
    <row r="137" ht="12.75" customHeight="1">
      <c r="A137" s="16"/>
      <c r="B137" s="17"/>
      <c r="C137" s="17"/>
      <c r="D137" s="17"/>
      <c r="E137" s="17"/>
      <c r="F137" s="17"/>
      <c r="G137" s="17"/>
      <c r="H137" s="17"/>
      <c r="I137" s="17"/>
      <c r="J137" s="17"/>
      <c r="K137" s="17"/>
      <c r="L137" s="271"/>
      <c r="M137" s="272"/>
      <c r="N137" s="272"/>
      <c r="O137" s="272"/>
      <c r="P137" s="17"/>
      <c r="Q137" s="17"/>
      <c r="R137" s="17"/>
      <c r="S137" s="17"/>
      <c r="T137" s="17"/>
      <c r="U137" s="17"/>
      <c r="V137" s="17"/>
      <c r="W137" s="17"/>
      <c r="X137" s="17"/>
      <c r="Y137" s="17"/>
      <c r="Z137" s="17"/>
    </row>
    <row r="138" ht="12.75" customHeight="1">
      <c r="A138" s="16"/>
      <c r="B138" s="17"/>
      <c r="C138" s="17"/>
      <c r="D138" s="17"/>
      <c r="E138" s="17"/>
      <c r="F138" s="17"/>
      <c r="G138" s="17"/>
      <c r="H138" s="17"/>
      <c r="I138" s="17"/>
      <c r="J138" s="17"/>
      <c r="K138" s="17"/>
      <c r="L138" s="271"/>
      <c r="M138" s="272"/>
      <c r="N138" s="272"/>
      <c r="O138" s="272"/>
      <c r="P138" s="17"/>
      <c r="Q138" s="17"/>
      <c r="R138" s="17"/>
      <c r="S138" s="17"/>
      <c r="T138" s="17"/>
      <c r="U138" s="17"/>
      <c r="V138" s="17"/>
      <c r="W138" s="17"/>
      <c r="X138" s="17"/>
      <c r="Y138" s="17"/>
      <c r="Z138" s="17"/>
    </row>
    <row r="139" ht="14.25" customHeight="1">
      <c r="A139" s="16"/>
      <c r="B139" s="385"/>
      <c r="C139" s="17"/>
      <c r="D139" s="17"/>
      <c r="E139" s="17"/>
      <c r="F139" s="17"/>
      <c r="G139" s="17"/>
      <c r="H139" s="17"/>
      <c r="I139" s="17"/>
      <c r="J139" s="17"/>
      <c r="K139" s="17"/>
      <c r="L139" s="271"/>
      <c r="M139" s="272"/>
      <c r="N139" s="272"/>
      <c r="O139" s="272"/>
      <c r="P139" s="17"/>
      <c r="Q139" s="17"/>
      <c r="R139" s="17"/>
      <c r="S139" s="17"/>
      <c r="T139" s="17"/>
      <c r="U139" s="17"/>
      <c r="V139" s="17"/>
      <c r="W139" s="17"/>
      <c r="X139" s="17"/>
      <c r="Y139" s="17"/>
      <c r="Z139" s="17"/>
    </row>
    <row r="140" ht="12.75" customHeight="1">
      <c r="A140" s="16"/>
      <c r="B140" s="17"/>
      <c r="C140" s="17"/>
      <c r="D140" s="17"/>
      <c r="E140" s="17"/>
      <c r="F140" s="17"/>
      <c r="G140" s="17"/>
      <c r="H140" s="17"/>
      <c r="I140" s="17"/>
      <c r="J140" s="17"/>
      <c r="K140" s="17"/>
      <c r="L140" s="271"/>
      <c r="M140" s="272"/>
      <c r="N140" s="272"/>
      <c r="O140" s="272"/>
      <c r="P140" s="17"/>
      <c r="Q140" s="17"/>
      <c r="R140" s="17"/>
      <c r="S140" s="17"/>
      <c r="T140" s="17"/>
      <c r="U140" s="17"/>
      <c r="V140" s="17"/>
      <c r="W140" s="17"/>
      <c r="X140" s="17"/>
      <c r="Y140" s="17"/>
      <c r="Z140" s="17"/>
    </row>
    <row r="141" ht="12.75" customHeight="1">
      <c r="A141" s="16"/>
      <c r="B141" s="17"/>
      <c r="C141" s="17"/>
      <c r="D141" s="17"/>
      <c r="E141" s="17"/>
      <c r="F141" s="17"/>
      <c r="G141" s="17"/>
      <c r="H141" s="17"/>
      <c r="I141" s="17"/>
      <c r="J141" s="17"/>
      <c r="K141" s="17"/>
      <c r="L141" s="271"/>
      <c r="M141" s="272"/>
      <c r="N141" s="272"/>
      <c r="O141" s="272"/>
      <c r="P141" s="17"/>
      <c r="Q141" s="17"/>
      <c r="R141" s="17"/>
      <c r="S141" s="17"/>
      <c r="T141" s="17"/>
      <c r="U141" s="17"/>
      <c r="V141" s="17"/>
      <c r="W141" s="17"/>
      <c r="X141" s="17"/>
      <c r="Y141" s="17"/>
      <c r="Z141" s="17"/>
    </row>
    <row r="142" ht="12.75" customHeight="1">
      <c r="A142" s="16"/>
      <c r="B142" s="17"/>
      <c r="C142" s="17"/>
      <c r="D142" s="17"/>
      <c r="E142" s="17"/>
      <c r="F142" s="17"/>
      <c r="G142" s="17"/>
      <c r="H142" s="17"/>
      <c r="I142" s="17"/>
      <c r="J142" s="17"/>
      <c r="K142" s="17"/>
      <c r="L142" s="271"/>
      <c r="M142" s="272"/>
      <c r="N142" s="272"/>
      <c r="O142" s="272"/>
      <c r="P142" s="17"/>
      <c r="Q142" s="17"/>
      <c r="R142" s="17"/>
      <c r="S142" s="17"/>
      <c r="T142" s="17"/>
      <c r="U142" s="17"/>
      <c r="V142" s="17"/>
      <c r="W142" s="17"/>
      <c r="X142" s="17"/>
      <c r="Y142" s="17"/>
      <c r="Z142" s="17"/>
    </row>
    <row r="143" ht="12.75" customHeight="1">
      <c r="A143" s="16"/>
      <c r="B143" s="17"/>
      <c r="C143" s="17"/>
      <c r="D143" s="17"/>
      <c r="E143" s="17"/>
      <c r="F143" s="17"/>
      <c r="G143" s="17"/>
      <c r="H143" s="17"/>
      <c r="I143" s="17"/>
      <c r="J143" s="17"/>
      <c r="K143" s="17"/>
      <c r="L143" s="271"/>
      <c r="M143" s="272"/>
      <c r="N143" s="272"/>
      <c r="O143" s="272"/>
      <c r="P143" s="17"/>
      <c r="Q143" s="17"/>
      <c r="R143" s="17"/>
      <c r="S143" s="17"/>
      <c r="T143" s="17"/>
      <c r="U143" s="17"/>
      <c r="V143" s="17"/>
      <c r="W143" s="17"/>
      <c r="X143" s="17"/>
      <c r="Y143" s="17"/>
      <c r="Z143" s="17"/>
    </row>
    <row r="144" ht="12.75" customHeight="1">
      <c r="A144" s="16"/>
      <c r="B144" s="17"/>
      <c r="C144" s="17"/>
      <c r="D144" s="17"/>
      <c r="E144" s="17"/>
      <c r="F144" s="17"/>
      <c r="G144" s="17"/>
      <c r="H144" s="17"/>
      <c r="I144" s="17"/>
      <c r="J144" s="17"/>
      <c r="K144" s="17"/>
      <c r="L144" s="271"/>
      <c r="M144" s="272"/>
      <c r="N144" s="272"/>
      <c r="O144" s="272"/>
      <c r="P144" s="17"/>
      <c r="Q144" s="17"/>
      <c r="R144" s="17"/>
      <c r="S144" s="17"/>
      <c r="T144" s="17"/>
      <c r="U144" s="17"/>
      <c r="V144" s="17"/>
      <c r="W144" s="17"/>
      <c r="X144" s="17"/>
      <c r="Y144" s="17"/>
      <c r="Z144" s="17"/>
    </row>
    <row r="145" ht="12.75" customHeight="1">
      <c r="A145" s="16"/>
      <c r="B145" s="17"/>
      <c r="C145" s="17"/>
      <c r="D145" s="17"/>
      <c r="E145" s="17"/>
      <c r="F145" s="17"/>
      <c r="G145" s="17"/>
      <c r="H145" s="17"/>
      <c r="I145" s="17"/>
      <c r="J145" s="17"/>
      <c r="K145" s="17"/>
      <c r="L145" s="271"/>
      <c r="M145" s="272"/>
      <c r="N145" s="272"/>
      <c r="O145" s="272"/>
      <c r="P145" s="17"/>
      <c r="Q145" s="17"/>
      <c r="R145" s="17"/>
      <c r="S145" s="17"/>
      <c r="T145" s="17"/>
      <c r="U145" s="17"/>
      <c r="V145" s="17"/>
      <c r="W145" s="17"/>
      <c r="X145" s="17"/>
      <c r="Y145" s="17"/>
      <c r="Z145" s="17"/>
    </row>
    <row r="146" ht="12.75" customHeight="1">
      <c r="A146" s="16"/>
      <c r="B146" s="17"/>
      <c r="C146" s="17"/>
      <c r="D146" s="17"/>
      <c r="E146" s="17"/>
      <c r="F146" s="17"/>
      <c r="G146" s="17"/>
      <c r="H146" s="17"/>
      <c r="I146" s="17"/>
      <c r="J146" s="17"/>
      <c r="K146" s="17"/>
      <c r="L146" s="271"/>
      <c r="M146" s="272"/>
      <c r="N146" s="272"/>
      <c r="O146" s="272"/>
      <c r="P146" s="17"/>
      <c r="Q146" s="17"/>
      <c r="R146" s="17"/>
      <c r="S146" s="17"/>
      <c r="T146" s="17"/>
      <c r="U146" s="17"/>
      <c r="V146" s="17"/>
      <c r="W146" s="17"/>
      <c r="X146" s="17"/>
      <c r="Y146" s="17"/>
      <c r="Z146" s="17"/>
    </row>
    <row r="147" ht="12.75" customHeight="1">
      <c r="A147" s="16"/>
      <c r="B147" s="17"/>
      <c r="C147" s="17"/>
      <c r="D147" s="17"/>
      <c r="E147" s="17"/>
      <c r="F147" s="17"/>
      <c r="G147" s="17"/>
      <c r="H147" s="17"/>
      <c r="I147" s="17"/>
      <c r="J147" s="17"/>
      <c r="K147" s="17"/>
      <c r="L147" s="271"/>
      <c r="M147" s="272"/>
      <c r="N147" s="272"/>
      <c r="O147" s="272"/>
      <c r="P147" s="17"/>
      <c r="Q147" s="17"/>
      <c r="R147" s="17"/>
      <c r="S147" s="17"/>
      <c r="T147" s="17"/>
      <c r="U147" s="17"/>
      <c r="V147" s="17"/>
      <c r="W147" s="17"/>
      <c r="X147" s="17"/>
      <c r="Y147" s="17"/>
      <c r="Z147" s="17"/>
    </row>
    <row r="148" ht="12.75" customHeight="1">
      <c r="A148" s="16"/>
      <c r="B148" s="17"/>
      <c r="C148" s="17"/>
      <c r="D148" s="17"/>
      <c r="E148" s="17"/>
      <c r="F148" s="17"/>
      <c r="G148" s="17"/>
      <c r="H148" s="17"/>
      <c r="I148" s="17"/>
      <c r="J148" s="17"/>
      <c r="K148" s="17"/>
      <c r="L148" s="271"/>
      <c r="M148" s="272"/>
      <c r="N148" s="272"/>
      <c r="O148" s="272"/>
      <c r="P148" s="17"/>
      <c r="Q148" s="17"/>
      <c r="R148" s="17"/>
      <c r="S148" s="17"/>
      <c r="T148" s="17"/>
      <c r="U148" s="17"/>
      <c r="V148" s="17"/>
      <c r="W148" s="17"/>
      <c r="X148" s="17"/>
      <c r="Y148" s="17"/>
      <c r="Z148" s="17"/>
    </row>
    <row r="149" ht="12.75" customHeight="1">
      <c r="A149" s="16"/>
      <c r="B149" s="17"/>
      <c r="C149" s="17"/>
      <c r="D149" s="17"/>
      <c r="E149" s="17"/>
      <c r="F149" s="17"/>
      <c r="G149" s="17"/>
      <c r="H149" s="17"/>
      <c r="I149" s="17"/>
      <c r="J149" s="17"/>
      <c r="K149" s="17"/>
      <c r="L149" s="271"/>
      <c r="M149" s="272"/>
      <c r="N149" s="272"/>
      <c r="O149" s="272"/>
      <c r="P149" s="17"/>
      <c r="Q149" s="17"/>
      <c r="R149" s="17"/>
      <c r="S149" s="17"/>
      <c r="T149" s="17"/>
      <c r="U149" s="17"/>
      <c r="V149" s="17"/>
      <c r="W149" s="17"/>
      <c r="X149" s="17"/>
      <c r="Y149" s="17"/>
      <c r="Z149" s="17"/>
    </row>
    <row r="150" ht="12.75" customHeight="1">
      <c r="A150" s="16"/>
      <c r="B150" s="17"/>
      <c r="C150" s="17"/>
      <c r="D150" s="17"/>
      <c r="E150" s="17"/>
      <c r="F150" s="17"/>
      <c r="G150" s="17"/>
      <c r="H150" s="17"/>
      <c r="I150" s="17"/>
      <c r="J150" s="17"/>
      <c r="K150" s="17"/>
      <c r="L150" s="271"/>
      <c r="M150" s="272"/>
      <c r="N150" s="272"/>
      <c r="O150" s="272"/>
      <c r="P150" s="17"/>
      <c r="Q150" s="17"/>
      <c r="R150" s="17"/>
      <c r="S150" s="17"/>
      <c r="T150" s="17"/>
      <c r="U150" s="17"/>
      <c r="V150" s="17"/>
      <c r="W150" s="17"/>
      <c r="X150" s="17"/>
      <c r="Y150" s="17"/>
      <c r="Z150" s="17"/>
    </row>
    <row r="151" ht="12.75" customHeight="1">
      <c r="A151" s="16"/>
      <c r="B151" s="386"/>
      <c r="C151" s="387"/>
      <c r="D151" s="387"/>
      <c r="E151" s="387"/>
      <c r="F151" s="387"/>
      <c r="G151" s="387"/>
      <c r="H151" s="388"/>
      <c r="I151" s="388"/>
      <c r="J151" s="388"/>
      <c r="K151" s="389"/>
      <c r="L151" s="271"/>
      <c r="M151" s="272"/>
      <c r="N151" s="272"/>
      <c r="O151" s="272"/>
      <c r="P151" s="17"/>
      <c r="Q151" s="17"/>
      <c r="R151" s="17"/>
      <c r="S151" s="17"/>
      <c r="T151" s="17"/>
      <c r="U151" s="17"/>
      <c r="V151" s="17"/>
      <c r="W151" s="17"/>
      <c r="X151" s="17"/>
      <c r="Y151" s="17"/>
      <c r="Z151" s="17"/>
    </row>
    <row r="152" ht="12.75" customHeight="1">
      <c r="A152" s="16"/>
      <c r="B152" s="386"/>
      <c r="C152" s="387"/>
      <c r="D152" s="387"/>
      <c r="E152" s="387"/>
      <c r="F152" s="387"/>
      <c r="G152" s="387"/>
      <c r="H152" s="388"/>
      <c r="I152" s="388"/>
      <c r="J152" s="388"/>
      <c r="K152" s="389"/>
      <c r="L152" s="271"/>
      <c r="M152" s="272"/>
      <c r="N152" s="272"/>
      <c r="O152" s="272"/>
      <c r="P152" s="17"/>
      <c r="Q152" s="17"/>
      <c r="R152" s="17"/>
      <c r="S152" s="17"/>
      <c r="T152" s="17"/>
      <c r="U152" s="17"/>
      <c r="V152" s="17"/>
      <c r="W152" s="17"/>
      <c r="X152" s="17"/>
      <c r="Y152" s="17"/>
      <c r="Z152" s="17"/>
    </row>
    <row r="153" ht="12.75" customHeight="1">
      <c r="A153" s="16"/>
      <c r="B153" s="386"/>
      <c r="C153" s="386"/>
      <c r="D153" s="386"/>
      <c r="E153" s="386"/>
      <c r="F153" s="386"/>
      <c r="G153" s="386"/>
      <c r="H153" s="386"/>
      <c r="I153" s="386"/>
      <c r="J153" s="386"/>
      <c r="K153" s="386"/>
      <c r="L153" s="271"/>
      <c r="M153" s="272"/>
      <c r="N153" s="272"/>
      <c r="O153" s="272"/>
      <c r="P153" s="17"/>
      <c r="Q153" s="17"/>
      <c r="R153" s="17"/>
      <c r="S153" s="17"/>
      <c r="T153" s="17"/>
      <c r="U153" s="17"/>
      <c r="V153" s="17"/>
      <c r="W153" s="17"/>
      <c r="X153" s="17"/>
      <c r="Y153" s="17"/>
      <c r="Z153" s="17"/>
    </row>
    <row r="154" ht="12.75" customHeight="1">
      <c r="A154" s="16"/>
      <c r="B154" s="386"/>
      <c r="C154" s="386"/>
      <c r="D154" s="386"/>
      <c r="E154" s="386"/>
      <c r="F154" s="386"/>
      <c r="G154" s="386"/>
      <c r="H154" s="386"/>
      <c r="I154" s="386"/>
      <c r="J154" s="386"/>
      <c r="K154" s="386"/>
      <c r="L154" s="271"/>
      <c r="M154" s="272"/>
      <c r="N154" s="272"/>
      <c r="O154" s="272"/>
      <c r="P154" s="17"/>
      <c r="Q154" s="17"/>
      <c r="R154" s="17"/>
      <c r="S154" s="17"/>
      <c r="T154" s="17"/>
      <c r="U154" s="17"/>
      <c r="V154" s="17"/>
      <c r="W154" s="17"/>
      <c r="X154" s="17"/>
      <c r="Y154" s="17"/>
      <c r="Z154" s="17"/>
    </row>
    <row r="155" ht="12.75" customHeight="1">
      <c r="A155" s="16"/>
      <c r="B155" s="386"/>
      <c r="C155" s="387"/>
      <c r="D155" s="387"/>
      <c r="E155" s="387"/>
      <c r="F155" s="387"/>
      <c r="G155" s="387"/>
      <c r="H155" s="386"/>
      <c r="I155" s="386"/>
      <c r="J155" s="386"/>
      <c r="K155" s="386"/>
      <c r="L155" s="271"/>
      <c r="M155" s="272"/>
      <c r="N155" s="272"/>
      <c r="O155" s="272"/>
      <c r="P155" s="17"/>
      <c r="Q155" s="17"/>
      <c r="R155" s="17"/>
      <c r="S155" s="17"/>
      <c r="T155" s="17"/>
      <c r="U155" s="17"/>
      <c r="V155" s="17"/>
      <c r="W155" s="17"/>
      <c r="X155" s="17"/>
      <c r="Y155" s="17"/>
      <c r="Z155" s="17"/>
    </row>
    <row r="156" ht="12.75" customHeight="1">
      <c r="A156" s="16"/>
      <c r="B156" s="386"/>
      <c r="C156" s="387"/>
      <c r="D156" s="387"/>
      <c r="E156" s="387"/>
      <c r="F156" s="387"/>
      <c r="G156" s="387"/>
      <c r="H156" s="386"/>
      <c r="I156" s="386"/>
      <c r="J156" s="386"/>
      <c r="K156" s="386"/>
      <c r="L156" s="271"/>
      <c r="M156" s="272"/>
      <c r="N156" s="272"/>
      <c r="O156" s="272"/>
      <c r="P156" s="17"/>
      <c r="Q156" s="17"/>
      <c r="R156" s="17"/>
      <c r="S156" s="17"/>
      <c r="T156" s="17"/>
      <c r="U156" s="17"/>
      <c r="V156" s="17"/>
      <c r="W156" s="17"/>
      <c r="X156" s="17"/>
      <c r="Y156" s="17"/>
      <c r="Z156" s="17"/>
    </row>
    <row r="157" ht="12.75" customHeight="1">
      <c r="A157" s="16"/>
      <c r="B157" s="386"/>
      <c r="C157" s="386"/>
      <c r="D157" s="386"/>
      <c r="E157" s="386"/>
      <c r="F157" s="386"/>
      <c r="G157" s="386"/>
      <c r="H157" s="386"/>
      <c r="I157" s="386"/>
      <c r="J157" s="386"/>
      <c r="K157" s="386"/>
      <c r="L157" s="271"/>
      <c r="M157" s="272"/>
      <c r="N157" s="272"/>
      <c r="O157" s="272"/>
      <c r="P157" s="17"/>
      <c r="Q157" s="17"/>
      <c r="R157" s="17"/>
      <c r="S157" s="17"/>
      <c r="T157" s="17"/>
      <c r="U157" s="17"/>
      <c r="V157" s="17"/>
      <c r="W157" s="17"/>
      <c r="X157" s="17"/>
      <c r="Y157" s="17"/>
      <c r="Z157" s="17"/>
    </row>
    <row r="158" ht="12.75" customHeight="1">
      <c r="A158" s="16"/>
      <c r="B158" s="386"/>
      <c r="C158" s="386"/>
      <c r="D158" s="386"/>
      <c r="E158" s="386"/>
      <c r="F158" s="386"/>
      <c r="G158" s="386"/>
      <c r="H158" s="386"/>
      <c r="I158" s="386"/>
      <c r="J158" s="386"/>
      <c r="K158" s="386"/>
      <c r="L158" s="271"/>
      <c r="M158" s="272"/>
      <c r="N158" s="272"/>
      <c r="O158" s="272"/>
      <c r="P158" s="17"/>
      <c r="Q158" s="17"/>
      <c r="R158" s="17"/>
      <c r="S158" s="17"/>
      <c r="T158" s="17"/>
      <c r="U158" s="17"/>
      <c r="V158" s="17"/>
      <c r="W158" s="17"/>
      <c r="X158" s="17"/>
      <c r="Y158" s="17"/>
      <c r="Z158" s="17"/>
    </row>
    <row r="159" ht="12.75" customHeight="1">
      <c r="A159" s="16"/>
      <c r="B159" s="386"/>
      <c r="C159" s="387"/>
      <c r="D159" s="387"/>
      <c r="E159" s="387"/>
      <c r="F159" s="387"/>
      <c r="G159" s="387"/>
      <c r="H159" s="386"/>
      <c r="I159" s="386"/>
      <c r="J159" s="386"/>
      <c r="K159" s="386"/>
      <c r="L159" s="271"/>
      <c r="M159" s="272"/>
      <c r="N159" s="272"/>
      <c r="O159" s="272"/>
      <c r="P159" s="17"/>
      <c r="Q159" s="17"/>
      <c r="R159" s="17"/>
      <c r="S159" s="17"/>
      <c r="T159" s="17"/>
      <c r="U159" s="17"/>
      <c r="V159" s="17"/>
      <c r="W159" s="17"/>
      <c r="X159" s="17"/>
      <c r="Y159" s="17"/>
      <c r="Z159" s="17"/>
    </row>
    <row r="160" ht="12.75" customHeight="1">
      <c r="A160" s="390"/>
      <c r="B160" s="391"/>
      <c r="C160" s="392"/>
      <c r="D160" s="392"/>
      <c r="E160" s="392"/>
      <c r="F160" s="392"/>
      <c r="G160" s="392"/>
      <c r="H160" s="391"/>
      <c r="I160" s="391"/>
      <c r="J160" s="391"/>
      <c r="K160" s="391"/>
      <c r="L160" s="393"/>
      <c r="M160" s="394"/>
      <c r="N160" s="394"/>
      <c r="O160" s="394"/>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50">
    <mergeCell ref="H9:I9"/>
    <mergeCell ref="J9:K9"/>
    <mergeCell ref="C10:G11"/>
    <mergeCell ref="H10:I10"/>
    <mergeCell ref="J10:K10"/>
    <mergeCell ref="H11:I11"/>
    <mergeCell ref="J11:K11"/>
    <mergeCell ref="H12:I12"/>
    <mergeCell ref="J12:K12"/>
    <mergeCell ref="C15:G15"/>
    <mergeCell ref="D17:D18"/>
    <mergeCell ref="E17:E18"/>
    <mergeCell ref="F17:F18"/>
    <mergeCell ref="G17:G18"/>
    <mergeCell ref="C17:C18"/>
    <mergeCell ref="C19:C20"/>
    <mergeCell ref="D19:D20"/>
    <mergeCell ref="D21:D22"/>
    <mergeCell ref="E21:E22"/>
    <mergeCell ref="F21:F22"/>
    <mergeCell ref="C28:G28"/>
    <mergeCell ref="C30:C31"/>
    <mergeCell ref="D30:D31"/>
    <mergeCell ref="E30:E31"/>
    <mergeCell ref="F30:F31"/>
    <mergeCell ref="G30:G31"/>
    <mergeCell ref="C32:C33"/>
    <mergeCell ref="D32:D33"/>
    <mergeCell ref="F41:F42"/>
    <mergeCell ref="G41:G42"/>
    <mergeCell ref="E34:E35"/>
    <mergeCell ref="F34:F35"/>
    <mergeCell ref="G34:G35"/>
    <mergeCell ref="C39:G39"/>
    <mergeCell ref="C41:C42"/>
    <mergeCell ref="D41:D42"/>
    <mergeCell ref="E41:E42"/>
    <mergeCell ref="B109:K109"/>
    <mergeCell ref="B110:K110"/>
    <mergeCell ref="B111:K111"/>
    <mergeCell ref="B112:K112"/>
    <mergeCell ref="B113:K113"/>
    <mergeCell ref="B114:K114"/>
    <mergeCell ref="C43:C44"/>
    <mergeCell ref="D43:D44"/>
    <mergeCell ref="E45:E46"/>
    <mergeCell ref="F45:F46"/>
    <mergeCell ref="G45:G46"/>
    <mergeCell ref="B102:K102"/>
    <mergeCell ref="B105:K106"/>
  </mergeCells>
  <printOptions/>
  <pageMargins bottom="0.551181" footer="0.0" header="0.0" left="0.19685" right="0.19685" top="0.590551"/>
  <pageSetup scale="80" orientation="portrait"/>
  <headerFooter>
    <oddHeader>&amp;C000000 </oddHeader>
    <oddFooter>&amp;R0000FFCertificado Original Metkal 000000     O-MK-0285.atG0hm.xlsx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3.13"/>
    <col customWidth="1" min="2" max="2" width="1.38"/>
    <col customWidth="1" min="3" max="3" width="6.88"/>
    <col customWidth="1" min="4" max="10" width="5.5"/>
    <col customWidth="1" min="11" max="11" width="6.5"/>
    <col customWidth="1" min="12" max="12" width="8.38"/>
    <col customWidth="1" min="13" max="13" width="5.63"/>
    <col customWidth="1" min="14" max="14" width="5.13"/>
    <col customWidth="1" min="15" max="15" width="5.5"/>
    <col customWidth="1" min="16" max="16" width="5.88"/>
    <col customWidth="1" min="17" max="33" width="5.38"/>
  </cols>
  <sheetData>
    <row r="1" ht="54.0" customHeight="1">
      <c r="A1" s="395" t="s">
        <v>136</v>
      </c>
      <c r="B1" s="362"/>
      <c r="C1" s="362"/>
      <c r="D1" s="362"/>
      <c r="E1" s="362"/>
      <c r="F1" s="362"/>
      <c r="G1" s="362"/>
      <c r="H1" s="362"/>
      <c r="I1" s="362"/>
      <c r="J1" s="362"/>
      <c r="K1" s="362"/>
      <c r="L1" s="362"/>
      <c r="M1" s="362"/>
      <c r="N1" s="362"/>
      <c r="O1" s="363"/>
      <c r="P1" s="396"/>
      <c r="Q1" s="397"/>
      <c r="R1" s="397"/>
      <c r="S1" s="397"/>
      <c r="T1" s="397"/>
      <c r="U1" s="397"/>
      <c r="V1" s="397"/>
      <c r="W1" s="397"/>
      <c r="X1" s="397"/>
      <c r="Y1" s="397"/>
      <c r="Z1" s="397"/>
      <c r="AA1" s="397"/>
      <c r="AB1" s="397"/>
      <c r="AC1" s="397"/>
      <c r="AD1" s="397"/>
      <c r="AE1" s="397"/>
      <c r="AF1" s="397"/>
      <c r="AG1" s="397"/>
    </row>
    <row r="2" ht="7.5" customHeight="1">
      <c r="A2" s="398"/>
      <c r="B2" s="399"/>
      <c r="C2" s="400"/>
      <c r="D2" s="400"/>
      <c r="E2" s="400"/>
      <c r="F2" s="400"/>
      <c r="G2" s="400"/>
      <c r="H2" s="400"/>
      <c r="I2" s="400"/>
      <c r="J2" s="400"/>
      <c r="K2" s="400"/>
      <c r="L2" s="400"/>
      <c r="M2" s="400"/>
      <c r="N2" s="401"/>
      <c r="O2" s="402"/>
      <c r="P2" s="397"/>
      <c r="Q2" s="397"/>
      <c r="R2" s="397"/>
      <c r="S2" s="397"/>
      <c r="T2" s="397"/>
      <c r="U2" s="397"/>
      <c r="V2" s="397"/>
      <c r="W2" s="397"/>
      <c r="X2" s="397"/>
      <c r="Y2" s="397"/>
      <c r="Z2" s="397"/>
      <c r="AA2" s="397"/>
      <c r="AB2" s="397"/>
      <c r="AC2" s="397"/>
      <c r="AD2" s="397"/>
      <c r="AE2" s="397"/>
      <c r="AF2" s="397"/>
      <c r="AG2" s="397"/>
    </row>
    <row r="3" ht="7.5" customHeight="1">
      <c r="A3" s="403"/>
      <c r="B3" s="404"/>
      <c r="C3" s="404"/>
      <c r="D3" s="404"/>
      <c r="E3" s="404"/>
      <c r="F3" s="404"/>
      <c r="G3" s="404"/>
      <c r="H3" s="404"/>
      <c r="I3" s="404"/>
      <c r="J3" s="404"/>
      <c r="K3" s="404"/>
      <c r="L3" s="404"/>
      <c r="M3" s="404"/>
      <c r="N3" s="404"/>
      <c r="O3" s="404"/>
      <c r="P3" s="405"/>
      <c r="Q3" s="397"/>
      <c r="R3" s="397"/>
      <c r="S3" s="397"/>
      <c r="T3" s="397"/>
      <c r="U3" s="397"/>
      <c r="V3" s="397"/>
      <c r="W3" s="397"/>
      <c r="X3" s="397"/>
      <c r="Y3" s="397"/>
      <c r="Z3" s="397"/>
      <c r="AA3" s="397"/>
      <c r="AB3" s="397"/>
      <c r="AC3" s="397"/>
      <c r="AD3" s="397"/>
      <c r="AE3" s="397"/>
      <c r="AF3" s="397"/>
      <c r="AG3" s="397"/>
    </row>
    <row r="4" ht="34.5" customHeight="1">
      <c r="A4" s="406" t="s">
        <v>137</v>
      </c>
      <c r="B4" s="407"/>
      <c r="C4" s="407"/>
      <c r="D4" s="407"/>
      <c r="E4" s="407"/>
      <c r="F4" s="407"/>
      <c r="G4" s="407"/>
      <c r="H4" s="408"/>
      <c r="I4" s="409" t="str">
        <f t="array" ref="I4">Certificado!I3</f>
        <v>O-MK-0285/26</v>
      </c>
      <c r="J4" s="407"/>
      <c r="K4" s="407"/>
      <c r="L4" s="407"/>
      <c r="M4" s="407"/>
      <c r="N4" s="407"/>
      <c r="O4" s="410"/>
      <c r="P4" s="411"/>
      <c r="Q4" s="412"/>
      <c r="R4" s="412"/>
      <c r="S4" s="412"/>
      <c r="T4" s="412"/>
      <c r="U4" s="413"/>
      <c r="V4" s="413"/>
      <c r="W4" s="413"/>
      <c r="X4" s="413"/>
      <c r="Y4" s="413"/>
      <c r="Z4" s="413"/>
      <c r="AA4" s="412"/>
      <c r="AB4" s="412"/>
      <c r="AC4" s="412"/>
      <c r="AD4" s="412"/>
      <c r="AE4" s="412"/>
      <c r="AF4" s="412"/>
      <c r="AG4" s="413"/>
    </row>
    <row r="5" ht="30.75" customHeight="1">
      <c r="A5" s="414" t="s">
        <v>138</v>
      </c>
      <c r="B5" s="415"/>
      <c r="C5" s="415"/>
      <c r="D5" s="415"/>
      <c r="E5" s="415"/>
      <c r="F5" s="415"/>
      <c r="G5" s="415"/>
      <c r="H5" s="415"/>
      <c r="I5" s="416"/>
      <c r="J5" s="417">
        <f t="array" ref="J5">Certificado!J5</f>
        <v>46048</v>
      </c>
      <c r="K5" s="415"/>
      <c r="L5" s="415"/>
      <c r="M5" s="415"/>
      <c r="N5" s="415"/>
      <c r="O5" s="418"/>
      <c r="P5" s="419"/>
      <c r="Q5" s="420"/>
      <c r="R5" s="420"/>
      <c r="S5" s="420"/>
      <c r="T5" s="420"/>
      <c r="U5" s="421"/>
      <c r="V5" s="421"/>
      <c r="W5" s="421"/>
      <c r="X5" s="421"/>
      <c r="Y5" s="421"/>
      <c r="Z5" s="421"/>
      <c r="AA5" s="421"/>
      <c r="AB5" s="421"/>
      <c r="AC5" s="420"/>
      <c r="AD5" s="420"/>
      <c r="AE5" s="420"/>
      <c r="AF5" s="420"/>
      <c r="AG5" s="421"/>
    </row>
    <row r="6" ht="32.25" customHeight="1">
      <c r="A6" s="414" t="s">
        <v>139</v>
      </c>
      <c r="B6" s="415"/>
      <c r="C6" s="415"/>
      <c r="D6" s="415"/>
      <c r="E6" s="415"/>
      <c r="F6" s="415"/>
      <c r="G6" s="415"/>
      <c r="H6" s="415"/>
      <c r="I6" s="416"/>
      <c r="J6" s="422">
        <f t="array" ref="J6">Certificado!J7</f>
        <v>46413</v>
      </c>
      <c r="K6" s="415"/>
      <c r="L6" s="415"/>
      <c r="M6" s="415"/>
      <c r="N6" s="415"/>
      <c r="O6" s="418"/>
      <c r="P6" s="419"/>
      <c r="Q6" s="420"/>
      <c r="R6" s="420"/>
      <c r="S6" s="420"/>
      <c r="T6" s="420"/>
      <c r="U6" s="421"/>
      <c r="V6" s="421"/>
      <c r="W6" s="421"/>
      <c r="X6" s="421"/>
      <c r="Y6" s="421"/>
      <c r="Z6" s="421"/>
      <c r="AA6" s="421"/>
      <c r="AB6" s="421"/>
      <c r="AC6" s="420"/>
      <c r="AD6" s="420"/>
      <c r="AE6" s="420"/>
      <c r="AF6" s="420"/>
      <c r="AG6" s="421"/>
    </row>
    <row r="7" ht="27.75" customHeight="1">
      <c r="A7" s="423" t="s">
        <v>140</v>
      </c>
      <c r="B7" s="424"/>
      <c r="C7" s="425"/>
      <c r="D7" s="426">
        <f t="array" ref="D7">Certificado!D20</f>
        <v>230402863</v>
      </c>
      <c r="E7" s="427"/>
      <c r="F7" s="427"/>
      <c r="G7" s="427"/>
      <c r="H7" s="427"/>
      <c r="I7" s="427"/>
      <c r="J7" s="427"/>
      <c r="K7" s="427"/>
      <c r="L7" s="427"/>
      <c r="M7" s="427"/>
      <c r="N7" s="428"/>
      <c r="O7" s="429"/>
      <c r="P7" s="430"/>
      <c r="Q7" s="430"/>
      <c r="R7" s="430"/>
      <c r="S7" s="430"/>
      <c r="T7" s="430"/>
      <c r="U7" s="431"/>
      <c r="V7" s="431"/>
      <c r="W7" s="430"/>
      <c r="X7" s="430"/>
      <c r="Y7" s="430"/>
      <c r="Z7" s="430"/>
      <c r="AA7" s="430"/>
      <c r="AB7" s="430"/>
      <c r="AC7" s="430"/>
      <c r="AD7" s="430"/>
      <c r="AE7" s="430"/>
      <c r="AF7" s="430"/>
      <c r="AG7" s="431"/>
    </row>
    <row r="8" ht="34.5" customHeight="1">
      <c r="A8" s="432"/>
      <c r="B8" s="433" t="s">
        <v>141</v>
      </c>
      <c r="C8" s="369"/>
      <c r="D8" s="369"/>
      <c r="E8" s="369"/>
      <c r="F8" s="369"/>
      <c r="G8" s="369"/>
      <c r="H8" s="369"/>
      <c r="I8" s="369"/>
      <c r="J8" s="369"/>
      <c r="K8" s="369"/>
      <c r="L8" s="434"/>
      <c r="M8" s="435" t="s">
        <v>142</v>
      </c>
      <c r="N8" s="278"/>
      <c r="O8" s="278"/>
      <c r="P8" s="278"/>
      <c r="Q8" s="278"/>
      <c r="R8" s="278"/>
      <c r="S8" s="278"/>
      <c r="T8" s="278"/>
      <c r="U8" s="278"/>
      <c r="V8" s="278"/>
      <c r="W8" s="278"/>
      <c r="X8" s="278"/>
      <c r="Y8" s="278"/>
      <c r="Z8" s="278"/>
      <c r="AA8" s="278"/>
      <c r="AB8" s="278"/>
      <c r="AC8" s="278"/>
      <c r="AD8" s="278"/>
      <c r="AE8" s="278"/>
      <c r="AF8" s="278"/>
      <c r="AG8" s="436"/>
    </row>
    <row r="9" ht="30.75" customHeight="1">
      <c r="A9" s="437"/>
      <c r="B9" s="281"/>
      <c r="C9" s="282"/>
      <c r="D9" s="282"/>
      <c r="E9" s="282"/>
      <c r="F9" s="282"/>
      <c r="G9" s="282"/>
      <c r="H9" s="282"/>
      <c r="I9" s="282"/>
      <c r="J9" s="282"/>
      <c r="K9" s="282"/>
      <c r="L9" s="283"/>
      <c r="M9" s="281"/>
      <c r="N9" s="282"/>
      <c r="O9" s="282"/>
      <c r="P9" s="282"/>
      <c r="Q9" s="282"/>
      <c r="R9" s="282"/>
      <c r="S9" s="282"/>
      <c r="T9" s="282"/>
      <c r="U9" s="282"/>
      <c r="V9" s="282"/>
      <c r="W9" s="282"/>
      <c r="X9" s="282"/>
      <c r="Y9" s="282"/>
      <c r="Z9" s="282"/>
      <c r="AA9" s="282"/>
      <c r="AB9" s="282"/>
      <c r="AC9" s="282"/>
      <c r="AD9" s="282"/>
      <c r="AE9" s="282"/>
      <c r="AF9" s="282"/>
      <c r="AG9" s="438"/>
    </row>
    <row r="10" ht="13.5" hidden="1" customHeight="1">
      <c r="A10" s="439"/>
      <c r="B10" s="439"/>
      <c r="C10" s="439"/>
      <c r="D10" s="439"/>
      <c r="E10" s="439"/>
      <c r="F10" s="439"/>
      <c r="G10" s="439"/>
      <c r="H10" s="439"/>
      <c r="I10" s="439"/>
      <c r="J10" s="439"/>
      <c r="K10" s="439"/>
      <c r="L10" s="439"/>
      <c r="M10" s="439"/>
      <c r="N10" s="439"/>
      <c r="O10" s="439"/>
      <c r="P10" s="439"/>
      <c r="Q10" s="439"/>
      <c r="R10" s="439"/>
      <c r="S10" s="439"/>
      <c r="T10" s="439"/>
      <c r="U10" s="439"/>
      <c r="V10" s="439"/>
      <c r="W10" s="439"/>
      <c r="X10" s="439"/>
      <c r="Y10" s="439"/>
      <c r="Z10" s="439"/>
      <c r="AA10" s="439"/>
      <c r="AB10" s="439"/>
      <c r="AC10" s="439"/>
      <c r="AD10" s="439"/>
      <c r="AE10" s="439"/>
      <c r="AF10" s="439"/>
      <c r="AG10" s="439"/>
    </row>
    <row r="11" ht="13.5" hidden="1" customHeight="1">
      <c r="A11" s="439"/>
      <c r="B11" s="439"/>
      <c r="C11" s="439"/>
      <c r="D11" s="439"/>
      <c r="E11" s="439"/>
      <c r="F11" s="439"/>
      <c r="G11" s="439"/>
      <c r="H11" s="439"/>
      <c r="I11" s="439"/>
      <c r="J11" s="439"/>
      <c r="K11" s="439"/>
      <c r="L11" s="439"/>
      <c r="M11" s="439"/>
      <c r="N11" s="439"/>
      <c r="O11" s="439"/>
      <c r="P11" s="439"/>
      <c r="Q11" s="439"/>
      <c r="R11" s="439"/>
      <c r="S11" s="439"/>
      <c r="T11" s="439"/>
      <c r="U11" s="439"/>
      <c r="V11" s="439"/>
      <c r="W11" s="439"/>
      <c r="X11" s="439"/>
      <c r="Y11" s="439"/>
      <c r="Z11" s="439"/>
      <c r="AA11" s="439"/>
      <c r="AB11" s="439"/>
      <c r="AC11" s="439"/>
      <c r="AD11" s="439"/>
      <c r="AE11" s="439"/>
      <c r="AF11" s="439"/>
      <c r="AG11" s="439"/>
    </row>
    <row r="12" ht="13.5" hidden="1" customHeight="1">
      <c r="A12" s="439"/>
      <c r="B12" s="439"/>
      <c r="C12" s="439"/>
      <c r="D12" s="439"/>
      <c r="E12" s="439"/>
      <c r="F12" s="439"/>
      <c r="G12" s="439"/>
      <c r="H12" s="439"/>
      <c r="I12" s="439"/>
      <c r="J12" s="439"/>
      <c r="K12" s="439"/>
      <c r="L12" s="439"/>
      <c r="M12" s="439"/>
      <c r="N12" s="439"/>
      <c r="O12" s="439"/>
      <c r="P12" s="439"/>
      <c r="Q12" s="439"/>
      <c r="R12" s="439"/>
      <c r="S12" s="439"/>
      <c r="T12" s="439"/>
      <c r="U12" s="439"/>
      <c r="V12" s="439"/>
      <c r="W12" s="439"/>
      <c r="X12" s="439"/>
      <c r="Y12" s="439"/>
      <c r="Z12" s="439"/>
      <c r="AA12" s="439"/>
      <c r="AB12" s="439"/>
      <c r="AC12" s="439"/>
      <c r="AD12" s="439"/>
      <c r="AE12" s="439"/>
      <c r="AF12" s="439"/>
      <c r="AG12" s="439"/>
    </row>
    <row r="13" ht="13.5" hidden="1" customHeight="1">
      <c r="A13" s="439"/>
      <c r="B13" s="439"/>
      <c r="C13" s="439"/>
      <c r="D13" s="439"/>
      <c r="E13" s="439"/>
      <c r="F13" s="439"/>
      <c r="G13" s="439"/>
      <c r="H13" s="439"/>
      <c r="I13" s="439"/>
      <c r="J13" s="439"/>
      <c r="K13" s="439"/>
      <c r="L13" s="439"/>
      <c r="M13" s="439"/>
      <c r="N13" s="439"/>
      <c r="O13" s="439"/>
      <c r="P13" s="439"/>
      <c r="Q13" s="439"/>
      <c r="R13" s="439"/>
      <c r="S13" s="439"/>
      <c r="T13" s="439"/>
      <c r="U13" s="439"/>
      <c r="V13" s="439"/>
      <c r="W13" s="439"/>
      <c r="X13" s="439"/>
      <c r="Y13" s="439"/>
      <c r="Z13" s="439"/>
      <c r="AA13" s="439"/>
      <c r="AB13" s="439"/>
      <c r="AC13" s="439"/>
      <c r="AD13" s="439"/>
      <c r="AE13" s="439"/>
      <c r="AF13" s="439"/>
      <c r="AG13" s="439"/>
    </row>
    <row r="14" ht="13.5" hidden="1" customHeight="1">
      <c r="A14" s="439"/>
      <c r="B14" s="439"/>
      <c r="C14" s="439"/>
      <c r="D14" s="439"/>
      <c r="E14" s="439"/>
      <c r="F14" s="439"/>
      <c r="G14" s="439"/>
      <c r="H14" s="439"/>
      <c r="I14" s="439"/>
      <c r="J14" s="439"/>
      <c r="K14" s="439"/>
      <c r="L14" s="439"/>
      <c r="M14" s="439"/>
      <c r="N14" s="439"/>
      <c r="O14" s="439"/>
      <c r="P14" s="439"/>
      <c r="Q14" s="439"/>
      <c r="R14" s="439"/>
      <c r="S14" s="439"/>
      <c r="T14" s="439"/>
      <c r="U14" s="439"/>
      <c r="V14" s="439"/>
      <c r="W14" s="439"/>
      <c r="X14" s="439"/>
      <c r="Y14" s="439"/>
      <c r="Z14" s="439"/>
      <c r="AA14" s="439"/>
      <c r="AB14" s="439"/>
      <c r="AC14" s="439"/>
      <c r="AD14" s="439"/>
      <c r="AE14" s="439"/>
      <c r="AF14" s="439"/>
      <c r="AG14" s="439"/>
    </row>
    <row r="15" ht="13.5" hidden="1" customHeight="1">
      <c r="A15" s="439"/>
      <c r="B15" s="439"/>
      <c r="C15" s="439"/>
      <c r="D15" s="439"/>
      <c r="E15" s="439"/>
      <c r="F15" s="439"/>
      <c r="G15" s="439"/>
      <c r="H15" s="439"/>
      <c r="I15" s="439"/>
      <c r="J15" s="439"/>
      <c r="K15" s="439"/>
      <c r="L15" s="439"/>
      <c r="M15" s="439"/>
      <c r="N15" s="439"/>
      <c r="O15" s="439"/>
      <c r="P15" s="439"/>
      <c r="Q15" s="439"/>
      <c r="R15" s="439"/>
      <c r="S15" s="439"/>
      <c r="T15" s="439"/>
      <c r="U15" s="439"/>
      <c r="V15" s="439"/>
      <c r="W15" s="439"/>
      <c r="X15" s="439"/>
      <c r="Y15" s="439"/>
      <c r="Z15" s="439"/>
      <c r="AA15" s="439"/>
      <c r="AB15" s="439"/>
      <c r="AC15" s="439"/>
      <c r="AD15" s="439"/>
      <c r="AE15" s="439"/>
      <c r="AF15" s="439"/>
      <c r="AG15" s="439"/>
    </row>
    <row r="16" ht="13.5" hidden="1" customHeight="1">
      <c r="A16" s="439"/>
      <c r="B16" s="439"/>
      <c r="C16" s="439"/>
      <c r="D16" s="439"/>
      <c r="E16" s="439"/>
      <c r="F16" s="439"/>
      <c r="G16" s="439"/>
      <c r="H16" s="439"/>
      <c r="I16" s="439"/>
      <c r="J16" s="439"/>
      <c r="K16" s="439"/>
      <c r="L16" s="439"/>
      <c r="M16" s="439"/>
      <c r="N16" s="439"/>
      <c r="O16" s="439"/>
      <c r="P16" s="439"/>
      <c r="Q16" s="439"/>
      <c r="R16" s="439"/>
      <c r="S16" s="439"/>
      <c r="T16" s="439"/>
      <c r="U16" s="439"/>
      <c r="V16" s="439"/>
      <c r="W16" s="439"/>
      <c r="X16" s="439"/>
      <c r="Y16" s="439"/>
      <c r="Z16" s="439"/>
      <c r="AA16" s="439"/>
      <c r="AB16" s="439"/>
      <c r="AC16" s="439"/>
      <c r="AD16" s="439"/>
      <c r="AE16" s="439"/>
      <c r="AF16" s="439"/>
      <c r="AG16" s="439"/>
    </row>
    <row r="17" ht="13.5" hidden="1" customHeight="1">
      <c r="A17" s="439"/>
      <c r="B17" s="439"/>
      <c r="C17" s="439"/>
      <c r="D17" s="439"/>
      <c r="E17" s="439"/>
      <c r="F17" s="439"/>
      <c r="G17" s="439"/>
      <c r="H17" s="439"/>
      <c r="I17" s="439"/>
      <c r="J17" s="439"/>
      <c r="K17" s="439"/>
      <c r="L17" s="439"/>
      <c r="M17" s="439"/>
      <c r="N17" s="439"/>
      <c r="O17" s="439"/>
      <c r="P17" s="439"/>
      <c r="Q17" s="439"/>
      <c r="R17" s="439"/>
      <c r="S17" s="439"/>
      <c r="T17" s="439"/>
      <c r="U17" s="439"/>
      <c r="V17" s="439"/>
      <c r="W17" s="439"/>
      <c r="X17" s="439"/>
      <c r="Y17" s="439"/>
      <c r="Z17" s="439"/>
      <c r="AA17" s="439"/>
      <c r="AB17" s="439"/>
      <c r="AC17" s="439"/>
      <c r="AD17" s="439"/>
      <c r="AE17" s="439"/>
      <c r="AF17" s="439"/>
      <c r="AG17" s="439"/>
    </row>
    <row r="18" ht="13.5" hidden="1" customHeight="1">
      <c r="A18" s="439"/>
      <c r="B18" s="439"/>
      <c r="C18" s="439"/>
      <c r="D18" s="439"/>
      <c r="E18" s="439"/>
      <c r="F18" s="439"/>
      <c r="G18" s="439"/>
      <c r="H18" s="439"/>
      <c r="I18" s="439"/>
      <c r="J18" s="439"/>
      <c r="K18" s="439"/>
      <c r="L18" s="439"/>
      <c r="M18" s="439"/>
      <c r="N18" s="439"/>
      <c r="O18" s="439"/>
      <c r="P18" s="439"/>
      <c r="Q18" s="439"/>
      <c r="R18" s="439"/>
      <c r="S18" s="439"/>
      <c r="T18" s="439"/>
      <c r="U18" s="439"/>
      <c r="V18" s="439"/>
      <c r="W18" s="439"/>
      <c r="X18" s="439"/>
      <c r="Y18" s="439"/>
      <c r="Z18" s="439"/>
      <c r="AA18" s="439"/>
      <c r="AB18" s="439"/>
      <c r="AC18" s="439"/>
      <c r="AD18" s="439"/>
      <c r="AE18" s="439"/>
      <c r="AF18" s="439"/>
      <c r="AG18" s="439"/>
    </row>
    <row r="19" ht="13.5" hidden="1" customHeight="1">
      <c r="A19" s="439"/>
      <c r="B19" s="439"/>
      <c r="C19" s="439"/>
      <c r="D19" s="439"/>
      <c r="E19" s="439"/>
      <c r="F19" s="439"/>
      <c r="G19" s="439"/>
      <c r="H19" s="439"/>
      <c r="I19" s="439"/>
      <c r="J19" s="439"/>
      <c r="K19" s="439"/>
      <c r="L19" s="439"/>
      <c r="M19" s="439"/>
      <c r="N19" s="439"/>
      <c r="O19" s="439"/>
      <c r="P19" s="439"/>
      <c r="Q19" s="439"/>
      <c r="R19" s="439"/>
      <c r="S19" s="439"/>
      <c r="T19" s="439"/>
      <c r="U19" s="439"/>
      <c r="V19" s="439"/>
      <c r="W19" s="439"/>
      <c r="X19" s="439"/>
      <c r="Y19" s="439"/>
      <c r="Z19" s="439"/>
      <c r="AA19" s="439"/>
      <c r="AB19" s="439"/>
      <c r="AC19" s="439"/>
      <c r="AD19" s="439"/>
      <c r="AE19" s="439"/>
      <c r="AF19" s="439"/>
      <c r="AG19" s="439"/>
    </row>
    <row r="20" ht="13.5" hidden="1" customHeight="1">
      <c r="A20" s="439"/>
      <c r="B20" s="439"/>
      <c r="C20" s="439"/>
      <c r="D20" s="439"/>
      <c r="E20" s="439"/>
      <c r="F20" s="439"/>
      <c r="G20" s="439"/>
      <c r="H20" s="439"/>
      <c r="I20" s="439"/>
      <c r="J20" s="439"/>
      <c r="K20" s="439"/>
      <c r="L20" s="439"/>
      <c r="M20" s="439"/>
      <c r="N20" s="439"/>
      <c r="O20" s="439"/>
      <c r="P20" s="439"/>
      <c r="Q20" s="439"/>
      <c r="R20" s="439"/>
      <c r="S20" s="439"/>
      <c r="T20" s="439"/>
      <c r="U20" s="439"/>
      <c r="V20" s="439"/>
      <c r="W20" s="439"/>
      <c r="X20" s="439"/>
      <c r="Y20" s="439"/>
      <c r="Z20" s="439"/>
      <c r="AA20" s="439"/>
      <c r="AB20" s="439"/>
      <c r="AC20" s="439"/>
      <c r="AD20" s="439"/>
      <c r="AE20" s="439"/>
      <c r="AF20" s="439"/>
      <c r="AG20" s="439"/>
    </row>
    <row r="21" ht="13.5" hidden="1" customHeight="1">
      <c r="A21" s="439"/>
      <c r="B21" s="439"/>
      <c r="C21" s="439"/>
      <c r="D21" s="439"/>
      <c r="E21" s="439"/>
      <c r="F21" s="439"/>
      <c r="G21" s="439"/>
      <c r="H21" s="439"/>
      <c r="I21" s="439"/>
      <c r="J21" s="439"/>
      <c r="K21" s="439"/>
      <c r="L21" s="439"/>
      <c r="M21" s="439"/>
      <c r="N21" s="439"/>
      <c r="O21" s="439"/>
      <c r="P21" s="439"/>
      <c r="Q21" s="439"/>
      <c r="R21" s="439"/>
      <c r="S21" s="439"/>
      <c r="T21" s="439"/>
      <c r="U21" s="439"/>
      <c r="V21" s="439"/>
      <c r="W21" s="439"/>
      <c r="X21" s="439"/>
      <c r="Y21" s="439"/>
      <c r="Z21" s="439"/>
      <c r="AA21" s="439"/>
      <c r="AB21" s="439"/>
      <c r="AC21" s="439"/>
      <c r="AD21" s="439"/>
      <c r="AE21" s="439"/>
      <c r="AF21" s="439"/>
      <c r="AG21" s="439"/>
    </row>
    <row r="22" ht="13.5" hidden="1" customHeight="1">
      <c r="A22" s="439"/>
      <c r="B22" s="439"/>
      <c r="C22" s="439"/>
      <c r="D22" s="439"/>
      <c r="E22" s="439"/>
      <c r="F22" s="439"/>
      <c r="G22" s="439"/>
      <c r="H22" s="439"/>
      <c r="I22" s="439"/>
      <c r="J22" s="439"/>
      <c r="K22" s="439"/>
      <c r="L22" s="439"/>
      <c r="M22" s="439"/>
      <c r="N22" s="439"/>
      <c r="O22" s="439"/>
      <c r="P22" s="439"/>
      <c r="Q22" s="439"/>
      <c r="R22" s="439"/>
      <c r="S22" s="439"/>
      <c r="T22" s="439"/>
      <c r="U22" s="439"/>
      <c r="V22" s="439"/>
      <c r="W22" s="439"/>
      <c r="X22" s="439"/>
      <c r="Y22" s="439"/>
      <c r="Z22" s="439"/>
      <c r="AA22" s="439"/>
      <c r="AB22" s="439"/>
      <c r="AC22" s="439"/>
      <c r="AD22" s="439"/>
      <c r="AE22" s="439"/>
      <c r="AF22" s="439"/>
      <c r="AG22" s="439"/>
    </row>
    <row r="23" ht="13.5" hidden="1" customHeight="1">
      <c r="A23" s="439"/>
      <c r="B23" s="439"/>
      <c r="C23" s="439"/>
      <c r="D23" s="439"/>
      <c r="E23" s="439"/>
      <c r="F23" s="439"/>
      <c r="G23" s="439"/>
      <c r="H23" s="439"/>
      <c r="I23" s="439"/>
      <c r="J23" s="439"/>
      <c r="K23" s="439"/>
      <c r="L23" s="439"/>
      <c r="M23" s="439"/>
      <c r="N23" s="439"/>
      <c r="O23" s="439"/>
      <c r="P23" s="439"/>
      <c r="Q23" s="439"/>
      <c r="R23" s="439"/>
      <c r="S23" s="439"/>
      <c r="T23" s="439"/>
      <c r="U23" s="439"/>
      <c r="V23" s="439"/>
      <c r="W23" s="439"/>
      <c r="X23" s="439"/>
      <c r="Y23" s="439"/>
      <c r="Z23" s="439"/>
      <c r="AA23" s="439"/>
      <c r="AB23" s="439"/>
      <c r="AC23" s="439"/>
      <c r="AD23" s="439"/>
      <c r="AE23" s="439"/>
      <c r="AF23" s="439"/>
      <c r="AG23" s="439"/>
    </row>
    <row r="24" ht="13.5" hidden="1" customHeight="1">
      <c r="A24" s="439"/>
      <c r="B24" s="439"/>
      <c r="C24" s="439"/>
      <c r="D24" s="439"/>
      <c r="E24" s="439"/>
      <c r="F24" s="439"/>
      <c r="G24" s="439"/>
      <c r="H24" s="439"/>
      <c r="I24" s="439"/>
      <c r="J24" s="439"/>
      <c r="K24" s="439"/>
      <c r="L24" s="439"/>
      <c r="M24" s="439"/>
      <c r="N24" s="439"/>
      <c r="O24" s="439"/>
      <c r="P24" s="439"/>
      <c r="Q24" s="439"/>
      <c r="R24" s="439"/>
      <c r="S24" s="439"/>
      <c r="T24" s="439"/>
      <c r="U24" s="439"/>
      <c r="V24" s="439"/>
      <c r="W24" s="439"/>
      <c r="X24" s="439"/>
      <c r="Y24" s="439"/>
      <c r="Z24" s="439"/>
      <c r="AA24" s="439"/>
      <c r="AB24" s="439"/>
      <c r="AC24" s="439"/>
      <c r="AD24" s="439"/>
      <c r="AE24" s="439"/>
      <c r="AF24" s="439"/>
      <c r="AG24" s="439"/>
    </row>
    <row r="25" ht="13.5" hidden="1" customHeight="1">
      <c r="A25" s="439"/>
      <c r="B25" s="439"/>
      <c r="C25" s="439"/>
      <c r="D25" s="439"/>
      <c r="E25" s="439"/>
      <c r="F25" s="439"/>
      <c r="G25" s="439"/>
      <c r="H25" s="439"/>
      <c r="I25" s="439"/>
      <c r="J25" s="439"/>
      <c r="K25" s="439"/>
      <c r="L25" s="439"/>
      <c r="M25" s="439"/>
      <c r="N25" s="439"/>
      <c r="O25" s="439"/>
      <c r="P25" s="439"/>
      <c r="Q25" s="439"/>
      <c r="R25" s="439"/>
      <c r="S25" s="439"/>
      <c r="T25" s="439"/>
      <c r="U25" s="439"/>
      <c r="V25" s="439"/>
      <c r="W25" s="439"/>
      <c r="X25" s="439"/>
      <c r="Y25" s="439"/>
      <c r="Z25" s="439"/>
      <c r="AA25" s="439"/>
      <c r="AB25" s="439"/>
      <c r="AC25" s="439"/>
      <c r="AD25" s="439"/>
      <c r="AE25" s="439"/>
      <c r="AF25" s="439"/>
      <c r="AG25" s="439"/>
    </row>
    <row r="26" ht="13.5" hidden="1" customHeight="1">
      <c r="A26" s="439"/>
      <c r="B26" s="439"/>
      <c r="C26" s="439"/>
      <c r="D26" s="439"/>
      <c r="E26" s="439"/>
      <c r="F26" s="439"/>
      <c r="G26" s="439"/>
      <c r="H26" s="439"/>
      <c r="I26" s="439"/>
      <c r="J26" s="439"/>
      <c r="K26" s="439"/>
      <c r="L26" s="439"/>
      <c r="M26" s="439"/>
      <c r="N26" s="439"/>
      <c r="O26" s="439"/>
      <c r="P26" s="439"/>
      <c r="Q26" s="439"/>
      <c r="R26" s="439"/>
      <c r="S26" s="439"/>
      <c r="T26" s="439"/>
      <c r="U26" s="439"/>
      <c r="V26" s="439"/>
      <c r="W26" s="439"/>
      <c r="X26" s="439"/>
      <c r="Y26" s="439"/>
      <c r="Z26" s="439"/>
      <c r="AA26" s="439"/>
      <c r="AB26" s="439"/>
      <c r="AC26" s="439"/>
      <c r="AD26" s="439"/>
      <c r="AE26" s="439"/>
      <c r="AF26" s="439"/>
      <c r="AG26" s="439"/>
    </row>
    <row r="27" ht="13.5" hidden="1" customHeight="1">
      <c r="A27" s="439"/>
      <c r="B27" s="439"/>
      <c r="C27" s="439"/>
      <c r="D27" s="439"/>
      <c r="E27" s="439"/>
      <c r="F27" s="439"/>
      <c r="G27" s="439"/>
      <c r="H27" s="439"/>
      <c r="I27" s="439"/>
      <c r="J27" s="439"/>
      <c r="K27" s="439"/>
      <c r="L27" s="439"/>
      <c r="M27" s="439"/>
      <c r="N27" s="439"/>
      <c r="O27" s="439"/>
      <c r="P27" s="439"/>
      <c r="Q27" s="439"/>
      <c r="R27" s="439"/>
      <c r="S27" s="439"/>
      <c r="T27" s="439"/>
      <c r="U27" s="439"/>
      <c r="V27" s="439"/>
      <c r="W27" s="439"/>
      <c r="X27" s="439"/>
      <c r="Y27" s="439"/>
      <c r="Z27" s="439"/>
      <c r="AA27" s="439"/>
      <c r="AB27" s="439"/>
      <c r="AC27" s="439"/>
      <c r="AD27" s="439"/>
      <c r="AE27" s="439"/>
      <c r="AF27" s="439"/>
      <c r="AG27" s="439"/>
    </row>
    <row r="28" ht="12.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row>
    <row r="29" ht="12.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row>
    <row r="30" ht="12.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row>
    <row r="31" ht="12.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row>
    <row r="32" ht="12.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row>
    <row r="33" ht="12.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row>
    <row r="34" ht="12.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row>
    <row r="35" ht="12.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row>
    <row r="36" ht="12.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row>
    <row r="37" ht="12.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row>
    <row r="38" ht="12.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row>
    <row r="39" ht="12.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row>
    <row r="40" ht="12.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row>
    <row r="41" ht="12.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row>
    <row r="42" ht="12.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row>
    <row r="43" ht="12.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row>
    <row r="44" ht="12.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row>
    <row r="46" ht="12.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row>
    <row r="47" ht="12.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row>
  </sheetData>
  <mergeCells count="11">
    <mergeCell ref="A7:C7"/>
    <mergeCell ref="D7:N7"/>
    <mergeCell ref="B8:L9"/>
    <mergeCell ref="M8:AG9"/>
    <mergeCell ref="A1:O1"/>
    <mergeCell ref="A4:H4"/>
    <mergeCell ref="I4:O4"/>
    <mergeCell ref="A5:I5"/>
    <mergeCell ref="J5:O5"/>
    <mergeCell ref="A6:I6"/>
    <mergeCell ref="J6:O6"/>
  </mergeCells>
  <printOptions/>
  <pageMargins bottom="0.0" footer="0.0" header="0.0" left="0.0393701" right="0.0" top="0.0"/>
  <pageSetup scale="25" orientation="landscape"/>
  <headerFooter>
    <oddFooter>&amp;C000000&amp;P</oddFooter>
  </headerFooter>
  <drawing r:id="rId1"/>
</worksheet>
</file>