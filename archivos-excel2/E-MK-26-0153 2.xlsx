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Certificado" sheetId="2" r:id="rId6"/>
    <sheet state="visible" name="Resultados I" sheetId="3" r:id="rId7"/>
    <sheet state="visible" name="Anexo II" sheetId="4" r:id="rId8"/>
    <sheet state="visible" name="ETIQUETA" sheetId="5" r:id="rId9"/>
  </sheets>
  <definedNames/>
  <calcPr/>
</workbook>
</file>

<file path=xl/sharedStrings.xml><?xml version="1.0" encoding="utf-8"?>
<sst xmlns="http://schemas.openxmlformats.org/spreadsheetml/2006/main" count="901" uniqueCount="168">
  <si>
    <t>MVRC</t>
  </si>
  <si>
    <t>Ing. J. Oscar T. Morales García</t>
  </si>
  <si>
    <t>Director técnico</t>
  </si>
  <si>
    <t>Jefe de área SF&amp;G</t>
  </si>
  <si>
    <t>Mess Servicios Metrológicos S. de R.L. de C.V.</t>
  </si>
  <si>
    <t>Instalaciones del cliente</t>
  </si>
  <si>
    <t>Ing. Pablo Lopez Perez</t>
  </si>
  <si>
    <t xml:space="preserve">TENSION ELECTRICA CONTINUA </t>
  </si>
  <si>
    <t>INTERVALO</t>
  </si>
  <si>
    <t>A</t>
  </si>
  <si>
    <t>RESOLUCION</t>
  </si>
  <si>
    <t>para 5</t>
  </si>
  <si>
    <t>UNIDAD</t>
  </si>
  <si>
    <t>mV</t>
  </si>
  <si>
    <t>Error max:</t>
  </si>
  <si>
    <t>muestras</t>
  </si>
  <si>
    <t>Especificación</t>
  </si>
  <si>
    <t>Incertidumbre max:</t>
  </si>
  <si>
    <t>MK-019</t>
  </si>
  <si>
    <t>FLUKE</t>
  </si>
  <si>
    <t>Valor Nominal</t>
  </si>
  <si>
    <t>t= 1.4</t>
  </si>
  <si>
    <t>Uexpandida</t>
  </si>
  <si>
    <t>del Patrón</t>
  </si>
  <si>
    <t>Muestra 1</t>
  </si>
  <si>
    <t>Muestra 2</t>
  </si>
  <si>
    <t>Muestra 3</t>
  </si>
  <si>
    <t>Muestra 4</t>
  </si>
  <si>
    <t>Muestra 5</t>
  </si>
  <si>
    <t>uA</t>
  </si>
  <si>
    <t>Tol.de Patrón</t>
  </si>
  <si>
    <t>uB de Patrón</t>
  </si>
  <si>
    <t>uB resol.</t>
  </si>
  <si>
    <t>uC</t>
  </si>
  <si>
    <t xml:space="preserve">Grados </t>
  </si>
  <si>
    <t>para 95.45%</t>
  </si>
  <si>
    <t>de libertad</t>
  </si>
  <si>
    <t>Factor k</t>
  </si>
  <si>
    <t>error</t>
  </si>
  <si>
    <t>error +U</t>
  </si>
  <si>
    <t>error -U</t>
  </si>
  <si>
    <t>error_abs</t>
  </si>
  <si>
    <t>V</t>
  </si>
  <si>
    <t>TENSION ELECTRICA ALTERNA (60 Hz)</t>
  </si>
  <si>
    <t xml:space="preserve">CORRIENTE ELECTRICA CONTINUA </t>
  </si>
  <si>
    <r>
      <rPr>
        <rFont val="Calibri"/>
        <color rgb="FF000000"/>
        <sz val="8.0"/>
      </rPr>
      <t>µ</t>
    </r>
    <r>
      <rPr>
        <rFont val="Arial"/>
        <color rgb="FF000000"/>
        <sz val="8.0"/>
      </rPr>
      <t>A</t>
    </r>
  </si>
  <si>
    <r>
      <rPr>
        <rFont val="Calibri"/>
        <color rgb="FF000000"/>
        <sz val="8.0"/>
      </rPr>
      <t>µ</t>
    </r>
    <r>
      <rPr>
        <rFont val="Arial"/>
        <color rgb="FF000000"/>
        <sz val="8.0"/>
      </rPr>
      <t>A</t>
    </r>
  </si>
  <si>
    <t>CORRIENTE ELECTRICA ALTERNA (60 Hz)</t>
  </si>
  <si>
    <r>
      <rPr>
        <rFont val="Calibri"/>
        <color rgb="FF000000"/>
        <sz val="8.0"/>
      </rPr>
      <t>µ</t>
    </r>
    <r>
      <rPr>
        <rFont val="Arial"/>
        <color rgb="FF000000"/>
        <sz val="8.0"/>
      </rPr>
      <t>A</t>
    </r>
  </si>
  <si>
    <r>
      <rPr>
        <rFont val="Calibri"/>
        <color rgb="FF000000"/>
        <sz val="8.0"/>
      </rPr>
      <t>µ</t>
    </r>
    <r>
      <rPr>
        <rFont val="Arial"/>
        <color rgb="FF000000"/>
        <sz val="8.0"/>
      </rPr>
      <t>A</t>
    </r>
  </si>
  <si>
    <t xml:space="preserve">RESISTENCIA ELECTRICA </t>
  </si>
  <si>
    <t>Ω</t>
  </si>
  <si>
    <t>kΩ</t>
  </si>
  <si>
    <t>MΩ</t>
  </si>
  <si>
    <t xml:space="preserve">Formato:    </t>
  </si>
  <si>
    <t>MC-CL-FOR-01</t>
  </si>
  <si>
    <t>Revisión :</t>
  </si>
  <si>
    <t>C1</t>
  </si>
  <si>
    <t>E-MK-0153/26</t>
  </si>
  <si>
    <t>MULTIMETRO DIGITAL</t>
  </si>
  <si>
    <t>35260913WS</t>
  </si>
  <si>
    <t>EVO-559</t>
  </si>
  <si>
    <t>RECICLADORA INDUSTRIAL DE ACUMULADORES, S.A. DE C.V.</t>
  </si>
  <si>
    <t xml:space="preserve">CARRETERA A GARCIA KM. 1.2 S/N, C.P. 66350 </t>
  </si>
  <si>
    <t>SANTA CATARINA</t>
  </si>
  <si>
    <t>NUEVO LEÓN</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</si>
  <si>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</si>
  <si>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</si>
  <si>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r>
      <rPr>
        <rFont val="Century Gothic"/>
        <b/>
        <color rgb="FF000000"/>
        <sz val="10.0"/>
      </rPr>
      <t>Datos del cliente</t>
    </r>
    <r>
      <rPr>
        <rFont val="Century Gothic"/>
        <color rgb="FF000000"/>
        <sz val="10.0"/>
      </rPr>
      <t xml:space="preserve">: </t>
    </r>
    <r>
      <rPr>
        <rFont val="Century Gothic"/>
        <color rgb="FF000000"/>
        <sz val="9.0"/>
      </rPr>
      <t xml:space="preserve">( </t>
    </r>
    <r>
      <rPr>
        <rFont val="Century Gothic"/>
        <i/>
        <color rgb="FF000000"/>
        <sz val="9.0"/>
      </rPr>
      <t>Customer )</t>
    </r>
  </si>
  <si>
    <r>
      <rPr>
        <rFont val="Century Gothic"/>
        <b/>
        <color rgb="FF000000"/>
        <sz val="10.0"/>
      </rPr>
      <t xml:space="preserve">Fecha de calibración: </t>
    </r>
    <r>
      <rPr>
        <rFont val="Century Gothic"/>
        <color rgb="FF000000"/>
        <sz val="10.0"/>
      </rPr>
      <t xml:space="preserve">
</t>
    </r>
    <r>
      <rPr>
        <rFont val="Century Gothic"/>
        <i/>
        <color rgb="FF000000"/>
        <sz val="8.0"/>
      </rPr>
      <t>(Calibration date)</t>
    </r>
  </si>
  <si>
    <r>
      <rPr>
        <rFont val="Century Gothic"/>
        <b/>
        <color rgb="FF000000"/>
        <sz val="10.0"/>
      </rPr>
      <t>Nombre:</t>
    </r>
    <r>
      <rPr>
        <rFont val="Century Gothic"/>
        <color rgb="FF000000"/>
        <sz val="10.0"/>
      </rPr>
      <t xml:space="preserve">
</t>
    </r>
    <r>
      <rPr>
        <rFont val="Century Gothic"/>
        <i/>
        <color rgb="FF000000"/>
        <sz val="8.0"/>
      </rPr>
      <t>(Name)</t>
    </r>
  </si>
  <si>
    <r>
      <rPr>
        <rFont val="Century Gothic"/>
        <b/>
        <color rgb="FF000000"/>
        <sz val="10.0"/>
      </rPr>
      <t xml:space="preserve">Fecha de emisión: </t>
    </r>
    <r>
      <rPr>
        <rFont val="Century Gothic"/>
        <color rgb="FF000000"/>
        <sz val="10.0"/>
      </rPr>
      <t xml:space="preserve">
</t>
    </r>
    <r>
      <rPr>
        <rFont val="Century Gothic"/>
        <i/>
        <color rgb="FF000000"/>
        <sz val="8.0"/>
      </rPr>
      <t>(Date issued)</t>
    </r>
  </si>
  <si>
    <r>
      <rPr>
        <rFont val="Century Gothic"/>
        <b/>
        <color rgb="FF000000"/>
        <sz val="10.0"/>
      </rPr>
      <t>Domicilio:</t>
    </r>
    <r>
      <rPr>
        <rFont val="Century Gothic"/>
        <b/>
        <color rgb="FF000000"/>
        <sz val="8.0"/>
      </rPr>
      <t xml:space="preserve"> </t>
    </r>
    <r>
      <rPr>
        <rFont val="Century Gothic"/>
        <color rgb="FF000000"/>
        <sz val="8.0"/>
      </rPr>
      <t xml:space="preserve">
</t>
    </r>
    <r>
      <rPr>
        <rFont val="Century Gothic"/>
        <i/>
        <color rgb="FF000000"/>
        <sz val="8.0"/>
      </rPr>
      <t>(Address)</t>
    </r>
  </si>
  <si>
    <r>
      <rPr>
        <rFont val="Century Gothic"/>
        <b/>
        <color rgb="FF000000"/>
        <sz val="10.0"/>
      </rPr>
      <t>Vigencia solicitada:</t>
    </r>
    <r>
      <rPr>
        <rFont val="Century Gothic"/>
        <color rgb="FF000000"/>
        <sz val="10.0"/>
      </rPr>
      <t xml:space="preserve">  </t>
    </r>
    <r>
      <rPr>
        <rFont val="Century Gothic"/>
        <i/>
        <color rgb="FF000000"/>
        <sz val="10.0"/>
      </rPr>
      <t>(Due date required)</t>
    </r>
  </si>
  <si>
    <r>
      <rPr>
        <rFont val="Century Gothic"/>
        <b/>
        <color rgb="FF000000"/>
        <sz val="10.0"/>
      </rPr>
      <t>Fecha de recepcion:</t>
    </r>
    <r>
      <rPr>
        <rFont val="Century Gothic"/>
        <color rgb="FF000000"/>
        <sz val="10.0"/>
      </rPr>
      <t xml:space="preserve">  </t>
    </r>
    <r>
      <rPr>
        <rFont val="Century Gothic"/>
        <i/>
        <color rgb="FF000000"/>
        <sz val="10.0"/>
      </rPr>
      <t>(Reception date)</t>
    </r>
  </si>
  <si>
    <t>Página (Page):</t>
  </si>
  <si>
    <t>1 de 6</t>
  </si>
  <si>
    <r>
      <rPr>
        <rFont val="Century Gothic"/>
        <b/>
        <color rgb="FF000000"/>
        <sz val="10.0"/>
      </rPr>
      <t>Descripción del Instrumento:</t>
    </r>
    <r>
      <rPr>
        <rFont val="Century Gothic"/>
        <b val="0"/>
        <i/>
        <color rgb="FF000000"/>
        <sz val="8.0"/>
      </rPr>
      <t xml:space="preserve"> (Instrument description)</t>
    </r>
  </si>
  <si>
    <t>Lugar de la calibración:</t>
  </si>
  <si>
    <t>METKAL</t>
  </si>
  <si>
    <t>Instrumento :</t>
  </si>
  <si>
    <t>(Instrument)</t>
  </si>
  <si>
    <t>Temperatura :</t>
  </si>
  <si>
    <t>Marca:</t>
  </si>
  <si>
    <t>(Temperature)</t>
  </si>
  <si>
    <t>(Manufacturer)</t>
  </si>
  <si>
    <t>Humedad Relativa :</t>
  </si>
  <si>
    <t>Modelo:</t>
  </si>
  <si>
    <t>(Relative Humidity)</t>
  </si>
  <si>
    <t>(Model)</t>
  </si>
  <si>
    <t>No. serie:</t>
  </si>
  <si>
    <t>(Serial number)</t>
  </si>
  <si>
    <t>ID Interno:</t>
  </si>
  <si>
    <t>(Customer ID)</t>
  </si>
  <si>
    <t>Intervalo :</t>
  </si>
  <si>
    <t>VER RESULTADOS</t>
  </si>
  <si>
    <t>(Range)</t>
  </si>
  <si>
    <t>Resolución:</t>
  </si>
  <si>
    <t>(Resolution)</t>
  </si>
  <si>
    <t xml:space="preserve">El  laboratorio  de  calibraciones  cuenta  con  un  sistema  de  Gestión de Procesos basado en: </t>
  </si>
  <si>
    <t>ISO/IEC 17025:2017</t>
  </si>
  <si>
    <t>Requisitos  generales  para  la competencia  de los  laboratorios  de  ensayo  y  de  calibración.</t>
  </si>
  <si>
    <t>Procedimiento    utilizado</t>
  </si>
  <si>
    <t>7.2E1, 7.2E4, 7.2E5</t>
  </si>
  <si>
    <t>Método:</t>
  </si>
  <si>
    <t>Comparación directa</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</si>
  <si>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</si>
  <si>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</si>
  <si>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</si>
  <si>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</si>
  <si>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</si>
  <si>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</si>
  <si>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</si>
  <si>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</si>
  <si>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</si>
  <si>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</si>
  <si>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</si>
  <si>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CALIBRADOR MULTIFUNCIONAL</t>
  </si>
  <si>
    <t>MF-CE-12019-11</t>
  </si>
  <si>
    <t>MK-016</t>
  </si>
  <si>
    <t>Calibró:</t>
  </si>
  <si>
    <t>Miguel A. Bernal Cordero</t>
  </si>
  <si>
    <t>Firma</t>
  </si>
  <si>
    <t>(Calibrated by:)</t>
  </si>
  <si>
    <t>Ingeniero de Servicio</t>
  </si>
  <si>
    <t>(Signature)</t>
  </si>
  <si>
    <t>Aprobó:</t>
  </si>
  <si>
    <t>Sergio Garza Rangel</t>
  </si>
  <si>
    <t>(Approved by:)</t>
  </si>
  <si>
    <t>Director Administrativo</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</si>
  <si>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</si>
  <si>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</si>
  <si>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</si>
  <si>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</si>
  <si>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</si>
  <si>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Magnitud:</t>
  </si>
  <si>
    <t>Unidad</t>
  </si>
  <si>
    <t>Intervalo de medida:</t>
  </si>
  <si>
    <t>a</t>
  </si>
  <si>
    <t>Division minima:</t>
  </si>
  <si>
    <t xml:space="preserve">Valor nominal </t>
  </si>
  <si>
    <t>Valor medido del instrumento</t>
  </si>
  <si>
    <t>Error de medida</t>
  </si>
  <si>
    <t>Incertidumbre</t>
  </si>
  <si>
    <r>
      <rPr>
        <rFont val="Century Gothic"/>
        <color rgb="FF000000"/>
        <sz val="10.0"/>
      </rPr>
      <t xml:space="preserve">   No. de certificado:
</t>
    </r>
    <r>
      <rPr>
        <rFont val="Century Gothic"/>
        <i/>
        <color rgb="FF000000"/>
        <sz val="8.0"/>
      </rPr>
      <t xml:space="preserve">   (Calibration number)</t>
    </r>
  </si>
  <si>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</si>
  <si>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</si>
  <si>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</si>
  <si>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r>
      <rPr>
        <rFont val="Century Gothic"/>
        <color rgb="FF000000"/>
        <sz val="10.0"/>
      </rPr>
      <t xml:space="preserve">   No. de certificado:
</t>
    </r>
    <r>
      <rPr>
        <rFont val="Century Gothic"/>
        <i/>
        <color rgb="FF000000"/>
        <sz val="8.0"/>
      </rPr>
      <t xml:space="preserve">   (Calibration number)</t>
    </r>
  </si>
  <si>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</si>
  <si>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</si>
  <si>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</si>
  <si>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r>
      <rPr>
        <rFont val="Century Gothic"/>
        <color rgb="FF000000"/>
        <sz val="10.0"/>
      </rPr>
      <t xml:space="preserve">   No. de certificado:
</t>
    </r>
    <r>
      <rPr>
        <rFont val="Century Gothic"/>
        <i/>
        <color rgb="FF000000"/>
        <sz val="8.0"/>
      </rPr>
      <t xml:space="preserve">   (Calibration number)</t>
    </r>
  </si>
  <si>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</si>
  <si>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</si>
  <si>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</si>
  <si>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r>
      <rPr>
        <rFont val="Century Gothic"/>
        <color rgb="FF000000"/>
        <sz val="10.0"/>
      </rPr>
      <t xml:space="preserve">   No. de certificado:
</t>
    </r>
    <r>
      <rPr>
        <rFont val="Century Gothic"/>
        <i/>
        <color rgb="FF000000"/>
        <sz val="8.0"/>
      </rPr>
      <t xml:space="preserve">   (Calibration number)</t>
    </r>
  </si>
  <si>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</si>
  <si>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</si>
  <si>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</si>
  <si>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r>
      <rPr>
        <rFont val="Century Gothic"/>
        <b/>
        <color rgb="FF000000"/>
        <sz val="10.0"/>
      </rPr>
      <t>Nota:</t>
    </r>
    <r>
      <rPr>
        <rFont val="Century Gothic"/>
        <color rgb="FF000000"/>
        <sz val="10.0"/>
      </rPr>
      <t xml:space="preserve"> El equipo cumple de acuerdo a las especificaciones del fabricante.</t>
    </r>
  </si>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</sst>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quot;-&quot;mm&quot;-&quot;dd"/>
    <numFmt numFmtId="165" formatCode="0.000"/>
    <numFmt numFmtId="166" formatCode="0.0"/>
    <numFmt numFmtId="167" formatCode="0.0000"/>
    <numFmt numFmtId="168" formatCode="0.00000"/>
    <numFmt numFmtId="169" formatCode="yyyy/mm"/>
    <numFmt numFmtId="170" formatCode="0.0&quot; °C&quot;"/>
    <numFmt numFmtId="171" formatCode="0.0%"/>
    <numFmt numFmtId="172" formatCode="0&quot; °C&quot;"/>
    <numFmt numFmtId="173" formatCode="0.000&quot; &quot;"/>
    <numFmt numFmtId="174" formatCode="&quot; &quot;0.0000"/>
  </numFmts>
  <fonts count="61">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b/>
      <sz val="8.0"/>
      <color rgb="FF000000"/>
      <name val="Arial"/>
    </font>
    <font>
      <sz val="12.0"/>
      <color rgb="FF000000"/>
      <name val="Tahoma"/>
    </font>
    <font>
      <sz val="8.0"/>
      <color rgb="FF000000"/>
      <name val="Tahoma"/>
    </font>
    <font>
      <sz val="12.0"/>
      <color rgb="FF000000"/>
      <name val="Arial"/>
    </font>
    <font>
      <sz val="10.0"/>
      <color rgb="FF7F7F7F"/>
      <name val="Arial"/>
    </font>
    <font>
      <sz val="11.0"/>
      <color rgb="FFFFFFFF"/>
      <name val="Century Gothic"/>
    </font>
    <font>
      <sz val="11.0"/>
      <color rgb="FF000000"/>
      <name val="Tahoma"/>
    </font>
    <font>
      <sz val="11.0"/>
      <color rgb="FF000000"/>
      <name val="Century Gothic"/>
    </font>
    <font>
      <b/>
      <sz val="18.0"/>
      <color rgb="FF002060"/>
      <name val="Century Gothic"/>
    </font>
    <font>
      <i/>
      <sz val="8.0"/>
      <color rgb="FF000000"/>
      <name val="Century Gothic"/>
    </font>
    <font>
      <sz val="12.0"/>
      <color rgb="FF000000"/>
      <name val="Century Gothic"/>
    </font>
    <font>
      <sz val="10.0"/>
      <color rgb="FF000000"/>
      <name val="Century Gothic"/>
    </font>
    <font>
      <b/>
      <sz val="19.0"/>
      <color rgb="FF000000"/>
      <name val="Century Gothic"/>
    </font>
    <font>
      <b/>
      <sz val="14.0"/>
      <color rgb="FF000000"/>
      <name val="Century Gothic"/>
    </font>
    <font>
      <b/>
      <sz val="12.0"/>
      <color rgb="FF000000"/>
      <name val="Century Gothic"/>
    </font>
    <font>
      <sz val="8.0"/>
      <color rgb="FFFF0000"/>
      <name val="Century Gothic"/>
    </font>
    <font>
      <b/>
      <sz val="12.0"/>
      <color rgb="FFFFFFFF"/>
      <name val="Arial"/>
    </font>
    <font>
      <b/>
      <sz val="10.0"/>
      <color rgb="FF000000"/>
      <name val="Century Gothic"/>
    </font>
    <font>
      <b/>
      <sz val="9.0"/>
      <color rgb="FF000000"/>
      <name val="Century Gothic"/>
    </font>
    <font>
      <sz val="9.0"/>
      <color rgb="FF000000"/>
      <name val="Century Gothic"/>
    </font>
    <font>
      <b/>
      <sz val="8.0"/>
      <color rgb="FF000000"/>
      <name val="Century Gothic"/>
    </font>
    <font>
      <sz val="8.0"/>
      <color rgb="FF000000"/>
      <name val="Century Gothic"/>
    </font>
    <font>
      <sz val="10.0"/>
      <color rgb="FFFFFFFF"/>
      <name val="Century Gothic"/>
    </font>
    <font>
      <sz val="7.0"/>
      <color rgb="FFFFFFFF"/>
      <name val="Century Gothic"/>
    </font>
    <font>
      <i/>
      <sz val="9.0"/>
      <color rgb="FF000000"/>
      <name val="Century Gothic"/>
    </font>
    <font>
      <sz val="9.0"/>
      <color rgb="FF000000"/>
      <name val="Tahoma"/>
    </font>
    <font>
      <b/>
      <sz val="10.0"/>
      <color rgb="FF000000"/>
      <name val="Arial"/>
    </font>
    <font>
      <b/>
      <sz val="16.0"/>
      <color rgb="FF000000"/>
      <name val="Tahoma"/>
    </font>
    <font>
      <b/>
      <sz val="15.0"/>
      <color rgb="FF000000"/>
      <name val="Century Gothic"/>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8.0"/>
      <color rgb="FF000000"/>
      <name val="Tahoma"/>
    </font>
    <font>
      <b/>
      <sz val="27.0"/>
      <color rgb="FF000000"/>
      <name val="Arial"/>
    </font>
    <font>
      <b/>
      <sz val="19.0"/>
      <color rgb="FF000000"/>
      <name val="Arial"/>
    </font>
    <font>
      <b/>
      <sz val="21.0"/>
      <color rgb="FF000000"/>
      <name val="Tahoma"/>
    </font>
    <font>
      <b/>
      <sz val="24.0"/>
      <color rgb="FF000000"/>
      <name val="Arial"/>
    </font>
    <font>
      <b/>
      <sz val="20.0"/>
      <color rgb="FF000000"/>
      <name val="Tahoma"/>
    </font>
    <font>
      <b/>
      <sz val="65.0"/>
      <color rgb="FFFFFFFF"/>
      <name val="Tahoma"/>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0000"/>
        <bgColor rgb="FF000000"/>
      </patternFill>
    </fill>
  </fills>
  <borders count="123">
    <border/>
    <border>
      <left style="thin">
        <color rgb="FFAAAAAA"/>
      </left>
      <right/>
      <top style="thin">
        <color rgb="FFAAAAAA"/>
      </top>
      <bottom style="thin">
        <color rgb="FFAAAAAA"/>
      </bottom>
    </border>
    <border>
      <left/>
      <right/>
      <top style="thin">
        <color rgb="FFAAAAAA"/>
      </top>
      <bottom style="thin">
        <color rgb="FFAAAAAA"/>
      </bottom>
    </border>
    <border>
      <left/>
      <right/>
      <top style="thin">
        <color rgb="FFFFFFFF"/>
      </top>
      <bottom style="thin">
        <color rgb="FFFFFFFF"/>
      </bottom>
    </border>
    <border>
      <left/>
      <right style="thin">
        <color rgb="FFAAAAAA"/>
      </right>
      <top style="thin">
        <color rgb="FFAAAAAA"/>
      </top>
      <bottom style="thin">
        <color rgb="FFAAAAAA"/>
      </bottom>
    </border>
    <border>
      <left style="thin">
        <color rgb="FFAAAAAA"/>
      </left>
      <right/>
      <top style="thin">
        <color rgb="FFAAAAAA"/>
      </top>
      <bottom/>
    </border>
    <border>
      <left/>
      <right/>
      <top style="thin">
        <color rgb="FFAAAAAA"/>
      </top>
      <bottom/>
    </border>
    <border>
      <left/>
      <right style="thin">
        <color rgb="FFFFFFFF"/>
      </right>
      <top style="thin">
        <color rgb="FFAAAAAA"/>
      </top>
      <bottom/>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FFFFFF"/>
      </right>
      <top/>
      <bottom/>
    </border>
    <border>
      <left style="thin">
        <color rgb="FFFFFFFF"/>
      </left>
      <top/>
      <bottom/>
    </border>
    <border>
      <top/>
      <bottom/>
    </border>
    <border>
      <right style="thin">
        <color rgb="FFFFFFFF"/>
      </right>
      <top/>
      <bottom/>
    </border>
    <border>
      <left style="thin">
        <color rgb="FFFFFFFF"/>
      </left>
      <right/>
      <top/>
      <bottom/>
    </border>
    <border>
      <left/>
      <right style="thin">
        <color rgb="FFAAAAAA"/>
      </right>
      <top/>
      <bottom/>
    </border>
    <border>
      <left style="thin">
        <color rgb="FFFFFFFF"/>
      </left>
      <right/>
      <top/>
    </border>
    <border>
      <left style="thin">
        <color rgb="FFFFFFFF"/>
      </left>
      <right/>
      <bottom/>
    </border>
    <border>
      <left/>
      <right/>
      <top/>
      <bottom style="medium">
        <color rgb="FF000000"/>
      </bottom>
    </border>
    <border>
      <left style="thin">
        <color rgb="FFAAAAAA"/>
      </left>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medium">
        <color rgb="FF000000"/>
      </right>
      <top/>
      <bottom/>
    </border>
    <border>
      <left style="thin">
        <color rgb="FF000000"/>
      </left>
      <right style="thin">
        <color rgb="FF000000"/>
      </right>
      <top style="thin">
        <color rgb="FF000000"/>
      </top>
      <bottom/>
    </border>
    <border>
      <left style="thin">
        <color rgb="FF000000"/>
      </left>
      <right/>
      <top/>
      <bottom/>
    </border>
    <border>
      <left style="medium">
        <color rgb="FF000000"/>
      </left>
      <right/>
      <top style="medium">
        <color rgb="FF000000"/>
      </top>
    </border>
    <border>
      <left style="medium">
        <color rgb="FF000000"/>
      </left>
      <right/>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AAAAAA"/>
      </left>
      <right style="thin">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style="thin">
        <color rgb="FF000000"/>
      </top>
      <bottom/>
    </border>
    <border>
      <left/>
      <right style="medium">
        <color rgb="FF000000"/>
      </right>
      <top/>
      <bottom style="medium">
        <color rgb="FF000000"/>
      </bottom>
    </border>
    <border>
      <left style="thin">
        <color rgb="FFAAAAAA"/>
      </left>
      <right/>
      <top/>
      <bottom style="thin">
        <color rgb="FFAAAAAA"/>
      </bottom>
    </border>
    <border>
      <left/>
      <right/>
      <top/>
      <bottom style="thin">
        <color rgb="FFAAAAAA"/>
      </bottom>
    </border>
    <border>
      <left/>
      <right style="thin">
        <color rgb="FFAAAAAA"/>
      </right>
      <top/>
      <bottom style="thin">
        <color rgb="FFAAAAAA"/>
      </bottom>
    </border>
    <border>
      <left/>
      <top/>
      <bottom/>
    </border>
    <border>
      <right/>
      <top/>
      <bottom/>
    </border>
    <border>
      <left/>
      <right/>
      <top/>
    </border>
    <border>
      <left/>
      <right/>
      <bottom/>
    </border>
    <border>
      <left/>
      <top/>
    </border>
    <border>
      <right/>
      <top/>
    </border>
    <border>
      <left/>
      <bottom/>
    </border>
    <border>
      <right/>
      <bottom/>
    </border>
    <border>
      <top/>
    </border>
    <border>
      <bottom/>
    </border>
    <border>
      <left style="medium">
        <color rgb="FF000000"/>
      </left>
      <right style="thin">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medium">
        <color rgb="FF000000"/>
      </right>
      <top style="thin">
        <color rgb="FF000000"/>
      </top>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left style="medium">
        <color rgb="FF000000"/>
      </left>
      <right/>
      <top style="thin">
        <color rgb="FF000000"/>
      </top>
      <bottom/>
    </border>
    <border>
      <left style="medium">
        <color rgb="FF000000"/>
      </left>
      <right/>
      <top/>
      <bottom style="medium">
        <color rgb="FF000000"/>
      </bottom>
    </border>
    <border>
      <left style="thin">
        <color rgb="FFAAAAAA"/>
      </left>
      <right style="thin">
        <color rgb="FFAAAAAA"/>
      </right>
      <top style="thin">
        <color rgb="FFAAAAAA"/>
      </top>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top style="thin">
        <color rgb="FFAAAAAA"/>
      </top>
      <bottom style="thin">
        <color rgb="FF000000"/>
      </bottom>
    </border>
    <border>
      <right style="thin">
        <color rgb="FF000000"/>
      </right>
      <top style="thin">
        <color rgb="FFAAAAAA"/>
      </top>
      <bottom style="thin">
        <color rgb="FF000000"/>
      </bottom>
    </border>
    <border>
      <left style="thin">
        <color rgb="FFAAAAAA"/>
      </left>
      <right/>
      <top style="thin">
        <color rgb="FF000000"/>
      </top>
      <bottom/>
    </border>
    <border>
      <left/>
      <top style="thin">
        <color rgb="FF000000"/>
      </top>
    </border>
    <border>
      <top style="thin">
        <color rgb="FF000000"/>
      </top>
    </border>
    <border>
      <right style="thin">
        <color rgb="FFAAAAAA"/>
      </right>
      <top style="thin">
        <color rgb="FF000000"/>
      </top>
    </border>
    <border>
      <right style="thin">
        <color rgb="FFAAAAAA"/>
      </right>
      <bottom/>
    </border>
    <border>
      <left/>
      <bottom style="thin">
        <color rgb="FFAAAAAA"/>
      </bottom>
    </border>
    <border>
      <bottom style="thin">
        <color rgb="FFAAAAAA"/>
      </bottom>
    </border>
    <border>
      <right style="thin">
        <color rgb="FFAAAAAA"/>
      </right>
      <bottom style="thin">
        <color rgb="FFAAAAAA"/>
      </bottom>
    </border>
    <border>
      <left style="thin">
        <color rgb="FFAAAAAA"/>
      </left>
      <right style="thin">
        <color rgb="FFAAAAAA"/>
      </right>
      <top/>
      <bottom/>
    </border>
    <border>
      <left style="thin">
        <color rgb="FFAAAAAA"/>
      </left>
      <right style="thin">
        <color rgb="FFAAAAAA"/>
      </right>
      <top/>
      <bottom style="thin">
        <color rgb="FFAAAAAA"/>
      </bottom>
    </border>
  </borders>
  <cellStyleXfs count="1">
    <xf borderId="0" fillId="0" fontId="0" numFmtId="0" applyAlignment="1" applyFont="1"/>
  </cellStyleXfs>
  <cellXfs count="446">
    <xf borderId="0" fillId="0" fontId="0" numFmtId="0" xfId="0" applyAlignment="1" applyFont="1">
      <alignment readingOrder="0" shrinkToFit="0" vertical="bottom" wrapText="0"/>
    </xf>
    <xf borderId="1" fillId="2" fontId="1" numFmtId="164" xfId="0" applyAlignment="1" applyBorder="1" applyFill="1" applyFont="1" applyNumberFormat="1">
      <alignment vertical="bottom"/>
    </xf>
    <xf borderId="2" fillId="2" fontId="2" numFmtId="0" xfId="0" applyAlignment="1" applyBorder="1" applyFont="1">
      <alignment vertical="bottom"/>
    </xf>
    <xf borderId="3" fillId="2" fontId="2" numFmtId="0" xfId="0" applyAlignment="1" applyBorder="1" applyFont="1">
      <alignment vertical="bottom"/>
    </xf>
    <xf borderId="4" fillId="2" fontId="2" numFmtId="0" xfId="0" applyAlignment="1" applyBorder="1" applyFont="1">
      <alignment vertical="bottom"/>
    </xf>
    <xf borderId="1" fillId="2" fontId="1" numFmtId="49" xfId="0" applyAlignment="1" applyBorder="1" applyFont="1" applyNumberFormat="1">
      <alignment vertical="bottom"/>
    </xf>
    <xf borderId="5" fillId="2" fontId="2" numFmtId="0" xfId="0" applyAlignment="1" applyBorder="1" applyFont="1">
      <alignment vertical="bottom"/>
    </xf>
    <xf borderId="6" fillId="2" fontId="2" numFmtId="0" xfId="0" applyAlignment="1" applyBorder="1" applyFont="1">
      <alignment vertical="bottom"/>
    </xf>
    <xf borderId="7" fillId="2" fontId="2" numFmtId="0" xfId="0" applyAlignment="1" applyBorder="1" applyFont="1">
      <alignment vertical="bottom"/>
    </xf>
    <xf borderId="8" fillId="2" fontId="3" numFmtId="0" xfId="0" applyAlignment="1" applyBorder="1" applyFont="1">
      <alignment horizontal="center" vertical="center"/>
    </xf>
    <xf borderId="9" fillId="0" fontId="4" numFmtId="0" xfId="0" applyBorder="1" applyFont="1"/>
    <xf borderId="10" fillId="0" fontId="4" numFmtId="0" xfId="0" applyBorder="1" applyFont="1"/>
    <xf borderId="11" fillId="2" fontId="5" numFmtId="49" xfId="0" applyAlignment="1" applyBorder="1" applyFont="1" applyNumberFormat="1">
      <alignment vertical="bottom"/>
    </xf>
    <xf borderId="6" fillId="2" fontId="5" numFmtId="49" xfId="0" applyAlignment="1" applyBorder="1" applyFont="1" applyNumberFormat="1">
      <alignment vertical="bottom"/>
    </xf>
    <xf borderId="12" fillId="2" fontId="5" numFmtId="0" xfId="0" applyAlignment="1" applyBorder="1" applyFont="1">
      <alignment vertical="bottom"/>
    </xf>
    <xf borderId="13" fillId="2" fontId="2" numFmtId="0" xfId="0" applyAlignment="1" applyBorder="1" applyFont="1">
      <alignment vertical="bottom"/>
    </xf>
    <xf borderId="14" fillId="2" fontId="2" numFmtId="0" xfId="0" applyAlignment="1" applyBorder="1" applyFont="1">
      <alignment vertical="bottom"/>
    </xf>
    <xf borderId="15" fillId="2" fontId="2" numFmtId="0" xfId="0" applyAlignment="1" applyBorder="1" applyFont="1">
      <alignment vertical="bottom"/>
    </xf>
    <xf borderId="16" fillId="2" fontId="6" numFmtId="0" xfId="0" applyAlignment="1" applyBorder="1" applyFont="1">
      <alignment horizontal="center" vertical="center"/>
    </xf>
    <xf borderId="17" fillId="0" fontId="4" numFmtId="0" xfId="0" applyBorder="1" applyFont="1"/>
    <xf borderId="18" fillId="0" fontId="4" numFmtId="0" xfId="0" applyBorder="1" applyFont="1"/>
    <xf borderId="19" fillId="2" fontId="5" numFmtId="49" xfId="0" applyAlignment="1" applyBorder="1" applyFont="1" applyNumberFormat="1">
      <alignment vertical="bottom"/>
    </xf>
    <xf borderId="14" fillId="2" fontId="5" numFmtId="49" xfId="0" applyAlignment="1" applyBorder="1" applyFont="1" applyNumberFormat="1">
      <alignment vertical="bottom"/>
    </xf>
    <xf borderId="20" fillId="2" fontId="5" numFmtId="49" xfId="0" applyAlignment="1" applyBorder="1" applyFont="1" applyNumberFormat="1">
      <alignment vertical="bottom"/>
    </xf>
    <xf borderId="21" fillId="2" fontId="7" numFmtId="0" xfId="0" applyAlignment="1" applyBorder="1" applyFont="1">
      <alignment horizontal="center" shrinkToFit="0" vertical="center" wrapText="1"/>
    </xf>
    <xf borderId="14" fillId="2" fontId="8" numFmtId="0" xfId="0" applyAlignment="1" applyBorder="1" applyFont="1">
      <alignment horizontal="center" vertical="center"/>
    </xf>
    <xf borderId="14" fillId="2" fontId="9" numFmtId="0" xfId="0" applyAlignment="1" applyBorder="1" applyFont="1">
      <alignment horizontal="center" shrinkToFit="0" vertical="center" wrapText="1"/>
    </xf>
    <xf borderId="14" fillId="2" fontId="5" numFmtId="0" xfId="0" applyAlignment="1" applyBorder="1" applyFont="1">
      <alignment vertical="center"/>
    </xf>
    <xf borderId="14" fillId="2" fontId="6" numFmtId="0" xfId="0" applyAlignment="1" applyBorder="1" applyFont="1">
      <alignment horizontal="center" vertical="center"/>
    </xf>
    <xf borderId="14" fillId="2" fontId="3" numFmtId="0" xfId="0" applyAlignment="1" applyBorder="1" applyFont="1">
      <alignment horizontal="center" vertical="center"/>
    </xf>
    <xf borderId="14" fillId="2" fontId="7" numFmtId="0" xfId="0" applyAlignment="1" applyBorder="1" applyFont="1">
      <alignment horizontal="center" vertical="center"/>
    </xf>
    <xf borderId="15" fillId="2" fontId="7" numFmtId="0" xfId="0" applyAlignment="1" applyBorder="1" applyFont="1">
      <alignment horizontal="center" vertical="center"/>
    </xf>
    <xf borderId="19" fillId="2" fontId="5" numFmtId="0" xfId="0" applyAlignment="1" applyBorder="1" applyFont="1">
      <alignment vertical="bottom"/>
    </xf>
    <xf borderId="14" fillId="2" fontId="5" numFmtId="0" xfId="0" applyAlignment="1" applyBorder="1" applyFont="1">
      <alignment vertical="bottom"/>
    </xf>
    <xf borderId="22" fillId="0" fontId="4" numFmtId="0" xfId="0" applyBorder="1" applyFont="1"/>
    <xf borderId="15" fillId="2" fontId="3" numFmtId="0" xfId="0" applyAlignment="1" applyBorder="1" applyFont="1">
      <alignment horizontal="center" vertical="center"/>
    </xf>
    <xf borderId="20" fillId="2" fontId="5" numFmtId="0" xfId="0" applyAlignment="1" applyBorder="1" applyFont="1">
      <alignment vertical="bottom"/>
    </xf>
    <xf borderId="19" fillId="2" fontId="3" numFmtId="0" xfId="0" applyAlignment="1" applyBorder="1" applyFont="1">
      <alignment horizontal="center" vertical="center"/>
    </xf>
    <xf borderId="14" fillId="2" fontId="6" numFmtId="165" xfId="0" applyAlignment="1" applyBorder="1" applyFont="1" applyNumberFormat="1">
      <alignment horizontal="center" vertical="center"/>
    </xf>
    <xf borderId="14" fillId="2" fontId="3" numFmtId="165" xfId="0" applyAlignment="1" applyBorder="1" applyFont="1" applyNumberFormat="1">
      <alignment horizontal="center" vertical="center"/>
    </xf>
    <xf borderId="14" fillId="2" fontId="5" numFmtId="165" xfId="0" applyAlignment="1" applyBorder="1" applyFont="1" applyNumberFormat="1">
      <alignment horizontal="center" vertical="center"/>
    </xf>
    <xf borderId="15" fillId="2" fontId="5" numFmtId="166" xfId="0" applyAlignment="1" applyBorder="1" applyFont="1" applyNumberFormat="1">
      <alignment horizontal="center" vertical="center"/>
    </xf>
    <xf borderId="23" fillId="2" fontId="2" numFmtId="0" xfId="0" applyAlignment="1" applyBorder="1" applyFont="1">
      <alignment vertical="bottom"/>
    </xf>
    <xf borderId="14" fillId="2" fontId="5" numFmtId="166" xfId="0" applyAlignment="1" applyBorder="1" applyFont="1" applyNumberFormat="1">
      <alignment horizontal="center" vertical="center"/>
    </xf>
    <xf borderId="24" fillId="2" fontId="2" numFmtId="0" xfId="0" applyAlignment="1" applyBorder="1" applyFont="1">
      <alignment vertical="bottom"/>
    </xf>
    <xf borderId="25" fillId="2" fontId="10" numFmtId="49" xfId="0" applyAlignment="1" applyBorder="1" applyFont="1" applyNumberFormat="1">
      <alignment horizontal="center" vertical="bottom"/>
    </xf>
    <xf borderId="26" fillId="0" fontId="4" numFmtId="0" xfId="0" applyBorder="1" applyFont="1"/>
    <xf borderId="27" fillId="0" fontId="4" numFmtId="0" xfId="0" applyBorder="1" applyFont="1"/>
    <xf borderId="28" fillId="2" fontId="2" numFmtId="0" xfId="0" applyAlignment="1" applyBorder="1" applyFont="1">
      <alignment vertical="bottom"/>
    </xf>
    <xf borderId="29" fillId="2" fontId="11" numFmtId="49" xfId="0" applyAlignment="1" applyBorder="1" applyFont="1" applyNumberFormat="1">
      <alignment horizontal="left" vertical="bottom"/>
    </xf>
    <xf borderId="29" fillId="3" fontId="2" numFmtId="0" xfId="0" applyAlignment="1" applyBorder="1" applyFill="1" applyFont="1">
      <alignment horizontal="center" vertical="bottom"/>
    </xf>
    <xf borderId="29" fillId="2" fontId="2" numFmtId="49" xfId="0" applyAlignment="1" applyBorder="1" applyFont="1" applyNumberFormat="1">
      <alignment horizontal="center" vertical="bottom"/>
    </xf>
    <xf borderId="30" fillId="2" fontId="2" numFmtId="0" xfId="0" applyAlignment="1" applyBorder="1" applyFont="1">
      <alignment vertical="bottom"/>
    </xf>
    <xf borderId="31" fillId="2" fontId="2" numFmtId="0" xfId="0" applyAlignment="1" applyBorder="1" applyFont="1">
      <alignment vertical="bottom"/>
    </xf>
    <xf borderId="32" fillId="2" fontId="2" numFmtId="0" xfId="0" applyAlignment="1" applyBorder="1" applyFont="1">
      <alignment vertical="bottom"/>
    </xf>
    <xf borderId="14" fillId="2" fontId="12" numFmtId="0" xfId="0" applyAlignment="1" applyBorder="1" applyFont="1">
      <alignment horizontal="center" vertical="center"/>
    </xf>
    <xf borderId="14" fillId="2" fontId="13" numFmtId="0" xfId="0" applyAlignment="1" applyBorder="1" applyFont="1">
      <alignment horizontal="center" vertical="center"/>
    </xf>
    <xf borderId="14" fillId="2" fontId="13" numFmtId="165" xfId="0" applyAlignment="1" applyBorder="1" applyFont="1" applyNumberFormat="1">
      <alignment horizontal="center" vertical="center"/>
    </xf>
    <xf borderId="14" fillId="2" fontId="12" numFmtId="165" xfId="0" applyAlignment="1" applyBorder="1" applyFont="1" applyNumberFormat="1">
      <alignment horizontal="center" vertical="center"/>
    </xf>
    <xf borderId="14" fillId="2" fontId="14" numFmtId="165" xfId="0" applyAlignment="1" applyBorder="1" applyFont="1" applyNumberFormat="1">
      <alignment horizontal="center" vertical="center"/>
    </xf>
    <xf borderId="14" fillId="2" fontId="14" numFmtId="166" xfId="0" applyAlignment="1" applyBorder="1" applyFont="1" applyNumberFormat="1">
      <alignment horizontal="center" vertical="center"/>
    </xf>
    <xf borderId="20" fillId="2" fontId="2" numFmtId="0" xfId="0" applyAlignment="1" applyBorder="1" applyFont="1">
      <alignment vertical="bottom"/>
    </xf>
    <xf borderId="29" fillId="2" fontId="11" numFmtId="49" xfId="0" applyAlignment="1" applyBorder="1" applyFont="1" applyNumberFormat="1">
      <alignment horizontal="left" vertical="center"/>
    </xf>
    <xf borderId="29" fillId="3" fontId="15" numFmtId="0" xfId="0" applyAlignment="1" applyBorder="1" applyFont="1">
      <alignment horizontal="center" vertical="center"/>
    </xf>
    <xf borderId="30" fillId="2" fontId="15" numFmtId="0" xfId="0" applyAlignment="1" applyBorder="1" applyFont="1">
      <alignment horizontal="center" vertical="center"/>
    </xf>
    <xf borderId="31" fillId="2" fontId="15" numFmtId="0" xfId="0" applyAlignment="1" applyBorder="1" applyFont="1">
      <alignment horizontal="center" vertical="center"/>
    </xf>
    <xf borderId="14" fillId="2" fontId="15" numFmtId="0" xfId="0" applyAlignment="1" applyBorder="1" applyFont="1">
      <alignment horizontal="center" vertical="center"/>
    </xf>
    <xf borderId="33" fillId="2" fontId="15" numFmtId="0" xfId="0" applyAlignment="1" applyBorder="1" applyFont="1">
      <alignment horizontal="center" vertical="center"/>
    </xf>
    <xf borderId="34" fillId="2" fontId="15" numFmtId="49" xfId="0" applyAlignment="1" applyBorder="1" applyFont="1" applyNumberFormat="1">
      <alignment horizontal="center" vertical="center"/>
    </xf>
    <xf borderId="35" fillId="2"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9" fillId="2" fontId="2" numFmtId="49" xfId="0" applyAlignment="1" applyBorder="1" applyFont="1" applyNumberFormat="1">
      <alignment horizontal="left" vertical="center"/>
    </xf>
    <xf borderId="29" fillId="3" fontId="15" numFmtId="49" xfId="0" applyAlignment="1" applyBorder="1" applyFont="1" applyNumberFormat="1">
      <alignment horizontal="center" vertical="center"/>
    </xf>
    <xf borderId="28" fillId="2" fontId="16" numFmtId="49" xfId="0" applyAlignment="1" applyBorder="1" applyFont="1" applyNumberFormat="1">
      <alignment horizontal="center" vertical="center"/>
    </xf>
    <xf borderId="14" fillId="2" fontId="15" numFmtId="165" xfId="0" applyAlignment="1" applyBorder="1" applyFont="1" applyNumberFormat="1">
      <alignment horizontal="center" vertical="center"/>
    </xf>
    <xf borderId="14" fillId="2" fontId="16" numFmtId="49" xfId="0" applyAlignment="1" applyBorder="1" applyFont="1" applyNumberFormat="1">
      <alignment horizontal="center" vertical="center"/>
    </xf>
    <xf borderId="38" fillId="2" fontId="15" numFmtId="49" xfId="0" applyAlignment="1" applyBorder="1" applyFont="1" applyNumberFormat="1">
      <alignment horizontal="center" vertical="center"/>
    </xf>
    <xf borderId="38" fillId="2" fontId="15" numFmtId="0" xfId="0" applyAlignment="1" applyBorder="1" applyFont="1">
      <alignment horizontal="center" vertical="center"/>
    </xf>
    <xf borderId="39" fillId="2" fontId="15" numFmtId="0" xfId="0" applyAlignment="1" applyBorder="1" applyFont="1">
      <alignment horizontal="center" vertical="center"/>
    </xf>
    <xf borderId="40" fillId="2" fontId="15" numFmtId="0" xfId="0" applyAlignment="1" applyBorder="1" applyFont="1">
      <alignment horizontal="center" vertical="center"/>
    </xf>
    <xf borderId="14" fillId="2" fontId="15" numFmtId="167" xfId="0" applyAlignment="1" applyBorder="1" applyFont="1" applyNumberFormat="1">
      <alignment horizontal="center" vertical="center"/>
    </xf>
    <xf borderId="34" fillId="2" fontId="15" numFmtId="0" xfId="0" applyAlignment="1" applyBorder="1" applyFont="1">
      <alignment horizontal="center" vertical="center"/>
    </xf>
    <xf borderId="41" fillId="0" fontId="4" numFmtId="0" xfId="0" applyBorder="1" applyFont="1"/>
    <xf borderId="42" fillId="2" fontId="15" numFmtId="0" xfId="0" applyAlignment="1" applyBorder="1" applyFont="1">
      <alignment horizontal="center" vertical="center"/>
    </xf>
    <xf borderId="43" fillId="2" fontId="15" numFmtId="49" xfId="0" applyAlignment="1" applyBorder="1" applyFont="1" applyNumberFormat="1">
      <alignment horizontal="center" vertical="center"/>
    </xf>
    <xf borderId="44" fillId="2" fontId="15" numFmtId="0" xfId="0" applyAlignment="1" applyBorder="1" applyFont="1">
      <alignment horizontal="center" vertical="center"/>
    </xf>
    <xf borderId="45" fillId="2" fontId="15" numFmtId="49" xfId="0" applyAlignment="1" applyBorder="1" applyFont="1" applyNumberFormat="1">
      <alignment horizontal="center" vertical="center"/>
    </xf>
    <xf borderId="45" fillId="2" fontId="15" numFmtId="0" xfId="0" applyAlignment="1" applyBorder="1" applyFont="1">
      <alignment horizontal="center" vertical="center"/>
    </xf>
    <xf borderId="46" fillId="2" fontId="15" numFmtId="49" xfId="0" applyAlignment="1" applyBorder="1" applyFont="1" applyNumberFormat="1">
      <alignment horizontal="center" vertical="center"/>
    </xf>
    <xf borderId="47" fillId="2" fontId="15" numFmtId="49" xfId="0" applyAlignment="1" applyBorder="1" applyFont="1" applyNumberFormat="1">
      <alignment horizontal="center" vertical="center"/>
    </xf>
    <xf borderId="38" fillId="2" fontId="2" numFmtId="0" xfId="0" applyAlignment="1" applyBorder="1" applyFont="1">
      <alignment horizontal="center" vertical="center"/>
    </xf>
    <xf borderId="48" fillId="2" fontId="15" numFmtId="49" xfId="0" applyAlignment="1" applyBorder="1" applyFont="1" applyNumberFormat="1">
      <alignment horizontal="center" vertical="center"/>
    </xf>
    <xf borderId="49" fillId="2" fontId="15" numFmtId="49" xfId="0" applyAlignment="1" applyBorder="1" applyFont="1" applyNumberFormat="1">
      <alignment horizontal="center" vertical="center"/>
    </xf>
    <xf borderId="45" fillId="2" fontId="2" numFmtId="49" xfId="0" applyAlignment="1" applyBorder="1" applyFont="1" applyNumberFormat="1">
      <alignment horizontal="center" vertical="center"/>
    </xf>
    <xf borderId="50" fillId="2" fontId="15" numFmtId="49" xfId="0" applyAlignment="1" applyBorder="1" applyFont="1" applyNumberFormat="1">
      <alignment horizontal="center" vertical="center"/>
    </xf>
    <xf borderId="14" fillId="2" fontId="2" numFmtId="49" xfId="0" applyAlignment="1" applyBorder="1" applyFont="1" applyNumberFormat="1">
      <alignment horizontal="center" vertical="bottom"/>
    </xf>
    <xf borderId="14" fillId="2" fontId="2" numFmtId="49" xfId="0" applyAlignment="1" applyBorder="1" applyFont="1" applyNumberFormat="1">
      <alignment horizontal="left" vertical="bottom"/>
    </xf>
    <xf borderId="51" fillId="2" fontId="2" numFmtId="0" xfId="0" applyAlignment="1" applyBorder="1" applyFont="1">
      <alignment vertical="bottom"/>
    </xf>
    <xf borderId="38" fillId="2" fontId="2" numFmtId="2" xfId="0" applyAlignment="1" applyBorder="1" applyFont="1" applyNumberFormat="1">
      <alignment horizontal="center" vertical="center"/>
    </xf>
    <xf borderId="52" fillId="3" fontId="2" numFmtId="166" xfId="0" applyAlignment="1" applyBorder="1" applyFont="1" applyNumberFormat="1">
      <alignment horizontal="center" vertical="center"/>
    </xf>
    <xf borderId="53" fillId="3" fontId="2" numFmtId="166" xfId="0" applyAlignment="1" applyBorder="1" applyFont="1" applyNumberFormat="1">
      <alignment horizontal="center" vertical="center"/>
    </xf>
    <xf borderId="54" fillId="3" fontId="2" numFmtId="166" xfId="0" applyAlignment="1" applyBorder="1" applyFont="1" applyNumberFormat="1">
      <alignment horizontal="center" vertical="center"/>
    </xf>
    <xf borderId="38" fillId="2" fontId="2" numFmtId="167" xfId="0" applyAlignment="1" applyBorder="1" applyFont="1" applyNumberFormat="1">
      <alignment horizontal="center" vertical="center"/>
    </xf>
    <xf borderId="55" fillId="2" fontId="2" numFmtId="167" xfId="0" applyAlignment="1" applyBorder="1" applyFont="1" applyNumberFormat="1">
      <alignment horizontal="center" vertical="center"/>
    </xf>
    <xf borderId="38" fillId="2" fontId="2" numFmtId="168" xfId="0" applyAlignment="1" applyBorder="1" applyFont="1" applyNumberFormat="1">
      <alignment horizontal="center" vertical="center"/>
    </xf>
    <xf borderId="46" fillId="2" fontId="2" numFmtId="168" xfId="0" applyAlignment="1" applyBorder="1" applyFont="1" applyNumberFormat="1">
      <alignment horizontal="center" vertical="center"/>
    </xf>
    <xf borderId="14" fillId="2" fontId="2" numFmtId="165" xfId="0" applyAlignment="1" applyBorder="1" applyFont="1" applyNumberFormat="1">
      <alignment horizontal="center" vertical="bottom"/>
    </xf>
    <xf borderId="34" fillId="2" fontId="2" numFmtId="2" xfId="0" applyAlignment="1" applyBorder="1" applyFont="1" applyNumberFormat="1">
      <alignment horizontal="center" vertical="center"/>
    </xf>
    <xf borderId="39" fillId="3" fontId="2" numFmtId="166" xfId="0" applyAlignment="1" applyBorder="1" applyFont="1" applyNumberFormat="1">
      <alignment horizontal="center" vertical="center"/>
    </xf>
    <xf borderId="14" fillId="3" fontId="2" numFmtId="166" xfId="0" applyAlignment="1" applyBorder="1" applyFont="1" applyNumberFormat="1">
      <alignment horizontal="center" vertical="center"/>
    </xf>
    <xf borderId="33" fillId="3" fontId="2" numFmtId="166" xfId="0" applyAlignment="1" applyBorder="1" applyFont="1" applyNumberFormat="1">
      <alignment horizontal="center" vertical="center"/>
    </xf>
    <xf borderId="34" fillId="2" fontId="2" numFmtId="167" xfId="0" applyAlignment="1" applyBorder="1" applyFont="1" applyNumberFormat="1">
      <alignment horizontal="center" vertical="center"/>
    </xf>
    <xf borderId="34" fillId="2" fontId="2" numFmtId="168" xfId="0" applyAlignment="1" applyBorder="1" applyFont="1" applyNumberFormat="1">
      <alignment horizontal="center" vertical="center"/>
    </xf>
    <xf borderId="34" fillId="2" fontId="2" numFmtId="0" xfId="0" applyAlignment="1" applyBorder="1" applyFont="1">
      <alignment horizontal="center" vertical="center"/>
    </xf>
    <xf borderId="48" fillId="2" fontId="2" numFmtId="168" xfId="0" applyAlignment="1" applyBorder="1" applyFont="1" applyNumberFormat="1">
      <alignment horizontal="center" vertical="center"/>
    </xf>
    <xf borderId="45" fillId="2" fontId="2" numFmtId="2" xfId="0" applyAlignment="1" applyBorder="1" applyFont="1" applyNumberFormat="1">
      <alignment horizontal="center" vertical="center"/>
    </xf>
    <xf borderId="35" fillId="3" fontId="2" numFmtId="166" xfId="0" applyAlignment="1" applyBorder="1" applyFont="1" applyNumberFormat="1">
      <alignment horizontal="center" vertical="center"/>
    </xf>
    <xf borderId="36" fillId="3" fontId="2" numFmtId="166" xfId="0" applyAlignment="1" applyBorder="1" applyFont="1" applyNumberFormat="1">
      <alignment horizontal="center" vertical="center"/>
    </xf>
    <xf borderId="44" fillId="3" fontId="2" numFmtId="166" xfId="0" applyAlignment="1" applyBorder="1" applyFont="1" applyNumberFormat="1">
      <alignment horizontal="center" vertical="center"/>
    </xf>
    <xf borderId="45" fillId="2" fontId="2" numFmtId="167" xfId="0" applyAlignment="1" applyBorder="1" applyFont="1" applyNumberFormat="1">
      <alignment horizontal="center" vertical="center"/>
    </xf>
    <xf borderId="45" fillId="2" fontId="2" numFmtId="168" xfId="0" applyAlignment="1" applyBorder="1" applyFont="1" applyNumberFormat="1">
      <alignment horizontal="center" vertical="center"/>
    </xf>
    <xf borderId="45" fillId="2" fontId="2" numFmtId="0" xfId="0" applyAlignment="1" applyBorder="1" applyFont="1">
      <alignment horizontal="center" vertical="center"/>
    </xf>
    <xf borderId="50" fillId="2" fontId="2" numFmtId="168" xfId="0" applyAlignment="1" applyBorder="1" applyFont="1" applyNumberFormat="1">
      <alignment horizontal="center" vertical="center"/>
    </xf>
    <xf borderId="56" fillId="2" fontId="2" numFmtId="2" xfId="0" applyAlignment="1" applyBorder="1" applyFont="1" applyNumberFormat="1">
      <alignment horizontal="center" vertical="center"/>
    </xf>
    <xf borderId="56" fillId="2" fontId="2" numFmtId="167" xfId="0" applyAlignment="1" applyBorder="1" applyFont="1" applyNumberFormat="1">
      <alignment horizontal="center" vertical="center"/>
    </xf>
    <xf borderId="23" fillId="2" fontId="2" numFmtId="167" xfId="0" applyAlignment="1" applyBorder="1" applyFont="1" applyNumberFormat="1">
      <alignment horizontal="center" vertical="center"/>
    </xf>
    <xf borderId="56" fillId="2" fontId="2" numFmtId="168" xfId="0" applyAlignment="1" applyBorder="1" applyFont="1" applyNumberFormat="1">
      <alignment horizontal="center" vertical="center"/>
    </xf>
    <xf borderId="56" fillId="2" fontId="2" numFmtId="0" xfId="0" applyAlignment="1" applyBorder="1" applyFont="1">
      <alignment horizontal="center" vertical="center"/>
    </xf>
    <xf borderId="57" fillId="2" fontId="2" numFmtId="168" xfId="0" applyAlignment="1" applyBorder="1" applyFont="1" applyNumberFormat="1">
      <alignment horizontal="center" vertical="center"/>
    </xf>
    <xf borderId="52" fillId="3" fontId="2" numFmtId="165" xfId="0" applyAlignment="1" applyBorder="1" applyFont="1" applyNumberFormat="1">
      <alignment horizontal="center" vertical="center"/>
    </xf>
    <xf borderId="53" fillId="3" fontId="2" numFmtId="165" xfId="0" applyAlignment="1" applyBorder="1" applyFont="1" applyNumberFormat="1">
      <alignment horizontal="center" vertical="center"/>
    </xf>
    <xf borderId="54" fillId="3" fontId="2" numFmtId="165" xfId="0" applyAlignment="1" applyBorder="1" applyFont="1" applyNumberFormat="1">
      <alignment horizontal="center" vertical="center"/>
    </xf>
    <xf borderId="39" fillId="3" fontId="2" numFmtId="165" xfId="0" applyAlignment="1" applyBorder="1" applyFont="1" applyNumberFormat="1">
      <alignment horizontal="center" vertical="center"/>
    </xf>
    <xf borderId="14" fillId="3" fontId="2" numFmtId="165" xfId="0" applyAlignment="1" applyBorder="1" applyFont="1" applyNumberFormat="1">
      <alignment horizontal="center" vertical="center"/>
    </xf>
    <xf borderId="33" fillId="3" fontId="2" numFmtId="165" xfId="0" applyAlignment="1" applyBorder="1" applyFont="1" applyNumberFormat="1">
      <alignment horizontal="center" vertical="center"/>
    </xf>
    <xf borderId="35" fillId="3" fontId="2" numFmtId="165" xfId="0" applyAlignment="1" applyBorder="1" applyFont="1" applyNumberFormat="1">
      <alignment horizontal="center" vertical="center"/>
    </xf>
    <xf borderId="36" fillId="3" fontId="2" numFmtId="165" xfId="0" applyAlignment="1" applyBorder="1" applyFont="1" applyNumberFormat="1">
      <alignment horizontal="center" vertical="center"/>
    </xf>
    <xf borderId="44" fillId="3" fontId="2" numFmtId="165" xfId="0" applyAlignment="1" applyBorder="1" applyFont="1" applyNumberFormat="1">
      <alignment horizontal="center" vertical="center"/>
    </xf>
    <xf borderId="52" fillId="3" fontId="2" numFmtId="2" xfId="0" applyAlignment="1" applyBorder="1" applyFont="1" applyNumberFormat="1">
      <alignment horizontal="center" vertical="center"/>
    </xf>
    <xf borderId="53" fillId="3" fontId="2" numFmtId="2" xfId="0" applyAlignment="1" applyBorder="1" applyFont="1" applyNumberFormat="1">
      <alignment horizontal="center" vertical="center"/>
    </xf>
    <xf borderId="54" fillId="3" fontId="2" numFmtId="2" xfId="0" applyAlignment="1" applyBorder="1" applyFont="1" applyNumberFormat="1">
      <alignment horizontal="center" vertical="center"/>
    </xf>
    <xf borderId="39" fillId="3" fontId="2" numFmtId="2" xfId="0" applyAlignment="1" applyBorder="1" applyFont="1" applyNumberFormat="1">
      <alignment horizontal="center" vertical="center"/>
    </xf>
    <xf borderId="14" fillId="3" fontId="2" numFmtId="2" xfId="0" applyAlignment="1" applyBorder="1" applyFont="1" applyNumberFormat="1">
      <alignment horizontal="center" vertical="center"/>
    </xf>
    <xf borderId="33" fillId="3" fontId="2" numFmtId="2" xfId="0" applyAlignment="1" applyBorder="1" applyFont="1" applyNumberFormat="1">
      <alignment horizontal="center" vertical="center"/>
    </xf>
    <xf borderId="35" fillId="3" fontId="2" numFmtId="2" xfId="0" applyAlignment="1" applyBorder="1" applyFont="1" applyNumberFormat="1">
      <alignment horizontal="center" vertical="center"/>
    </xf>
    <xf borderId="36" fillId="3" fontId="2" numFmtId="2" xfId="0" applyAlignment="1" applyBorder="1" applyFont="1" applyNumberFormat="1">
      <alignment horizontal="center" vertical="center"/>
    </xf>
    <xf borderId="44" fillId="3" fontId="2" numFmtId="2" xfId="0" applyAlignment="1" applyBorder="1" applyFont="1" applyNumberFormat="1">
      <alignment horizontal="center" vertical="center"/>
    </xf>
    <xf borderId="56" fillId="2" fontId="2" numFmtId="1" xfId="0" applyAlignment="1" applyBorder="1" applyFont="1" applyNumberFormat="1">
      <alignment horizontal="center" vertical="center"/>
    </xf>
    <xf borderId="53" fillId="2" fontId="2" numFmtId="2" xfId="0" applyAlignment="1" applyBorder="1" applyFont="1" applyNumberFormat="1">
      <alignment horizontal="center" vertical="center"/>
    </xf>
    <xf borderId="53" fillId="2" fontId="2" numFmtId="167" xfId="0" applyAlignment="1" applyBorder="1" applyFont="1" applyNumberFormat="1">
      <alignment horizontal="center" vertical="center"/>
    </xf>
    <xf borderId="14" fillId="2" fontId="2" numFmtId="167" xfId="0" applyAlignment="1" applyBorder="1" applyFont="1" applyNumberFormat="1">
      <alignment horizontal="center" vertical="center"/>
    </xf>
    <xf borderId="53" fillId="2" fontId="2" numFmtId="168" xfId="0" applyAlignment="1" applyBorder="1" applyFont="1" applyNumberFormat="1">
      <alignment horizontal="center" vertical="center"/>
    </xf>
    <xf borderId="53" fillId="2" fontId="2" numFmtId="0" xfId="0" applyAlignment="1" applyBorder="1" applyFont="1">
      <alignment horizontal="center" vertical="center"/>
    </xf>
    <xf borderId="58" fillId="2" fontId="2" numFmtId="168" xfId="0" applyAlignment="1" applyBorder="1" applyFont="1" applyNumberFormat="1">
      <alignment horizontal="center" vertical="center"/>
    </xf>
    <xf borderId="23" fillId="2" fontId="2" numFmtId="2" xfId="0" applyAlignment="1" applyBorder="1" applyFont="1" applyNumberFormat="1">
      <alignment horizontal="center" vertical="center"/>
    </xf>
    <xf borderId="23" fillId="2" fontId="2" numFmtId="168" xfId="0" applyAlignment="1" applyBorder="1" applyFont="1" applyNumberFormat="1">
      <alignment horizontal="center" vertical="center"/>
    </xf>
    <xf borderId="23" fillId="2" fontId="2" numFmtId="0" xfId="0" applyAlignment="1" applyBorder="1" applyFont="1">
      <alignment horizontal="center" vertical="center"/>
    </xf>
    <xf borderId="59" fillId="2" fontId="2" numFmtId="168" xfId="0" applyAlignment="1" applyBorder="1" applyFont="1" applyNumberFormat="1">
      <alignment horizontal="center" vertical="center"/>
    </xf>
    <xf borderId="38" fillId="2" fontId="2" numFmtId="165" xfId="0" applyAlignment="1" applyBorder="1" applyFont="1" applyNumberFormat="1">
      <alignment horizontal="center" vertical="center"/>
    </xf>
    <xf borderId="34" fillId="2" fontId="2" numFmtId="165" xfId="0" applyAlignment="1" applyBorder="1" applyFont="1" applyNumberFormat="1">
      <alignment horizontal="center" vertical="center"/>
    </xf>
    <xf borderId="45" fillId="2" fontId="2" numFmtId="165" xfId="0" applyAlignment="1" applyBorder="1" applyFont="1" applyNumberFormat="1">
      <alignment horizontal="center" vertical="center"/>
    </xf>
    <xf borderId="14" fillId="2" fontId="2" numFmtId="2" xfId="0" applyAlignment="1" applyBorder="1" applyFont="1" applyNumberFormat="1">
      <alignment horizontal="center" vertical="center"/>
    </xf>
    <xf borderId="14" fillId="2" fontId="2" numFmtId="168" xfId="0" applyAlignment="1" applyBorder="1" applyFont="1" applyNumberFormat="1">
      <alignment horizontal="center" vertical="center"/>
    </xf>
    <xf borderId="14" fillId="2" fontId="2" numFmtId="0" xfId="0" applyAlignment="1" applyBorder="1" applyFont="1">
      <alignment horizontal="center" vertical="center"/>
    </xf>
    <xf borderId="37" fillId="2" fontId="2" numFmtId="168" xfId="0" applyAlignment="1" applyBorder="1" applyFont="1" applyNumberFormat="1">
      <alignment horizontal="center" vertical="center"/>
    </xf>
    <xf borderId="14" fillId="2" fontId="2" numFmtId="166" xfId="0" applyAlignment="1" applyBorder="1" applyFont="1" applyNumberFormat="1">
      <alignment horizontal="center" vertical="center"/>
    </xf>
    <xf borderId="13" fillId="2" fontId="17" numFmtId="0" xfId="0" applyAlignment="1" applyBorder="1" applyFont="1">
      <alignment vertical="bottom"/>
    </xf>
    <xf borderId="14" fillId="2" fontId="2" numFmtId="49" xfId="0" applyAlignment="1" applyBorder="1" applyFont="1" applyNumberFormat="1">
      <alignment vertical="bottom"/>
    </xf>
    <xf borderId="14" fillId="2" fontId="18" numFmtId="0" xfId="0" applyAlignment="1" applyBorder="1" applyFont="1">
      <alignment vertical="bottom"/>
    </xf>
    <xf borderId="14" fillId="2" fontId="17" numFmtId="0" xfId="0" applyAlignment="1" applyBorder="1" applyFont="1">
      <alignment vertical="bottom"/>
    </xf>
    <xf borderId="14" fillId="2" fontId="19" numFmtId="0" xfId="0" applyAlignment="1" applyBorder="1" applyFont="1">
      <alignment horizontal="left" vertical="bottom"/>
    </xf>
    <xf borderId="13" fillId="2" fontId="20" numFmtId="0" xfId="0" applyAlignment="1" applyBorder="1" applyFont="1">
      <alignment horizontal="center" vertical="center"/>
    </xf>
    <xf borderId="13" fillId="2" fontId="20" numFmtId="164" xfId="0" applyAlignment="1" applyBorder="1" applyFont="1" applyNumberFormat="1">
      <alignment horizontal="center" vertical="center"/>
    </xf>
    <xf borderId="60" fillId="2" fontId="20" numFmtId="0" xfId="0" applyAlignment="1" applyBorder="1" applyFont="1">
      <alignment horizontal="center" vertical="center"/>
    </xf>
    <xf borderId="61" fillId="2" fontId="2" numFmtId="0" xfId="0" applyAlignment="1" applyBorder="1" applyFont="1">
      <alignment vertical="bottom"/>
    </xf>
    <xf borderId="62" fillId="2" fontId="2" numFmtId="0" xfId="0" applyAlignment="1" applyBorder="1" applyFont="1">
      <alignment vertical="bottom"/>
    </xf>
    <xf borderId="0" fillId="0" fontId="2" numFmtId="0" xfId="0" applyAlignment="1" applyFont="1">
      <alignment vertical="bottom"/>
    </xf>
    <xf borderId="5" fillId="2" fontId="21" numFmtId="49" xfId="0" applyAlignment="1" applyBorder="1" applyFont="1" applyNumberFormat="1">
      <alignment vertical="bottom"/>
    </xf>
    <xf borderId="6" fillId="2" fontId="5" numFmtId="0" xfId="0" applyAlignment="1" applyBorder="1" applyFont="1">
      <alignment vertical="bottom"/>
    </xf>
    <xf borderId="6" fillId="2" fontId="21" numFmtId="49" xfId="0" applyAlignment="1" applyBorder="1" applyFont="1" applyNumberFormat="1">
      <alignment vertical="bottom"/>
    </xf>
    <xf borderId="6" fillId="2" fontId="21" numFmtId="164" xfId="0" applyAlignment="1" applyBorder="1" applyFont="1" applyNumberFormat="1">
      <alignment vertical="bottom"/>
    </xf>
    <xf borderId="12" fillId="2" fontId="2" numFmtId="0" xfId="0" applyAlignment="1" applyBorder="1" applyFont="1">
      <alignment vertical="bottom"/>
    </xf>
    <xf borderId="13" fillId="2" fontId="22" numFmtId="0" xfId="0" applyAlignment="1" applyBorder="1" applyFont="1">
      <alignment vertical="bottom"/>
    </xf>
    <xf borderId="14" fillId="2" fontId="23" numFmtId="0" xfId="0" applyAlignment="1" applyBorder="1" applyFont="1">
      <alignment vertical="bottom"/>
    </xf>
    <xf borderId="14" fillId="2" fontId="24" numFmtId="0" xfId="0" applyAlignment="1" applyBorder="1" applyFont="1">
      <alignment shrinkToFit="0" vertical="center" wrapText="1"/>
    </xf>
    <xf borderId="14" fillId="2" fontId="25" numFmtId="0" xfId="0" applyAlignment="1" applyBorder="1" applyFont="1">
      <alignment vertical="top"/>
    </xf>
    <xf borderId="14" fillId="2" fontId="26" numFmtId="0" xfId="0" applyAlignment="1" applyBorder="1" applyFont="1">
      <alignment shrinkToFit="0" vertical="center" wrapText="1"/>
    </xf>
    <xf borderId="14" fillId="2" fontId="27" numFmtId="0" xfId="0" applyAlignment="1" applyBorder="1" applyFont="1">
      <alignment vertical="bottom"/>
    </xf>
    <xf borderId="63" fillId="2" fontId="28" numFmtId="49" xfId="0" applyAlignment="1" applyBorder="1" applyFont="1" applyNumberFormat="1">
      <alignment horizontal="center" shrinkToFit="0" vertical="top" wrapText="1"/>
    </xf>
    <xf borderId="64" fillId="0" fontId="4" numFmtId="0" xfId="0" applyBorder="1" applyFont="1"/>
    <xf borderId="14" fillId="2" fontId="27" numFmtId="49" xfId="0" applyAlignment="1" applyBorder="1" applyFont="1" applyNumberFormat="1">
      <alignment horizontal="center" shrinkToFit="0" vertical="center" wrapText="1"/>
    </xf>
    <xf borderId="14" fillId="2" fontId="27" numFmtId="0" xfId="0" applyAlignment="1" applyBorder="1" applyFont="1">
      <alignment horizontal="center" shrinkToFit="0" vertical="center" wrapText="1"/>
    </xf>
    <xf borderId="63" fillId="2" fontId="29" numFmtId="49" xfId="0" applyAlignment="1" applyBorder="1" applyFont="1" applyNumberFormat="1">
      <alignment horizontal="center" shrinkToFit="0" vertical="center" wrapText="1"/>
    </xf>
    <xf borderId="14" fillId="2" fontId="30" numFmtId="0" xfId="0" applyAlignment="1" applyBorder="1" applyFont="1">
      <alignment shrinkToFit="0" vertical="center" wrapText="1"/>
    </xf>
    <xf borderId="14" fillId="2" fontId="23" numFmtId="0" xfId="0" applyAlignment="1" applyBorder="1" applyFont="1">
      <alignment horizontal="center" vertical="bottom"/>
    </xf>
    <xf borderId="14" fillId="2" fontId="24" numFmtId="0" xfId="0" applyAlignment="1" applyBorder="1" applyFont="1">
      <alignment horizontal="center" shrinkToFit="0" vertical="center" wrapText="1"/>
    </xf>
    <xf borderId="65" fillId="2" fontId="31" numFmtId="0" xfId="0" applyAlignment="1" applyBorder="1" applyFont="1">
      <alignment horizontal="left" vertical="center"/>
    </xf>
    <xf borderId="14" fillId="2" fontId="27" numFmtId="49" xfId="0" applyAlignment="1" applyBorder="1" applyFont="1" applyNumberFormat="1">
      <alignment vertical="center"/>
    </xf>
    <xf borderId="14" fillId="2" fontId="27" numFmtId="49" xfId="0" applyAlignment="1" applyBorder="1" applyFont="1" applyNumberFormat="1">
      <alignment shrinkToFit="0" vertical="center" wrapText="1"/>
    </xf>
    <xf borderId="14" fillId="2" fontId="27" numFmtId="14" xfId="0" applyAlignment="1" applyBorder="1" applyFont="1" applyNumberFormat="1">
      <alignment horizontal="center" vertical="center"/>
    </xf>
    <xf borderId="14" fillId="2" fontId="6" numFmtId="0" xfId="0" applyAlignment="1" applyBorder="1" applyFont="1">
      <alignment horizontal="right" vertical="center"/>
    </xf>
    <xf borderId="14" fillId="2" fontId="5" numFmtId="0" xfId="0" applyAlignment="1" applyBorder="1" applyFont="1">
      <alignment horizontal="center" vertical="center"/>
    </xf>
    <xf borderId="14" fillId="2" fontId="32" numFmtId="0" xfId="0" applyAlignment="1" applyBorder="1" applyFont="1">
      <alignment horizontal="center" vertical="center"/>
    </xf>
    <xf borderId="13" fillId="2" fontId="11" numFmtId="0" xfId="0" applyAlignment="1" applyBorder="1" applyFont="1">
      <alignment vertical="bottom"/>
    </xf>
    <xf borderId="66" fillId="0" fontId="4" numFmtId="0" xfId="0" applyBorder="1" applyFont="1"/>
    <xf borderId="14" fillId="2" fontId="27" numFmtId="49" xfId="0" applyAlignment="1" applyBorder="1" applyFont="1" applyNumberFormat="1">
      <alignment horizontal="left" shrinkToFit="0" vertical="center" wrapText="1"/>
    </xf>
    <xf borderId="63" fillId="2" fontId="27" numFmtId="49" xfId="0" applyAlignment="1" applyBorder="1" applyFont="1" applyNumberFormat="1">
      <alignment horizontal="left" vertical="center"/>
    </xf>
    <xf borderId="14" fillId="2" fontId="27" numFmtId="0" xfId="0" applyAlignment="1" applyBorder="1" applyFont="1">
      <alignment horizontal="left" vertical="center"/>
    </xf>
    <xf borderId="63" fillId="2" fontId="27" numFmtId="49" xfId="0" applyAlignment="1" applyBorder="1" applyFont="1" applyNumberFormat="1">
      <alignment horizontal="left" vertical="top"/>
    </xf>
    <xf borderId="14" fillId="2" fontId="27" numFmtId="169" xfId="0" applyAlignment="1" applyBorder="1" applyFont="1" applyNumberFormat="1">
      <alignment horizontal="center" vertical="center"/>
    </xf>
    <xf borderId="14" fillId="2" fontId="27" numFmtId="0" xfId="0" applyAlignment="1" applyBorder="1" applyFont="1">
      <alignment horizontal="left" shrinkToFit="0" vertical="center" wrapText="1"/>
    </xf>
    <xf borderId="63" fillId="2" fontId="27" numFmtId="0" xfId="0" applyAlignment="1" applyBorder="1" applyFont="1">
      <alignment horizontal="left" vertical="top"/>
    </xf>
    <xf borderId="14" fillId="2" fontId="27" numFmtId="49" xfId="0" applyAlignment="1" applyBorder="1" applyFont="1" applyNumberFormat="1">
      <alignment shrinkToFit="0" vertical="bottom" wrapText="1"/>
    </xf>
    <xf borderId="14" fillId="2" fontId="27" numFmtId="49" xfId="0" applyAlignment="1" applyBorder="1" applyFont="1" applyNumberFormat="1">
      <alignment horizontal="right" shrinkToFit="0" vertical="top" wrapText="1"/>
    </xf>
    <xf borderId="14" fillId="2" fontId="27" numFmtId="49" xfId="0" applyAlignment="1" applyBorder="1" applyFont="1" applyNumberFormat="1">
      <alignment horizontal="center" vertical="top"/>
    </xf>
    <xf borderId="14" fillId="2" fontId="27" numFmtId="0" xfId="0" applyAlignment="1" applyBorder="1" applyFont="1">
      <alignment shrinkToFit="0" vertical="center" wrapText="1"/>
    </xf>
    <xf borderId="14" fillId="2" fontId="33" numFmtId="49" xfId="0" applyAlignment="1" applyBorder="1" applyFont="1" applyNumberFormat="1">
      <alignment horizontal="left" vertical="bottom"/>
    </xf>
    <xf borderId="14" fillId="2" fontId="27" numFmtId="164" xfId="0" applyAlignment="1" applyBorder="1" applyFont="1" applyNumberFormat="1">
      <alignment horizontal="center" vertical="bottom"/>
    </xf>
    <xf borderId="14" fillId="2" fontId="33" numFmtId="49" xfId="0" applyAlignment="1" applyBorder="1" applyFont="1" applyNumberFormat="1">
      <alignment horizontal="right" vertical="center"/>
    </xf>
    <xf borderId="63" fillId="2" fontId="27" numFmtId="49" xfId="0" applyAlignment="1" applyBorder="1" applyFont="1" applyNumberFormat="1">
      <alignment horizontal="left" shrinkToFit="0" vertical="center" wrapText="1"/>
    </xf>
    <xf borderId="14" fillId="2" fontId="34" numFmtId="49" xfId="0" applyAlignment="1" applyBorder="1" applyFont="1" applyNumberFormat="1">
      <alignment horizontal="left" vertical="center"/>
    </xf>
    <xf borderId="14" fillId="2" fontId="25" numFmtId="49" xfId="0" applyAlignment="1" applyBorder="1" applyFont="1" applyNumberFormat="1">
      <alignment horizontal="left" vertical="center"/>
    </xf>
    <xf borderId="14" fillId="2" fontId="33" numFmtId="49" xfId="0" applyAlignment="1" applyBorder="1" applyFont="1" applyNumberFormat="1">
      <alignment shrinkToFit="0" vertical="bottom" wrapText="1"/>
    </xf>
    <xf borderId="14" fillId="2" fontId="35" numFmtId="0" xfId="0" applyAlignment="1" applyBorder="1" applyFont="1">
      <alignment horizontal="left" vertical="center"/>
    </xf>
    <xf borderId="14" fillId="2" fontId="27" numFmtId="170" xfId="0" applyAlignment="1" applyBorder="1" applyFont="1" applyNumberFormat="1">
      <alignment horizontal="left" shrinkToFit="0" vertical="center" wrapText="1"/>
    </xf>
    <xf borderId="14" fillId="2" fontId="27" numFmtId="171" xfId="0" applyAlignment="1" applyBorder="1" applyFont="1" applyNumberFormat="1">
      <alignment horizontal="left" shrinkToFit="0" vertical="center" wrapText="1"/>
    </xf>
    <xf borderId="63" fillId="2" fontId="27" numFmtId="0" xfId="0" applyAlignment="1" applyBorder="1" applyFont="1">
      <alignment horizontal="left" shrinkToFit="0" vertical="center" wrapText="1"/>
    </xf>
    <xf borderId="14" fillId="2" fontId="27" numFmtId="172" xfId="0" applyAlignment="1" applyBorder="1" applyFont="1" applyNumberFormat="1">
      <alignment horizontal="left" shrinkToFit="0" vertical="center" wrapText="1"/>
    </xf>
    <xf borderId="20" fillId="2" fontId="11" numFmtId="0" xfId="0" applyAlignment="1" applyBorder="1" applyFont="1">
      <alignment horizontal="left" vertical="bottom"/>
    </xf>
    <xf borderId="14" fillId="2" fontId="27" numFmtId="0" xfId="0" applyAlignment="1" applyBorder="1" applyFont="1">
      <alignment vertical="center"/>
    </xf>
    <xf borderId="14" fillId="2" fontId="25" numFmtId="0" xfId="0" applyAlignment="1" applyBorder="1" applyFont="1">
      <alignment horizontal="left" vertical="center"/>
    </xf>
    <xf borderId="14" fillId="2" fontId="33" numFmtId="0" xfId="0" applyAlignment="1" applyBorder="1" applyFont="1">
      <alignment horizontal="left" vertical="bottom"/>
    </xf>
    <xf borderId="14" fillId="2" fontId="27" numFmtId="0" xfId="0" applyAlignment="1" applyBorder="1" applyFont="1">
      <alignment horizontal="center" vertical="bottom"/>
    </xf>
    <xf borderId="14" fillId="2" fontId="27" numFmtId="0" xfId="0" applyAlignment="1" applyBorder="1" applyFont="1">
      <alignment horizontal="center" shrinkToFit="0" vertical="top" wrapText="1"/>
    </xf>
    <xf borderId="63" fillId="2" fontId="34" numFmtId="49" xfId="0" applyAlignment="1" applyBorder="1" applyFont="1" applyNumberFormat="1">
      <alignment horizontal="left" shrinkToFit="0" vertical="center" wrapText="1"/>
    </xf>
    <xf borderId="14" fillId="2" fontId="34" numFmtId="49" xfId="0" applyAlignment="1" applyBorder="1" applyFont="1" applyNumberFormat="1">
      <alignment vertical="bottom"/>
    </xf>
    <xf borderId="63" fillId="2" fontId="35" numFmtId="49" xfId="0" applyAlignment="1" applyBorder="1" applyFont="1" applyNumberFormat="1">
      <alignment horizontal="left" shrinkToFit="0" vertical="center" wrapText="1"/>
    </xf>
    <xf borderId="14" fillId="2" fontId="35" numFmtId="0" xfId="0" applyAlignment="1" applyBorder="1" applyFont="1">
      <alignment horizontal="left" shrinkToFit="0" vertical="center" wrapText="1"/>
    </xf>
    <xf borderId="63" fillId="2" fontId="33" numFmtId="0" xfId="0" applyAlignment="1" applyBorder="1" applyFont="1">
      <alignment shrinkToFit="0" vertical="center" wrapText="1"/>
    </xf>
    <xf borderId="14" fillId="2" fontId="35" numFmtId="0" xfId="0" applyAlignment="1" applyBorder="1" applyFont="1">
      <alignment shrinkToFit="0" vertical="top" wrapText="1"/>
    </xf>
    <xf borderId="63" fillId="2" fontId="34" numFmtId="49" xfId="0" applyAlignment="1" applyBorder="1" applyFont="1" applyNumberFormat="1">
      <alignment horizontal="left" shrinkToFit="0" vertical="top" wrapText="1"/>
    </xf>
    <xf borderId="67" fillId="2" fontId="33" numFmtId="49" xfId="0" applyAlignment="1" applyBorder="1" applyFont="1" applyNumberFormat="1">
      <alignment horizontal="left" shrinkToFit="0" vertical="top" wrapText="1"/>
    </xf>
    <xf borderId="68" fillId="0" fontId="4" numFmtId="0" xfId="0" applyBorder="1" applyFont="1"/>
    <xf borderId="14" fillId="2" fontId="33" numFmtId="49" xfId="0" applyAlignment="1" applyBorder="1" applyFont="1" applyNumberFormat="1">
      <alignment vertical="bottom"/>
    </xf>
    <xf borderId="14" fillId="2" fontId="35" numFmtId="49" xfId="0" applyAlignment="1" applyBorder="1" applyFont="1" applyNumberFormat="1">
      <alignment vertical="bottom"/>
    </xf>
    <xf borderId="14" fillId="2" fontId="34" numFmtId="49" xfId="0" applyAlignment="1" applyBorder="1" applyFont="1" applyNumberFormat="1">
      <alignment shrinkToFit="0" vertical="top" wrapText="1"/>
    </xf>
    <xf borderId="14" fillId="2" fontId="33" numFmtId="0" xfId="0" applyAlignment="1" applyBorder="1" applyFont="1">
      <alignment vertical="bottom"/>
    </xf>
    <xf borderId="69" fillId="0" fontId="4" numFmtId="0" xfId="0" applyBorder="1" applyFont="1"/>
    <xf borderId="70" fillId="0" fontId="4" numFmtId="0" xfId="0" applyBorder="1" applyFont="1"/>
    <xf borderId="14" fillId="2" fontId="36" numFmtId="0" xfId="0" applyAlignment="1" applyBorder="1" applyFont="1">
      <alignment shrinkToFit="0" vertical="top" wrapText="1"/>
    </xf>
    <xf borderId="63" fillId="2" fontId="36" numFmtId="49" xfId="0" applyAlignment="1" applyBorder="1" applyFont="1" applyNumberFormat="1">
      <alignment horizontal="right" shrinkToFit="0" vertical="top" wrapText="1"/>
    </xf>
    <xf borderId="63" fillId="2" fontId="36" numFmtId="49" xfId="0" applyAlignment="1" applyBorder="1" applyFont="1" applyNumberFormat="1">
      <alignment horizontal="center" shrinkToFit="0" vertical="center" wrapText="1"/>
    </xf>
    <xf borderId="14" fillId="2" fontId="36" numFmtId="49" xfId="0" applyAlignment="1" applyBorder="1" applyFont="1" applyNumberFormat="1">
      <alignment horizontal="center" shrinkToFit="0" vertical="center" wrapText="1"/>
    </xf>
    <xf borderId="14" fillId="2" fontId="36" numFmtId="0" xfId="0" applyAlignment="1" applyBorder="1" applyFont="1">
      <alignment horizontal="center" shrinkToFit="0" vertical="center" wrapText="1"/>
    </xf>
    <xf borderId="63" fillId="2" fontId="36" numFmtId="0" xfId="0" applyAlignment="1" applyBorder="1" applyFont="1">
      <alignment horizontal="center" shrinkToFit="0" vertical="center" wrapText="1"/>
    </xf>
    <xf borderId="14" fillId="2" fontId="25" numFmtId="0" xfId="0" applyAlignment="1" applyBorder="1" applyFont="1">
      <alignment horizontal="center" shrinkToFit="0" vertical="center" wrapText="1"/>
    </xf>
    <xf borderId="14" fillId="2" fontId="25" numFmtId="49" xfId="0" applyAlignment="1" applyBorder="1" applyFont="1" applyNumberFormat="1">
      <alignment horizontal="center" shrinkToFit="0" vertical="center" wrapText="1"/>
    </xf>
    <xf borderId="63" fillId="2" fontId="25" numFmtId="49" xfId="0" applyAlignment="1" applyBorder="1" applyFont="1" applyNumberFormat="1">
      <alignment horizontal="center" vertical="center"/>
    </xf>
    <xf borderId="14" fillId="2" fontId="25" numFmtId="49" xfId="0" applyAlignment="1" applyBorder="1" applyFont="1" applyNumberFormat="1">
      <alignment horizontal="center" vertical="center"/>
    </xf>
    <xf borderId="14" fillId="2" fontId="25" numFmtId="0" xfId="0" applyAlignment="1" applyBorder="1" applyFont="1">
      <alignment horizontal="center" vertical="center"/>
    </xf>
    <xf borderId="63" fillId="2" fontId="25" numFmtId="0" xfId="0" applyAlignment="1" applyBorder="1" applyFont="1">
      <alignment horizontal="center" vertical="center"/>
    </xf>
    <xf borderId="63" fillId="2" fontId="27" numFmtId="0" xfId="0" applyAlignment="1" applyBorder="1" applyFont="1">
      <alignment horizontal="center" vertical="bottom"/>
    </xf>
    <xf borderId="14" fillId="2" fontId="27" numFmtId="0" xfId="0" applyAlignment="1" applyBorder="1" applyFont="1">
      <alignment horizontal="right" shrinkToFit="0" vertical="top" wrapText="1"/>
    </xf>
    <xf borderId="14" fillId="2" fontId="27" numFmtId="49" xfId="0" applyAlignment="1" applyBorder="1" applyFont="1" applyNumberFormat="1">
      <alignment horizontal="right" vertical="center"/>
    </xf>
    <xf borderId="63" fillId="2" fontId="27" numFmtId="49" xfId="0" applyAlignment="1" applyBorder="1" applyFont="1" applyNumberFormat="1">
      <alignment horizontal="center" vertical="center"/>
    </xf>
    <xf borderId="14" fillId="2" fontId="27" numFmtId="164" xfId="0" applyAlignment="1" applyBorder="1" applyFont="1" applyNumberFormat="1">
      <alignment horizontal="center" shrinkToFit="0" vertical="center" wrapText="1"/>
    </xf>
    <xf borderId="14" fillId="2" fontId="37" numFmtId="0" xfId="0" applyAlignment="1" applyBorder="1" applyFont="1">
      <alignment horizontal="center" shrinkToFit="0" vertical="center" wrapText="1"/>
    </xf>
    <xf borderId="14" fillId="2" fontId="27" numFmtId="49" xfId="0" applyAlignment="1" applyBorder="1" applyFont="1" applyNumberFormat="1">
      <alignment horizontal="center" vertical="center"/>
    </xf>
    <xf borderId="14" fillId="2" fontId="35" numFmtId="0" xfId="0" applyAlignment="1" applyBorder="1" applyFont="1">
      <alignment horizontal="center" shrinkToFit="0" vertical="center" wrapText="1"/>
    </xf>
    <xf borderId="14" fillId="2" fontId="23" numFmtId="0" xfId="0" applyAlignment="1" applyBorder="1" applyFont="1">
      <alignment shrinkToFit="0" vertical="center" wrapText="1"/>
    </xf>
    <xf borderId="14" fillId="2" fontId="27" numFmtId="0" xfId="0" applyAlignment="1" applyBorder="1" applyFont="1">
      <alignment horizontal="right" vertical="center"/>
    </xf>
    <xf borderId="63" fillId="2" fontId="27" numFmtId="164" xfId="0" applyAlignment="1" applyBorder="1" applyFont="1" applyNumberFormat="1">
      <alignment horizontal="center" vertical="center"/>
    </xf>
    <xf borderId="14" fillId="2" fontId="27" numFmtId="0" xfId="0" applyAlignment="1" applyBorder="1" applyFont="1">
      <alignment horizontal="center" vertical="center"/>
    </xf>
    <xf borderId="14" fillId="2" fontId="38" numFmtId="0" xfId="0" applyAlignment="1" applyBorder="1" applyFont="1">
      <alignment horizontal="center" vertical="center"/>
    </xf>
    <xf borderId="14" fillId="2" fontId="39" numFmtId="0" xfId="0" applyAlignment="1" applyBorder="1" applyFont="1">
      <alignment horizontal="center" shrinkToFit="0" vertical="center" wrapText="1"/>
    </xf>
    <xf borderId="14" fillId="2" fontId="38" numFmtId="164" xfId="0" applyAlignment="1" applyBorder="1" applyFont="1" applyNumberFormat="1">
      <alignment horizontal="center" vertical="center"/>
    </xf>
    <xf borderId="14" fillId="2" fontId="35" numFmtId="14" xfId="0" applyAlignment="1" applyBorder="1" applyFont="1" applyNumberFormat="1">
      <alignment horizontal="center" shrinkToFit="0" vertical="center" wrapText="1"/>
    </xf>
    <xf borderId="14" fillId="2" fontId="33" numFmtId="0" xfId="0" applyAlignment="1" applyBorder="1" applyFont="1">
      <alignment horizontal="left" vertical="center"/>
    </xf>
    <xf borderId="14" fillId="2" fontId="33" numFmtId="49" xfId="0" applyAlignment="1" applyBorder="1" applyFont="1" applyNumberFormat="1">
      <alignment horizontal="center" vertical="bottom"/>
    </xf>
    <xf borderId="63" fillId="2" fontId="27" numFmtId="49" xfId="0" applyAlignment="1" applyBorder="1" applyFont="1" applyNumberFormat="1">
      <alignment horizontal="center" vertical="bottom"/>
    </xf>
    <xf borderId="14" fillId="2" fontId="33" numFmtId="0" xfId="0" applyAlignment="1" applyBorder="1" applyFont="1">
      <alignment horizontal="center" vertical="bottom"/>
    </xf>
    <xf borderId="14" fillId="2" fontId="25" numFmtId="0" xfId="0" applyAlignment="1" applyBorder="1" applyFont="1">
      <alignment horizontal="left" vertical="top"/>
    </xf>
    <xf borderId="14" fillId="2" fontId="25" numFmtId="49" xfId="0" applyAlignment="1" applyBorder="1" applyFont="1" applyNumberFormat="1">
      <alignment horizontal="center" vertical="top"/>
    </xf>
    <xf borderId="63" fillId="2" fontId="40" numFmtId="49" xfId="0" applyAlignment="1" applyBorder="1" applyFont="1" applyNumberFormat="1">
      <alignment horizontal="center" vertical="bottom"/>
    </xf>
    <xf borderId="14" fillId="2" fontId="25" numFmtId="0" xfId="0" applyAlignment="1" applyBorder="1" applyFont="1">
      <alignment horizontal="center" vertical="top"/>
    </xf>
    <xf borderId="63" fillId="2" fontId="2" numFmtId="0" xfId="0" applyAlignment="1" applyBorder="1" applyFont="1">
      <alignment horizontal="center" vertical="bottom"/>
    </xf>
    <xf borderId="14" fillId="2" fontId="35" numFmtId="0" xfId="0" applyAlignment="1" applyBorder="1" applyFont="1">
      <alignment horizontal="center" vertical="bottom"/>
    </xf>
    <xf borderId="14" fillId="2" fontId="2" numFmtId="0" xfId="0" applyAlignment="1" applyBorder="1" applyFont="1">
      <alignment horizontal="left" vertical="top"/>
    </xf>
    <xf borderId="63" fillId="2" fontId="33" numFmtId="0" xfId="0" applyAlignment="1" applyBorder="1" applyFont="1">
      <alignment horizontal="center" vertical="bottom"/>
    </xf>
    <xf borderId="63" fillId="2" fontId="37" numFmtId="0" xfId="0" applyAlignment="1" applyBorder="1" applyFont="1">
      <alignment horizontal="center" shrinkToFit="0" vertical="center" wrapText="1"/>
    </xf>
    <xf borderId="63" fillId="2" fontId="37" numFmtId="0" xfId="0" applyAlignment="1" applyBorder="1" applyFont="1">
      <alignment horizontal="center" vertical="center"/>
    </xf>
    <xf borderId="14" fillId="2" fontId="35" numFmtId="0" xfId="0" applyAlignment="1" applyBorder="1" applyFont="1">
      <alignment horizontal="left" vertical="bottom"/>
    </xf>
    <xf borderId="14" fillId="2" fontId="35" numFmtId="164" xfId="0" applyAlignment="1" applyBorder="1" applyFont="1" applyNumberFormat="1">
      <alignment horizontal="center" vertical="bottom"/>
    </xf>
    <xf borderId="14" fillId="2" fontId="37" numFmtId="0" xfId="0" applyAlignment="1" applyBorder="1" applyFont="1">
      <alignment horizontal="center" vertical="bottom"/>
    </xf>
    <xf borderId="14" fillId="2" fontId="41" numFmtId="0" xfId="0" applyAlignment="1" applyBorder="1" applyFont="1">
      <alignment horizontal="left" vertical="bottom"/>
    </xf>
    <xf borderId="14" fillId="2" fontId="41" numFmtId="0" xfId="0" applyAlignment="1" applyBorder="1" applyFont="1">
      <alignment horizontal="center" vertical="bottom"/>
    </xf>
    <xf borderId="14" fillId="2" fontId="41" numFmtId="164" xfId="0" applyAlignment="1" applyBorder="1" applyFont="1" applyNumberFormat="1">
      <alignment horizontal="center" vertical="bottom"/>
    </xf>
    <xf borderId="14" fillId="2" fontId="18" numFmtId="0" xfId="0" applyAlignment="1" applyBorder="1" applyFont="1">
      <alignment horizontal="center" vertical="bottom"/>
    </xf>
    <xf borderId="14" fillId="2" fontId="13" numFmtId="14" xfId="0" applyAlignment="1" applyBorder="1" applyFont="1" applyNumberFormat="1">
      <alignment vertical="bottom"/>
    </xf>
    <xf borderId="60" fillId="2" fontId="2" numFmtId="0" xfId="0" applyAlignment="1" applyBorder="1" applyFont="1">
      <alignment vertical="bottom"/>
    </xf>
    <xf borderId="61" fillId="2" fontId="12" numFmtId="0" xfId="0" applyAlignment="1" applyBorder="1" applyFont="1">
      <alignment vertical="bottom"/>
    </xf>
    <xf borderId="14" fillId="2" fontId="42" numFmtId="0" xfId="0" applyAlignment="1" applyBorder="1" applyFont="1">
      <alignment vertical="bottom"/>
    </xf>
    <xf borderId="14" fillId="2" fontId="11" numFmtId="0" xfId="0" applyAlignment="1" applyBorder="1" applyFont="1">
      <alignment vertical="bottom"/>
    </xf>
    <xf borderId="63" fillId="2" fontId="29" numFmtId="49" xfId="0" applyAlignment="1" applyBorder="1" applyFont="1" applyNumberFormat="1">
      <alignment horizontal="left" vertical="top"/>
    </xf>
    <xf borderId="67" fillId="2" fontId="43" numFmtId="49" xfId="0" applyAlignment="1" applyBorder="1" applyFont="1" applyNumberFormat="1">
      <alignment horizontal="center" shrinkToFit="0" vertical="top" wrapText="1"/>
    </xf>
    <xf borderId="71" fillId="0" fontId="4" numFmtId="0" xfId="0" applyBorder="1" applyFont="1"/>
    <xf borderId="63" fillId="2" fontId="27" numFmtId="14" xfId="0" applyAlignment="1" applyBorder="1" applyFont="1" applyNumberFormat="1">
      <alignment horizontal="left" vertical="top"/>
    </xf>
    <xf borderId="72" fillId="0" fontId="4" numFmtId="0" xfId="0" applyBorder="1" applyFont="1"/>
    <xf borderId="23" fillId="2" fontId="11" numFmtId="0" xfId="0" applyAlignment="1" applyBorder="1" applyFont="1">
      <alignment vertical="bottom"/>
    </xf>
    <xf borderId="14" fillId="2" fontId="11" numFmtId="0" xfId="0" applyAlignment="1" applyBorder="1" applyFont="1">
      <alignment horizontal="left" shrinkToFit="0" vertical="center" wrapText="1"/>
    </xf>
    <xf borderId="14" fillId="2" fontId="11" numFmtId="0" xfId="0" applyAlignment="1" applyBorder="1" applyFont="1">
      <alignment horizontal="left" vertical="center"/>
    </xf>
    <xf borderId="14" fillId="2" fontId="6" numFmtId="0" xfId="0" applyAlignment="1" applyBorder="1" applyFont="1">
      <alignment vertical="top"/>
    </xf>
    <xf borderId="14" fillId="2" fontId="6" numFmtId="0" xfId="0" applyAlignment="1" applyBorder="1" applyFont="1">
      <alignment horizontal="left" vertical="center"/>
    </xf>
    <xf borderId="37" fillId="2" fontId="2" numFmtId="0" xfId="0" applyAlignment="1" applyBorder="1" applyFont="1">
      <alignment horizontal="center" vertical="bottom"/>
    </xf>
    <xf borderId="73" fillId="2" fontId="33" numFmtId="49" xfId="0" applyAlignment="1" applyBorder="1" applyFont="1" applyNumberFormat="1">
      <alignment horizontal="center" vertical="center"/>
    </xf>
    <xf borderId="74" fillId="2" fontId="30" numFmtId="49" xfId="0" applyAlignment="1" applyBorder="1" applyFont="1" applyNumberFormat="1">
      <alignment horizontal="center" vertical="bottom"/>
    </xf>
    <xf borderId="75" fillId="0" fontId="4" numFmtId="0" xfId="0" applyBorder="1" applyFont="1"/>
    <xf borderId="76" fillId="0" fontId="4" numFmtId="0" xfId="0" applyBorder="1" applyFont="1"/>
    <xf borderId="28" fillId="2" fontId="2" numFmtId="0" xfId="0" applyAlignment="1" applyBorder="1" applyFont="1">
      <alignment horizontal="center" vertical="bottom"/>
    </xf>
    <xf borderId="14" fillId="2" fontId="2" numFmtId="0" xfId="0" applyAlignment="1" applyBorder="1" applyFont="1">
      <alignment horizontal="center" vertical="bottom"/>
    </xf>
    <xf borderId="20" fillId="2" fontId="2" numFmtId="0" xfId="0" applyAlignment="1" applyBorder="1" applyFont="1">
      <alignment horizontal="center" vertical="bottom"/>
    </xf>
    <xf borderId="37" fillId="2" fontId="2" numFmtId="0" xfId="0" applyAlignment="1" applyBorder="1" applyFont="1">
      <alignment vertical="bottom"/>
    </xf>
    <xf borderId="77" fillId="0" fontId="4" numFmtId="0" xfId="0" applyBorder="1" applyFont="1"/>
    <xf borderId="78" fillId="2" fontId="27" numFmtId="0" xfId="0" applyAlignment="1" applyBorder="1" applyFont="1">
      <alignment horizontal="center" vertical="bottom"/>
    </xf>
    <xf borderId="79" fillId="0" fontId="4" numFmtId="0" xfId="0" applyBorder="1" applyFont="1"/>
    <xf borderId="80" fillId="0" fontId="4" numFmtId="0" xfId="0" applyBorder="1" applyFont="1"/>
    <xf borderId="81" fillId="2" fontId="33" numFmtId="49" xfId="0" applyAlignment="1" applyBorder="1" applyFont="1" applyNumberFormat="1">
      <alignment horizontal="center" vertical="bottom"/>
    </xf>
    <xf borderId="82" fillId="2" fontId="33" numFmtId="49" xfId="0" applyAlignment="1" applyBorder="1" applyFont="1" applyNumberFormat="1">
      <alignment horizontal="center" shrinkToFit="0" vertical="top" wrapText="1"/>
    </xf>
    <xf borderId="83" fillId="2" fontId="27" numFmtId="0" xfId="0" applyAlignment="1" applyBorder="1" applyFont="1">
      <alignment horizontal="center" vertical="center"/>
    </xf>
    <xf borderId="84" fillId="2" fontId="33" numFmtId="49" xfId="0" applyAlignment="1" applyBorder="1" applyFont="1" applyNumberFormat="1">
      <alignment horizontal="center" vertical="center"/>
    </xf>
    <xf borderId="85" fillId="2" fontId="27" numFmtId="0" xfId="0" applyAlignment="1" applyBorder="1" applyFont="1">
      <alignment horizontal="center" vertical="center"/>
    </xf>
    <xf borderId="86" fillId="2" fontId="34" numFmtId="49" xfId="0" applyAlignment="1" applyBorder="1" applyFont="1" applyNumberFormat="1">
      <alignment horizontal="center" vertical="center"/>
    </xf>
    <xf borderId="87" fillId="0" fontId="4" numFmtId="0" xfId="0" applyBorder="1" applyFont="1"/>
    <xf borderId="88" fillId="0" fontId="4" numFmtId="0" xfId="0" applyBorder="1" applyFont="1"/>
    <xf borderId="89" fillId="0" fontId="4" numFmtId="0" xfId="0" applyBorder="1" applyFont="1"/>
    <xf borderId="90" fillId="0" fontId="4" numFmtId="0" xfId="0" applyBorder="1" applyFont="1"/>
    <xf borderId="91" fillId="2" fontId="34" numFmtId="49" xfId="0" applyAlignment="1" applyBorder="1" applyFont="1" applyNumberFormat="1">
      <alignment horizontal="center" vertical="center"/>
    </xf>
    <xf borderId="52" fillId="2" fontId="33" numFmtId="0" xfId="0" applyAlignment="1" applyBorder="1" applyFont="1">
      <alignment horizontal="center" vertical="bottom"/>
    </xf>
    <xf borderId="53" fillId="2" fontId="27" numFmtId="0" xfId="0" applyAlignment="1" applyBorder="1" applyFont="1">
      <alignment horizontal="center" vertical="bottom"/>
    </xf>
    <xf borderId="58" fillId="2" fontId="34" numFmtId="0" xfId="0" applyAlignment="1" applyBorder="1" applyFont="1">
      <alignment horizontal="center" vertical="bottom"/>
    </xf>
    <xf borderId="35" fillId="2" fontId="27" numFmtId="2" xfId="0" applyAlignment="1" applyBorder="1" applyFont="1" applyNumberFormat="1">
      <alignment vertical="bottom"/>
    </xf>
    <xf borderId="36" fillId="2" fontId="27" numFmtId="2" xfId="0" applyAlignment="1" applyBorder="1" applyFont="1" applyNumberFormat="1">
      <alignment vertical="bottom"/>
    </xf>
    <xf borderId="42" fillId="2" fontId="34" numFmtId="0" xfId="0" applyAlignment="1" applyBorder="1" applyFont="1">
      <alignment horizontal="center" vertical="bottom"/>
    </xf>
    <xf borderId="92" fillId="2" fontId="36" numFmtId="49" xfId="0" applyAlignment="1" applyBorder="1" applyFont="1" applyNumberFormat="1">
      <alignment horizontal="center" shrinkToFit="0" vertical="top" wrapText="1"/>
    </xf>
    <xf borderId="84" fillId="2" fontId="36" numFmtId="49" xfId="0" applyAlignment="1" applyBorder="1" applyFont="1" applyNumberFormat="1">
      <alignment horizontal="center" shrinkToFit="0" vertical="top" wrapText="1"/>
    </xf>
    <xf borderId="53" fillId="2" fontId="36" numFmtId="49" xfId="0" applyAlignment="1" applyBorder="1" applyFont="1" applyNumberFormat="1">
      <alignment horizontal="center" vertical="center"/>
    </xf>
    <xf borderId="58" fillId="2" fontId="27" numFmtId="0" xfId="0" applyAlignment="1" applyBorder="1" applyFont="1">
      <alignment horizontal="center" vertical="bottom"/>
    </xf>
    <xf borderId="28" fillId="2" fontId="36" numFmtId="49" xfId="0" applyAlignment="1" applyBorder="1" applyFont="1" applyNumberFormat="1">
      <alignment horizontal="center" shrinkToFit="0" vertical="top" wrapText="1"/>
    </xf>
    <xf borderId="14" fillId="2" fontId="36" numFmtId="0" xfId="0" applyAlignment="1" applyBorder="1" applyFont="1">
      <alignment horizontal="center" vertical="center"/>
    </xf>
    <xf borderId="37" fillId="2" fontId="36" numFmtId="0" xfId="0" applyAlignment="1" applyBorder="1" applyFont="1">
      <alignment horizontal="center" vertical="bottom"/>
    </xf>
    <xf borderId="37" fillId="2" fontId="42" numFmtId="0" xfId="0" applyAlignment="1" applyBorder="1" applyFont="1">
      <alignment horizontal="center" vertical="bottom"/>
    </xf>
    <xf borderId="28" fillId="2" fontId="27" numFmtId="166" xfId="0" applyAlignment="1" applyBorder="1" applyFont="1" applyNumberFormat="1">
      <alignment horizontal="center" vertical="bottom"/>
    </xf>
    <xf borderId="14" fillId="2" fontId="27" numFmtId="166" xfId="0" applyAlignment="1" applyBorder="1" applyFont="1" applyNumberFormat="1">
      <alignment horizontal="center" vertical="bottom"/>
    </xf>
    <xf borderId="14" fillId="2" fontId="27" numFmtId="173" xfId="0" applyAlignment="1" applyBorder="1" applyFont="1" applyNumberFormat="1">
      <alignment horizontal="center" vertical="bottom"/>
    </xf>
    <xf borderId="37" fillId="2" fontId="27" numFmtId="0" xfId="0" applyAlignment="1" applyBorder="1" applyFont="1">
      <alignment horizontal="center" vertical="bottom"/>
    </xf>
    <xf borderId="93" fillId="2" fontId="27" numFmtId="166" xfId="0" applyAlignment="1" applyBorder="1" applyFont="1" applyNumberFormat="1">
      <alignment horizontal="center" vertical="bottom"/>
    </xf>
    <xf borderId="23" fillId="2" fontId="27" numFmtId="166" xfId="0" applyAlignment="1" applyBorder="1" applyFont="1" applyNumberFormat="1">
      <alignment horizontal="center" vertical="bottom"/>
    </xf>
    <xf borderId="23" fillId="2" fontId="27" numFmtId="173" xfId="0" applyAlignment="1" applyBorder="1" applyFont="1" applyNumberFormat="1">
      <alignment horizontal="center" vertical="bottom"/>
    </xf>
    <xf borderId="59" fillId="2" fontId="27" numFmtId="0" xfId="0" applyAlignment="1" applyBorder="1" applyFont="1">
      <alignment horizontal="center" vertical="bottom"/>
    </xf>
    <xf borderId="14" fillId="2" fontId="42" numFmtId="0" xfId="0" applyAlignment="1" applyBorder="1" applyFont="1">
      <alignment horizontal="center" vertical="bottom"/>
    </xf>
    <xf borderId="31" fillId="2" fontId="27" numFmtId="2" xfId="0" applyAlignment="1" applyBorder="1" applyFont="1" applyNumberFormat="1">
      <alignment horizontal="center" vertical="bottom"/>
    </xf>
    <xf borderId="31" fillId="2" fontId="27" numFmtId="0" xfId="0" applyAlignment="1" applyBorder="1" applyFont="1">
      <alignment horizontal="center" vertical="bottom"/>
    </xf>
    <xf borderId="23" fillId="2" fontId="27" numFmtId="1" xfId="0" applyAlignment="1" applyBorder="1" applyFont="1" applyNumberFormat="1">
      <alignment horizontal="center" vertical="bottom"/>
    </xf>
    <xf borderId="23" fillId="2" fontId="27" numFmtId="2" xfId="0" applyAlignment="1" applyBorder="1" applyFont="1" applyNumberFormat="1">
      <alignment horizontal="center" vertical="bottom"/>
    </xf>
    <xf borderId="23" fillId="2" fontId="27" numFmtId="0" xfId="0" applyAlignment="1" applyBorder="1" applyFont="1">
      <alignment horizontal="center" vertical="bottom"/>
    </xf>
    <xf borderId="28" fillId="2" fontId="27" numFmtId="165" xfId="0" applyAlignment="1" applyBorder="1" applyFont="1" applyNumberFormat="1">
      <alignment horizontal="center" vertical="bottom"/>
    </xf>
    <xf borderId="14" fillId="2" fontId="27" numFmtId="165" xfId="0" applyAlignment="1" applyBorder="1" applyFont="1" applyNumberFormat="1">
      <alignment horizontal="center" vertical="bottom"/>
    </xf>
    <xf borderId="14" fillId="2" fontId="27" numFmtId="174" xfId="0" applyAlignment="1" applyBorder="1" applyFont="1" applyNumberFormat="1">
      <alignment horizontal="center" vertical="bottom"/>
    </xf>
    <xf borderId="93" fillId="2" fontId="27" numFmtId="165" xfId="0" applyAlignment="1" applyBorder="1" applyFont="1" applyNumberFormat="1">
      <alignment horizontal="center" vertical="bottom"/>
    </xf>
    <xf borderId="23" fillId="2" fontId="27" numFmtId="165" xfId="0" applyAlignment="1" applyBorder="1" applyFont="1" applyNumberFormat="1">
      <alignment horizontal="center" vertical="bottom"/>
    </xf>
    <xf borderId="23" fillId="2" fontId="27" numFmtId="174" xfId="0" applyAlignment="1" applyBorder="1" applyFont="1" applyNumberFormat="1">
      <alignment horizontal="center" vertical="bottom"/>
    </xf>
    <xf borderId="74" fillId="2" fontId="44" numFmtId="49" xfId="0" applyAlignment="1" applyBorder="1" applyFont="1" applyNumberFormat="1">
      <alignment horizontal="center" vertical="bottom"/>
    </xf>
    <xf borderId="28" fillId="2" fontId="27" numFmtId="2" xfId="0" applyAlignment="1" applyBorder="1" applyFont="1" applyNumberFormat="1">
      <alignment horizontal="center" vertical="bottom"/>
    </xf>
    <xf borderId="14" fillId="2" fontId="27" numFmtId="2" xfId="0" applyAlignment="1" applyBorder="1" applyFont="1" applyNumberFormat="1">
      <alignment horizontal="center" vertical="bottom"/>
    </xf>
    <xf borderId="93" fillId="2" fontId="27" numFmtId="2" xfId="0" applyAlignment="1" applyBorder="1" applyFont="1" applyNumberFormat="1">
      <alignment horizontal="center" vertical="bottom"/>
    </xf>
    <xf borderId="14" fillId="2" fontId="27" numFmtId="168" xfId="0" applyAlignment="1" applyBorder="1" applyFont="1" applyNumberFormat="1">
      <alignment horizontal="center" vertical="bottom"/>
    </xf>
    <xf borderId="23" fillId="2" fontId="27" numFmtId="168" xfId="0" applyAlignment="1" applyBorder="1" applyFont="1" applyNumberFormat="1">
      <alignment horizontal="center" vertical="bottom"/>
    </xf>
    <xf borderId="31" fillId="2" fontId="27" numFmtId="165" xfId="0" applyAlignment="1" applyBorder="1" applyFont="1" applyNumberFormat="1">
      <alignment horizontal="center" vertical="bottom"/>
    </xf>
    <xf borderId="31" fillId="2" fontId="27" numFmtId="174" xfId="0" applyAlignment="1" applyBorder="1" applyFont="1" applyNumberFormat="1">
      <alignment horizontal="center" vertical="bottom"/>
    </xf>
    <xf borderId="14" fillId="2" fontId="27" numFmtId="49" xfId="0" applyAlignment="1" applyBorder="1" applyFont="1" applyNumberFormat="1">
      <alignment horizontal="left" vertical="bottom"/>
    </xf>
    <xf borderId="14" fillId="2" fontId="27" numFmtId="1" xfId="0" applyAlignment="1" applyBorder="1" applyFont="1" applyNumberFormat="1">
      <alignment horizontal="center" vertical="bottom"/>
    </xf>
    <xf borderId="63" fillId="2" fontId="18" numFmtId="0" xfId="0" applyAlignment="1" applyBorder="1" applyFont="1">
      <alignment horizontal="center" shrinkToFit="0" vertical="center" wrapText="1"/>
    </xf>
    <xf borderId="63" fillId="2" fontId="45" numFmtId="0" xfId="0" applyAlignment="1" applyBorder="1" applyFont="1">
      <alignment horizontal="center" shrinkToFit="0" vertical="center" wrapText="1"/>
    </xf>
    <xf borderId="14" fillId="2" fontId="22" numFmtId="0" xfId="0" applyAlignment="1" applyBorder="1" applyFont="1">
      <alignment vertical="bottom"/>
    </xf>
    <xf borderId="14" fillId="2" fontId="18" numFmtId="0" xfId="0" applyAlignment="1" applyBorder="1" applyFont="1">
      <alignment horizontal="right" vertical="bottom"/>
    </xf>
    <xf borderId="14" fillId="2" fontId="46" numFmtId="0" xfId="0" applyAlignment="1" applyBorder="1" applyFont="1">
      <alignment vertical="bottom"/>
    </xf>
    <xf borderId="14" fillId="2" fontId="11" numFmtId="0" xfId="0" applyAlignment="1" applyBorder="1" applyFont="1">
      <alignment horizontal="center" vertical="center"/>
    </xf>
    <xf borderId="14" fillId="2" fontId="11" numFmtId="167" xfId="0" applyAlignment="1" applyBorder="1" applyFont="1" applyNumberFormat="1">
      <alignment horizontal="center" vertical="center"/>
    </xf>
    <xf borderId="14" fillId="2" fontId="11" numFmtId="165" xfId="0" applyAlignment="1" applyBorder="1" applyFont="1" applyNumberFormat="1">
      <alignment horizontal="center" vertical="center"/>
    </xf>
    <xf borderId="14" fillId="2" fontId="11" numFmtId="2" xfId="0" applyAlignment="1" applyBorder="1" applyFont="1" applyNumberFormat="1">
      <alignment horizontal="center" vertical="center"/>
    </xf>
    <xf borderId="61" fillId="2" fontId="11" numFmtId="0" xfId="0" applyAlignment="1" applyBorder="1" applyFont="1">
      <alignment horizontal="center" vertical="center"/>
    </xf>
    <xf borderId="61" fillId="2" fontId="11" numFmtId="167" xfId="0" applyAlignment="1" applyBorder="1" applyFont="1" applyNumberFormat="1">
      <alignment horizontal="center" vertical="center"/>
    </xf>
    <xf borderId="94" fillId="2" fontId="2" numFmtId="0" xfId="0" applyAlignment="1" applyBorder="1" applyFont="1">
      <alignment vertical="bottom"/>
    </xf>
    <xf borderId="94" fillId="2" fontId="42" numFmtId="0" xfId="0" applyAlignment="1" applyBorder="1" applyFont="1">
      <alignment vertical="bottom"/>
    </xf>
    <xf borderId="94" fillId="2" fontId="42" numFmtId="0" xfId="0" applyAlignment="1" applyBorder="1" applyFont="1">
      <alignment horizontal="right" vertical="bottom"/>
    </xf>
    <xf borderId="94" fillId="2" fontId="2" numFmtId="49" xfId="0" applyAlignment="1" applyBorder="1" applyFont="1" applyNumberFormat="1">
      <alignment vertical="bottom"/>
    </xf>
    <xf borderId="78" fillId="2" fontId="47" numFmtId="49" xfId="0" applyAlignment="1" applyBorder="1" applyFont="1" applyNumberFormat="1">
      <alignment horizontal="center" vertical="bottom"/>
    </xf>
    <xf borderId="95" fillId="2" fontId="48" numFmtId="0" xfId="0" applyAlignment="1" applyBorder="1" applyFont="1">
      <alignment vertical="center"/>
    </xf>
    <xf borderId="94" fillId="2" fontId="48" numFmtId="0" xfId="0" applyAlignment="1" applyBorder="1" applyFont="1">
      <alignment vertical="center"/>
    </xf>
    <xf borderId="96" fillId="2" fontId="43" numFmtId="0" xfId="0" applyAlignment="1" applyBorder="1" applyFont="1">
      <alignment vertical="bottom"/>
    </xf>
    <xf borderId="96" fillId="2" fontId="2" numFmtId="0" xfId="0" applyAlignment="1" applyBorder="1" applyFont="1">
      <alignment horizontal="center" vertical="bottom"/>
    </xf>
    <xf borderId="96" fillId="2" fontId="49" numFmtId="0" xfId="0" applyAlignment="1" applyBorder="1" applyFont="1">
      <alignment horizontal="center" vertical="center"/>
    </xf>
    <xf borderId="96" fillId="2" fontId="50" numFmtId="0" xfId="0" applyAlignment="1" applyBorder="1" applyFont="1">
      <alignment vertical="center"/>
    </xf>
    <xf borderId="96" fillId="2" fontId="51" numFmtId="0" xfId="0" applyAlignment="1" applyBorder="1" applyFont="1">
      <alignment vertical="center"/>
    </xf>
    <xf borderId="97" fillId="4" fontId="49" numFmtId="0" xfId="0" applyAlignment="1" applyBorder="1" applyFill="1" applyFont="1">
      <alignment vertical="center"/>
    </xf>
    <xf borderId="36" fillId="4" fontId="49" numFmtId="0" xfId="0" applyAlignment="1" applyBorder="1" applyFont="1">
      <alignment vertical="center"/>
    </xf>
    <xf borderId="4" fillId="2" fontId="48" numFmtId="0" xfId="0" applyAlignment="1" applyBorder="1" applyFont="1">
      <alignment vertical="center"/>
    </xf>
    <xf borderId="98" fillId="2" fontId="52" numFmtId="49" xfId="0" applyAlignment="1" applyBorder="1" applyFont="1" applyNumberFormat="1">
      <alignment horizontal="center" vertical="center"/>
    </xf>
    <xf borderId="99" fillId="0" fontId="4" numFmtId="0" xfId="0" applyBorder="1" applyFont="1"/>
    <xf borderId="100" fillId="0" fontId="4" numFmtId="0" xfId="0" applyBorder="1" applyFont="1"/>
    <xf borderId="101" fillId="2" fontId="53" numFmtId="49" xfId="0" applyAlignment="1" applyBorder="1" applyFont="1" applyNumberFormat="1">
      <alignment horizontal="center" vertical="center"/>
    </xf>
    <xf borderId="102" fillId="0" fontId="4" numFmtId="0" xfId="0" applyBorder="1" applyFont="1"/>
    <xf borderId="95" fillId="2" fontId="54" numFmtId="0" xfId="0" applyAlignment="1" applyBorder="1" applyFont="1">
      <alignment vertical="top"/>
    </xf>
    <xf borderId="94" fillId="2" fontId="54" numFmtId="0" xfId="0" applyAlignment="1" applyBorder="1" applyFont="1">
      <alignment vertical="top"/>
    </xf>
    <xf borderId="94" fillId="2" fontId="55" numFmtId="0" xfId="0" applyAlignment="1" applyBorder="1" applyFont="1">
      <alignment vertical="bottom"/>
    </xf>
    <xf borderId="103" fillId="2" fontId="56" numFmtId="49" xfId="0" applyAlignment="1" applyBorder="1" applyFont="1" applyNumberFormat="1">
      <alignment horizontal="center" vertical="center"/>
    </xf>
    <xf borderId="104" fillId="0" fontId="4" numFmtId="0" xfId="0" applyBorder="1" applyFont="1"/>
    <xf borderId="105" fillId="0" fontId="4" numFmtId="0" xfId="0" applyBorder="1" applyFont="1"/>
    <xf borderId="106" fillId="2" fontId="53" numFmtId="14" xfId="0" applyAlignment="1" applyBorder="1" applyFont="1" applyNumberFormat="1">
      <alignment horizontal="center" vertical="center"/>
    </xf>
    <xf borderId="107" fillId="0" fontId="4" numFmtId="0" xfId="0" applyBorder="1" applyFont="1"/>
    <xf borderId="95" fillId="2" fontId="55" numFmtId="0" xfId="0" applyAlignment="1" applyBorder="1" applyFont="1">
      <alignment vertical="top"/>
    </xf>
    <xf borderId="94" fillId="2" fontId="57" numFmtId="164" xfId="0" applyAlignment="1" applyBorder="1" applyFont="1" applyNumberFormat="1">
      <alignment vertical="center"/>
    </xf>
    <xf borderId="94" fillId="2" fontId="55" numFmtId="0" xfId="0" applyAlignment="1" applyBorder="1" applyFont="1">
      <alignment vertical="top"/>
    </xf>
    <xf borderId="106" fillId="2" fontId="53" numFmtId="169" xfId="0" applyAlignment="1" applyBorder="1" applyFont="1" applyNumberFormat="1">
      <alignment horizontal="center" vertical="center"/>
    </xf>
    <xf borderId="108" fillId="2" fontId="58" numFmtId="49" xfId="0" applyAlignment="1" applyBorder="1" applyFont="1" applyNumberFormat="1">
      <alignment horizontal="center" vertical="center"/>
    </xf>
    <xf borderId="109" fillId="0" fontId="4" numFmtId="0" xfId="0" applyBorder="1" applyFont="1"/>
    <xf borderId="110" fillId="0" fontId="4" numFmtId="0" xfId="0" applyBorder="1" applyFont="1"/>
    <xf borderId="111" fillId="2" fontId="53" numFmtId="49" xfId="0" applyAlignment="1" applyBorder="1" applyFont="1" applyNumberFormat="1">
      <alignment horizontal="left" vertical="center"/>
    </xf>
    <xf borderId="112" fillId="0" fontId="4" numFmtId="0" xfId="0" applyBorder="1" applyFont="1"/>
    <xf borderId="95" fillId="2" fontId="57" numFmtId="49" xfId="0" applyAlignment="1" applyBorder="1" applyFont="1" applyNumberFormat="1">
      <alignment vertical="center"/>
    </xf>
    <xf borderId="94" fillId="2" fontId="57" numFmtId="49" xfId="0" applyAlignment="1" applyBorder="1" applyFont="1" applyNumberFormat="1">
      <alignment vertical="center"/>
    </xf>
    <xf borderId="94" fillId="2" fontId="55" numFmtId="49" xfId="0" applyAlignment="1" applyBorder="1" applyFont="1" applyNumberFormat="1">
      <alignment vertical="top"/>
    </xf>
    <xf borderId="113" fillId="2" fontId="3" numFmtId="0" xfId="0" applyAlignment="1" applyBorder="1" applyFont="1">
      <alignment vertical="bottom"/>
    </xf>
    <xf borderId="114" fillId="4" fontId="59" numFmtId="49" xfId="0" applyAlignment="1" applyBorder="1" applyFont="1" applyNumberFormat="1">
      <alignment horizontal="left" vertical="center"/>
    </xf>
    <xf borderId="115" fillId="0" fontId="4" numFmtId="0" xfId="0" applyBorder="1" applyFont="1"/>
    <xf borderId="116" fillId="0" fontId="4" numFmtId="0" xfId="0" applyBorder="1" applyFont="1"/>
    <xf borderId="114" fillId="2" fontId="2" numFmtId="49" xfId="0" applyAlignment="1" applyBorder="1" applyFont="1" applyNumberFormat="1">
      <alignment vertical="bottom"/>
    </xf>
    <xf borderId="13" fillId="2" fontId="3" numFmtId="0" xfId="0" applyAlignment="1" applyBorder="1" applyFont="1">
      <alignment vertical="bottom"/>
    </xf>
    <xf borderId="117" fillId="0" fontId="4" numFmtId="0" xfId="0" applyBorder="1" applyFont="1"/>
    <xf borderId="118" fillId="0" fontId="4" numFmtId="0" xfId="0" applyBorder="1" applyFont="1"/>
    <xf borderId="119" fillId="0" fontId="4" numFmtId="0" xfId="0" applyBorder="1" applyFont="1"/>
    <xf borderId="120" fillId="0" fontId="4" numFmtId="0" xfId="0" applyBorder="1" applyFont="1"/>
    <xf borderId="121" fillId="2" fontId="60" numFmtId="0" xfId="0" applyAlignment="1" applyBorder="1" applyFont="1">
      <alignment vertical="bottom"/>
    </xf>
    <xf borderId="94" fillId="2" fontId="60" numFmtId="0" xfId="0" applyAlignment="1" applyBorder="1" applyFont="1">
      <alignment vertical="bottom"/>
    </xf>
    <xf borderId="122" fillId="2" fontId="2" numFmtId="0" xfId="0" applyAlignment="1" applyBorder="1" applyFon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392"/>
          <c:y val="0.0371732"/>
          <c:w val="0.830233"/>
          <c:h val="0.885281"/>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'Cálculos'!$Q$19:$Q$23</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'Cálculos'!$R$19:$R$23</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'Cálculos'!$S$18:$S$23</c:f>
              <c:numCache/>
            </c:numRef>
          </c:val>
          <c:smooth val="0"/>
        </c:ser>
        <c:axId val="193883522"/>
        <c:axId val="2137824940"/>
      </c:lineChart>
      <c:catAx>
        <c:axId val="193883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2137824940"/>
      </c:catAx>
      <c:valAx>
        <c:axId val="213782494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93883522"/>
        <c:majorUnit val="0.06"/>
        <c:minorUnit val="0.03"/>
      </c:valAx>
      <c:spPr>
        <a:solidFill>
          <a:srgbClr val="FFFFFF"/>
        </a:solidFill>
      </c:spPr>
    </c:plotArea>
    <c:plotVisOnly val="0"/>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04"/>
          <c:y val="0.0368172"/>
          <c:w val="0.830682"/>
          <c:h val="0.88626"/>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'Cálculos'!$Q$34:$Q$38</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'Cálculos'!$R$34:$R$38</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'Cálculos'!$S$33:$S$38</c:f>
              <c:numCache/>
            </c:numRef>
          </c:val>
          <c:smooth val="0"/>
        </c:ser>
        <c:axId val="1896404693"/>
        <c:axId val="464437206"/>
      </c:lineChart>
      <c:catAx>
        <c:axId val="1896404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 sourceLinked="0"/>
        <c:majorTickMark val="cross"/>
        <c:minorTickMark val="none"/>
        <c:spPr/>
        <c:txPr>
          <a:bodyPr rot="0"/>
          <a:lstStyle/>
          <a:p>
            <a:pPr lvl="0">
              <a:defRPr b="0" i="0" sz="600">
                <a:solidFill>
                  <a:srgbClr val="000000"/>
                </a:solidFill>
                <a:latin typeface="Arial"/>
              </a:defRPr>
            </a:pPr>
          </a:p>
        </c:txPr>
        <c:crossAx val="464437206"/>
      </c:catAx>
      <c:valAx>
        <c:axId val="46443720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896404693"/>
        <c:majorUnit val="0.0030625"/>
        <c:minorUnit val="0.00153125"/>
      </c:valAx>
      <c:spPr>
        <a:solidFill>
          <a:srgbClr val="FFFFFF"/>
        </a:solidFill>
      </c:spPr>
    </c:plotArea>
    <c:plotVisOnly val="0"/>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64519"/>
          <c:w val="0.831127"/>
          <c:h val="0.887265"/>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'Cálculos'!$Q$49:$Q$53</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'Cálculos'!$R$49:$R$53</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'Cálculos'!$S$48:$S$53</c:f>
              <c:numCache/>
            </c:numRef>
          </c:val>
          <c:smooth val="0"/>
        </c:ser>
        <c:axId val="1072935290"/>
        <c:axId val="1503666967"/>
      </c:lineChart>
      <c:catAx>
        <c:axId val="10729352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cross"/>
        <c:minorTickMark val="none"/>
        <c:spPr/>
        <c:txPr>
          <a:bodyPr rot="0"/>
          <a:lstStyle/>
          <a:p>
            <a:pPr lvl="0">
              <a:defRPr b="0" i="0" sz="600">
                <a:solidFill>
                  <a:srgbClr val="000000"/>
                </a:solidFill>
                <a:latin typeface="Arial"/>
              </a:defRPr>
            </a:pPr>
          </a:p>
        </c:txPr>
        <c:crossAx val="1503666967"/>
      </c:catAx>
      <c:valAx>
        <c:axId val="150366696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072935290"/>
        <c:majorUnit val="0.009375"/>
        <c:minorUnit val="0.0046875"/>
      </c:valAx>
      <c:spPr>
        <a:solidFill>
          <a:srgbClr val="FFFFFF"/>
        </a:solidFill>
      </c:spPr>
    </c:plotArea>
    <c:plotVisOnly val="0"/>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6302"/>
          <c:w val="0.831127"/>
          <c:h val="0.884025"/>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'Cálculos'!$Q$64:$Q$68</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'Cálculos'!$R$64:$R$68</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'Cálculos'!$S$63:$S$68</c:f>
              <c:numCache/>
            </c:numRef>
          </c:val>
          <c:smooth val="0"/>
        </c:ser>
        <c:axId val="220380985"/>
        <c:axId val="1518097475"/>
      </c:lineChart>
      <c:catAx>
        <c:axId val="220380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1518097475"/>
      </c:catAx>
      <c:valAx>
        <c:axId val="151809747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220380985"/>
        <c:majorUnit val="0.125"/>
        <c:minorUnit val="0.0625"/>
      </c:valAx>
      <c:spPr>
        <a:solidFill>
          <a:srgbClr val="FFFFFF"/>
        </a:solidFill>
      </c:spPr>
    </c:plotArea>
    <c:plotVisOnly val="0"/>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5362"/>
          <c:w val="0.831127"/>
          <c:h val="0.884283"/>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'Cálculos'!$Q$79:$Q$83</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'Cálculos'!$R$79:$R$83</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'Cálculos'!$S$78:$S$83</c:f>
              <c:numCache/>
            </c:numRef>
          </c:val>
          <c:smooth val="0"/>
        </c:ser>
        <c:axId val="831814935"/>
        <c:axId val="1618953018"/>
      </c:lineChart>
      <c:catAx>
        <c:axId val="831814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1618953018"/>
      </c:catAx>
      <c:valAx>
        <c:axId val="161895301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831814935"/>
        <c:majorUnit val="0.13125"/>
        <c:minorUnit val="0.065625"/>
      </c:valAx>
      <c:spPr>
        <a:solidFill>
          <a:srgbClr val="FFFFFF"/>
        </a:solidFill>
      </c:spPr>
    </c:plotArea>
    <c:plotVisOnly val="0"/>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5362"/>
          <c:w val="0.831127"/>
          <c:h val="0.884283"/>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'Cálculos'!$Q$94:$Q$98</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'Cálculos'!$R$94:$R$98</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'Cálculos'!$S$93:$S$98</c:f>
              <c:numCache/>
            </c:numRef>
          </c:val>
          <c:smooth val="0"/>
        </c:ser>
        <c:axId val="241914364"/>
        <c:axId val="1537093605"/>
      </c:lineChart>
      <c:catAx>
        <c:axId val="2419143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 sourceLinked="0"/>
        <c:majorTickMark val="cross"/>
        <c:minorTickMark val="none"/>
        <c:spPr/>
        <c:txPr>
          <a:bodyPr rot="0"/>
          <a:lstStyle/>
          <a:p>
            <a:pPr lvl="0">
              <a:defRPr b="0" i="0" sz="600">
                <a:solidFill>
                  <a:srgbClr val="000000"/>
                </a:solidFill>
                <a:latin typeface="Arial"/>
              </a:defRPr>
            </a:pPr>
          </a:p>
        </c:txPr>
        <c:crossAx val="1537093605"/>
      </c:catAx>
      <c:valAx>
        <c:axId val="153709360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241914364"/>
        <c:majorUnit val="0.00525"/>
        <c:minorUnit val="0.002625"/>
      </c:valAx>
      <c:spPr>
        <a:solidFill>
          <a:srgbClr val="FFFFFF"/>
        </a:solidFill>
      </c:spPr>
    </c:plotArea>
    <c:plotVisOnly val="0"/>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5362"/>
          <c:w val="0.831127"/>
          <c:h val="0.884283"/>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'Cálculos'!$Q$109:$Q$113</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'Cálculos'!$R$109:$R$113</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'Cálculos'!$S$108:$S$113</c:f>
              <c:numCache/>
            </c:numRef>
          </c:val>
          <c:smooth val="0"/>
        </c:ser>
        <c:axId val="874591597"/>
        <c:axId val="359961855"/>
      </c:lineChart>
      <c:catAx>
        <c:axId val="874591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cross"/>
        <c:minorTickMark val="none"/>
        <c:spPr/>
        <c:txPr>
          <a:bodyPr rot="0"/>
          <a:lstStyle/>
          <a:p>
            <a:pPr lvl="0">
              <a:defRPr b="0" i="0" sz="600">
                <a:solidFill>
                  <a:srgbClr val="000000"/>
                </a:solidFill>
                <a:latin typeface="Arial"/>
              </a:defRPr>
            </a:pPr>
          </a:p>
        </c:txPr>
        <c:crossAx val="359961855"/>
      </c:catAx>
      <c:valAx>
        <c:axId val="35996185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874591597"/>
        <c:majorUnit val="0.015"/>
        <c:minorUnit val="0.0075"/>
      </c:valAx>
      <c:spPr>
        <a:solidFill>
          <a:srgbClr val="FFFFFF"/>
        </a:solidFill>
      </c:spPr>
    </c:plotArea>
    <c:plotVisOnly val="0"/>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3919"/>
          <c:w val="0.831127"/>
          <c:h val="0.88468"/>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'Cálculos'!$Q$124:$Q$128</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'Cálculos'!$R$124:$R$128</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'Cálculos'!$S$123:$S$128</c:f>
              <c:numCache/>
            </c:numRef>
          </c:val>
          <c:smooth val="0"/>
        </c:ser>
        <c:axId val="12765757"/>
        <c:axId val="1837869988"/>
      </c:lineChart>
      <c:catAx>
        <c:axId val="12765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1837869988"/>
      </c:catAx>
      <c:valAx>
        <c:axId val="183786998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2765757"/>
        <c:majorUnit val="0.09375"/>
        <c:minorUnit val="0.046875"/>
      </c:valAx>
      <c:spPr>
        <a:solidFill>
          <a:srgbClr val="FFFFFF"/>
        </a:solidFill>
      </c:spPr>
    </c:plotArea>
    <c:plotVisOnly val="0"/>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698"/>
          <c:y val="0.0373918"/>
          <c:w val="0.837441"/>
          <c:h val="0.88468"/>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'Cálculos'!$Q$140:$Q$144</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'Cálculos'!$R$140:$R$144</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'Cálculos'!$S$139:$S$144</c:f>
              <c:numCache/>
            </c:numRef>
          </c:val>
          <c:smooth val="0"/>
        </c:ser>
        <c:axId val="1041581553"/>
        <c:axId val="1013487126"/>
      </c:lineChart>
      <c:catAx>
        <c:axId val="1041581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1013487126"/>
      </c:catAx>
      <c:valAx>
        <c:axId val="101348712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041581553"/>
        <c:majorUnit val="0.035"/>
        <c:minorUnit val="0.0175"/>
      </c:valAx>
      <c:spPr>
        <a:solidFill>
          <a:srgbClr val="FFFFFF"/>
        </a:solidFill>
      </c:spPr>
    </c:plotArea>
    <c:plotVisOnly val="0"/>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5362"/>
          <c:w val="0.831127"/>
          <c:h val="0.884283"/>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'Cálculos'!$Q$155:$Q$159</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'Cálculos'!$R$155:$R$159</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'Cálculos'!$S$154:$S$159</c:f>
              <c:numCache/>
            </c:numRef>
          </c:val>
          <c:smooth val="0"/>
        </c:ser>
        <c:axId val="1984011550"/>
        <c:axId val="1725842051"/>
      </c:lineChart>
      <c:catAx>
        <c:axId val="1984011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1725842051"/>
      </c:catAx>
      <c:valAx>
        <c:axId val="17258420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984011550"/>
        <c:majorUnit val="0.0675"/>
        <c:minorUnit val="0.03375"/>
      </c:valAx>
      <c:spPr>
        <a:solidFill>
          <a:srgbClr val="FFFFFF"/>
        </a:solidFill>
      </c:spPr>
    </c:plotArea>
    <c:plotVisOnly val="0"/>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698"/>
          <c:y val="0.0375362"/>
          <c:w val="0.837441"/>
          <c:h val="0.884283"/>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'Cálculos'!$Q$170:$Q$174</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'Cálculos'!$R$170:$R$174</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'Cálculos'!$S$169:$S$174</c:f>
              <c:numCache/>
            </c:numRef>
          </c:val>
          <c:smooth val="0"/>
        </c:ser>
        <c:axId val="155710122"/>
        <c:axId val="723859680"/>
      </c:lineChart>
      <c:catAx>
        <c:axId val="155710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723859680"/>
      </c:catAx>
      <c:valAx>
        <c:axId val="72385968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55710122"/>
        <c:majorUnit val="0.09"/>
        <c:minorUnit val="0.045"/>
      </c:valAx>
      <c:spPr>
        <a:solidFill>
          <a:srgbClr val="FFFFFF"/>
        </a:solidFill>
      </c:spPr>
    </c:plotArea>
    <c:plotVisOnly val="0"/>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373412"/>
          <c:w val="0.831127"/>
          <c:h val="0.88482"/>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'Cálculos'!$Q$185:$Q$189</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'Cálculos'!$R$185:$R$189</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'Cálculos'!$S$184:$S$189</c:f>
              <c:numCache/>
            </c:numRef>
          </c:val>
          <c:smooth val="0"/>
        </c:ser>
        <c:axId val="1651506007"/>
        <c:axId val="1319748932"/>
      </c:lineChart>
      <c:catAx>
        <c:axId val="1651506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1319748932"/>
      </c:catAx>
      <c:valAx>
        <c:axId val="131974893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651506007"/>
        <c:majorUnit val="0.13125"/>
        <c:minorUnit val="0.065625"/>
      </c:valAx>
      <c:spPr>
        <a:solidFill>
          <a:srgbClr val="FFFFFF"/>
        </a:solidFill>
      </c:spPr>
    </c:plotArea>
    <c:plotVisOnly val="0"/>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269"/>
          <c:y val="0.0435945"/>
          <c:w val="0.831127"/>
          <c:h val="0.867624"/>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'Cálculos'!$Q$200:$Q$201</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'Cálculos'!$R$200:$R$201</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'Cálculos'!$S$199:$S$201</c:f>
              <c:numCache/>
            </c:numRef>
          </c:val>
          <c:smooth val="0"/>
        </c:ser>
        <c:axId val="70107965"/>
        <c:axId val="2017145328"/>
      </c:lineChart>
      <c:catAx>
        <c:axId val="701079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2017145328"/>
      </c:catAx>
      <c:valAx>
        <c:axId val="201714532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70107965"/>
        <c:majorUnit val="0.05"/>
        <c:minorUnit val="0.025"/>
      </c:valAx>
      <c:spPr>
        <a:solidFill>
          <a:srgbClr val="FFFFFF"/>
        </a:solidFill>
      </c:spPr>
    </c:plotArea>
    <c:plotVisOnly val="0"/>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0719"/>
          <c:y val="0.0375361"/>
          <c:w val="0.818781"/>
          <c:h val="0.884284"/>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'Cálculos'!$Q$215:$Q$217</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'Cálculos'!$R$215:$R$217</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'Cálculos'!$S$214:$S$217</c:f>
              <c:numCache/>
            </c:numRef>
          </c:val>
          <c:smooth val="0"/>
        </c:ser>
        <c:axId val="523621742"/>
        <c:axId val="2047086003"/>
      </c:lineChart>
      <c:catAx>
        <c:axId val="523621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 sourceLinked="0"/>
        <c:majorTickMark val="cross"/>
        <c:minorTickMark val="none"/>
        <c:spPr/>
        <c:txPr>
          <a:bodyPr rot="0"/>
          <a:lstStyle/>
          <a:p>
            <a:pPr lvl="0">
              <a:defRPr b="0" i="0" sz="600">
                <a:solidFill>
                  <a:srgbClr val="000000"/>
                </a:solidFill>
                <a:latin typeface="Arial"/>
              </a:defRPr>
            </a:pPr>
          </a:p>
        </c:txPr>
        <c:crossAx val="2047086003"/>
      </c:catAx>
      <c:valAx>
        <c:axId val="204708600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523621742"/>
        <c:majorUnit val="0.006125"/>
        <c:minorUnit val="0.0030625"/>
      </c:valAx>
      <c:spPr>
        <a:solidFill>
          <a:srgbClr val="FFFFFF"/>
        </a:solidFill>
      </c:spPr>
    </c:plotArea>
    <c:plotVisOnly val="0"/>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698"/>
          <c:y val="0.0375362"/>
          <c:w val="0.837441"/>
          <c:h val="0.884283"/>
        </c:manualLayout>
      </c:layout>
      <c:lineChart>
        <c:ser>
          <c:idx val="0"/>
          <c:order val="0"/>
          <c:tx>
            <c:v>Series3</c:v>
          </c:tx>
          <c:spPr>
            <a:ln cmpd="sng">
              <a:noFill/>
              <a:prstDash val="solid"/>
            </a:ln>
          </c:spPr>
          <c:marker>
            <c:symbol val="circle"/>
            <c:size val="3"/>
            <c:spPr>
              <a:solidFill>
                <a:srgbClr val="FF0000">
                  <a:alpha val="100000"/>
                </a:srgbClr>
              </a:solidFill>
              <a:ln cmpd="sng">
                <a:solidFill>
                  <a:srgbClr val="FF0000">
                    <a:alpha val="100000"/>
                  </a:srgbClr>
                </a:solidFill>
              </a:ln>
            </c:spPr>
          </c:marker>
          <c:val>
            <c:numRef>
              <c:f>'Cálculos'!$Q$230:$Q$231</c:f>
              <c:numCache/>
            </c:numRef>
          </c:val>
          <c:smooth val="0"/>
        </c:ser>
        <c:ser>
          <c:idx val="1"/>
          <c:order val="1"/>
          <c:tx>
            <c:v>Series4</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'Cálculos'!$R$230:$R$231</c:f>
              <c:numCache/>
            </c:numRef>
          </c:val>
          <c:smooth val="0"/>
        </c:ser>
        <c:ser>
          <c:idx val="2"/>
          <c:order val="2"/>
          <c:tx>
            <c:v>error -U</c:v>
          </c:tx>
          <c:spPr>
            <a:ln cmpd="sng" w="9525">
              <a:solidFill>
                <a:srgbClr val="1F497D">
                  <a:alpha val="100000"/>
                </a:srgbClr>
              </a:solidFill>
              <a:prstDash val="dashDot"/>
            </a:ln>
          </c:spPr>
          <c:marker>
            <c:symbol val="circle"/>
            <c:size val="2"/>
            <c:spPr>
              <a:solidFill>
                <a:srgbClr val="1F497D">
                  <a:alpha val="100000"/>
                </a:srgbClr>
              </a:solidFill>
              <a:ln cmpd="sng">
                <a:solidFill>
                  <a:srgbClr val="1F497D">
                    <a:alpha val="100000"/>
                  </a:srgbClr>
                </a:solidFill>
              </a:ln>
            </c:spPr>
          </c:marker>
          <c:val>
            <c:numRef>
              <c:f>'Cálculos'!$S$229:$S$231</c:f>
              <c:numCache/>
            </c:numRef>
          </c:val>
          <c:smooth val="0"/>
        </c:ser>
        <c:axId val="538798436"/>
        <c:axId val="1341157744"/>
      </c:lineChart>
      <c:catAx>
        <c:axId val="538798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cross"/>
        <c:minorTickMark val="none"/>
        <c:spPr/>
        <c:txPr>
          <a:bodyPr rot="0"/>
          <a:lstStyle/>
          <a:p>
            <a:pPr lvl="0">
              <a:defRPr b="0" i="0" sz="600">
                <a:solidFill>
                  <a:srgbClr val="000000"/>
                </a:solidFill>
                <a:latin typeface="Arial"/>
              </a:defRPr>
            </a:pPr>
          </a:p>
        </c:txPr>
        <c:crossAx val="1341157744"/>
      </c:catAx>
      <c:valAx>
        <c:axId val="134115774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538798436"/>
        <c:majorUnit val="0.001875"/>
        <c:minorUnit val="9.375E-4"/>
      </c:valAx>
      <c:spPr>
        <a:solidFill>
          <a:srgbClr val="FFFFFF"/>
        </a:solidFill>
      </c:spPr>
    </c:plotArea>
    <c:plotVisOnly val="0"/>
  </c:chart>
  <c:spPr>
    <a:solidFill>
      <a:srgbClr val="FFFFFF"/>
    </a:solidFill>
  </c:spPr>
</c:chartSpace>
</file>

<file path=xl/drawings/_rels/drawing3.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2</xdr:row>
      <xdr:rowOff>0</xdr:rowOff>
    </xdr:from>
    <xdr:ext cx="6086475" cy="952500"/>
    <xdr:grpSp>
      <xdr:nvGrpSpPr>
        <xdr:cNvPr id="2" name="Shape 2"/>
        <xdr:cNvGrpSpPr/>
      </xdr:nvGrpSpPr>
      <xdr:grpSpPr>
        <a:xfrm>
          <a:off x="2302762" y="3303750"/>
          <a:ext cx="6086476" cy="952501"/>
          <a:chOff x="2302762" y="3303750"/>
          <a:chExt cx="6086476" cy="952501"/>
        </a:xfrm>
      </xdr:grpSpPr>
      <xdr:grpSp>
        <xdr:nvGrpSpPr>
          <xdr:cNvPr id="3" name="Shape 3"/>
          <xdr:cNvGrpSpPr/>
        </xdr:nvGrpSpPr>
        <xdr:grpSpPr>
          <a:xfrm>
            <a:off x="2302762" y="3303750"/>
            <a:ext cx="6086476" cy="952501"/>
            <a:chOff x="-19050" y="0"/>
            <a:chExt cx="6089089" cy="956842"/>
          </a:xfrm>
        </xdr:grpSpPr>
        <xdr:sp>
          <xdr:nvSpPr>
            <xdr:cNvPr id="4" name="Shape 4"/>
            <xdr:cNvSpPr/>
          </xdr:nvSpPr>
          <xdr:spPr>
            <a:xfrm>
              <a:off x="-19049" y="0"/>
              <a:ext cx="6089075" cy="956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0" y="0"/>
              <a:ext cx="6050989" cy="956842"/>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6" name="Shape 6"/>
            <xdr:cNvSpPr txBox="1"/>
          </xdr:nvSpPr>
          <xdr:spPr>
            <a:xfrm>
              <a:off x="-19050" y="43137"/>
              <a:ext cx="6089089" cy="870568"/>
            </a:xfrm>
            <a:prstGeom prst="rect">
              <a:avLst/>
            </a:prstGeom>
            <a:noFill/>
            <a:ln>
              <a:noFill/>
            </a:ln>
          </xdr:spPr>
          <xdr:txBody>
            <a:bodyPr anchorCtr="0" anchor="ctr" bIns="0" lIns="0" spcFirstLastPara="1" rIns="0" wrap="square" tIns="0">
              <a:sp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t/>
              </a:r>
              <a:endParaRPr b="0" i="0" sz="12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7038975" cy="1581150"/>
    <xdr:sp>
      <xdr:nvSpPr>
        <xdr:cNvPr id="7" name="Shape 7"/>
        <xdr:cNvSpPr/>
      </xdr:nvSpPr>
      <xdr:spPr>
        <a:xfrm>
          <a:off x="1836038" y="2998950"/>
          <a:ext cx="7019925" cy="15621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171450</xdr:colOff>
      <xdr:row>9</xdr:row>
      <xdr:rowOff>190500</xdr:rowOff>
    </xdr:from>
    <xdr:ext cx="9410700" cy="2847975"/>
    <xdr:sp>
      <xdr:nvSpPr>
        <xdr:cNvPr id="8" name="Shape 8"/>
        <xdr:cNvSpPr/>
      </xdr:nvSpPr>
      <xdr:spPr>
        <a:xfrm>
          <a:off x="650175" y="2365538"/>
          <a:ext cx="9391650" cy="28289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35</xdr:row>
      <xdr:rowOff>85725</xdr:rowOff>
    </xdr:from>
    <xdr:ext cx="9486900" cy="1314450"/>
    <xdr:sp>
      <xdr:nvSpPr>
        <xdr:cNvPr id="9" name="Shape 9"/>
        <xdr:cNvSpPr/>
      </xdr:nvSpPr>
      <xdr:spPr>
        <a:xfrm>
          <a:off x="612075" y="3132300"/>
          <a:ext cx="9467850" cy="12954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45</xdr:row>
      <xdr:rowOff>47625</xdr:rowOff>
    </xdr:from>
    <xdr:ext cx="10020300" cy="1114425"/>
    <xdr:sp>
      <xdr:nvSpPr>
        <xdr:cNvPr id="10" name="Shape 10"/>
        <xdr:cNvSpPr/>
      </xdr:nvSpPr>
      <xdr:spPr>
        <a:xfrm>
          <a:off x="345375" y="3232313"/>
          <a:ext cx="10001250" cy="10953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19050</xdr:colOff>
      <xdr:row>53</xdr:row>
      <xdr:rowOff>76200</xdr:rowOff>
    </xdr:from>
    <xdr:ext cx="9867900" cy="409575"/>
    <xdr:sp>
      <xdr:nvSpPr>
        <xdr:cNvPr id="11" name="Shape 11"/>
        <xdr:cNvSpPr txBox="1"/>
      </xdr:nvSpPr>
      <xdr:spPr>
        <a:xfrm>
          <a:off x="412050" y="3579975"/>
          <a:ext cx="9867900"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171450</xdr:colOff>
      <xdr:row>53</xdr:row>
      <xdr:rowOff>76200</xdr:rowOff>
    </xdr:from>
    <xdr:ext cx="10191750" cy="38100"/>
    <xdr:grpSp>
      <xdr:nvGrpSpPr>
        <xdr:cNvPr id="2" name="Shape 2"/>
        <xdr:cNvGrpSpPr/>
      </xdr:nvGrpSpPr>
      <xdr:grpSpPr>
        <a:xfrm>
          <a:off x="250125" y="3780000"/>
          <a:ext cx="10191750" cy="0"/>
          <a:chOff x="250125" y="3780000"/>
          <a:chExt cx="10191750" cy="0"/>
        </a:xfrm>
      </xdr:grpSpPr>
      <xdr:cxnSp>
        <xdr:nvCxnSpPr>
          <xdr:cNvPr id="12" name="Shape 12"/>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6</xdr:col>
      <xdr:colOff>9525</xdr:colOff>
      <xdr:row>2</xdr:row>
      <xdr:rowOff>38100</xdr:rowOff>
    </xdr:from>
    <xdr:ext cx="4400550" cy="457200"/>
    <xdr:sp>
      <xdr:nvSpPr>
        <xdr:cNvPr id="13" name="Shape 13"/>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104775</xdr:colOff>
      <xdr:row>4</xdr:row>
      <xdr:rowOff>0</xdr:rowOff>
    </xdr:from>
    <xdr:ext cx="2781300" cy="1581150"/>
    <xdr:sp>
      <xdr:nvSpPr>
        <xdr:cNvPr id="14" name="Shape 14"/>
        <xdr:cNvSpPr/>
      </xdr:nvSpPr>
      <xdr:spPr>
        <a:xfrm>
          <a:off x="3964875" y="2998950"/>
          <a:ext cx="2762250" cy="15621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27</xdr:row>
      <xdr:rowOff>228600</xdr:rowOff>
    </xdr:from>
    <xdr:ext cx="9410700" cy="1038225"/>
    <xdr:sp>
      <xdr:nvSpPr>
        <xdr:cNvPr id="15" name="Shape 15"/>
        <xdr:cNvSpPr/>
      </xdr:nvSpPr>
      <xdr:spPr>
        <a:xfrm>
          <a:off x="650175" y="3270413"/>
          <a:ext cx="9391650" cy="10191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66675</xdr:colOff>
      <xdr:row>50</xdr:row>
      <xdr:rowOff>38100</xdr:rowOff>
    </xdr:from>
    <xdr:ext cx="10172700" cy="561975"/>
    <xdr:sp>
      <xdr:nvSpPr>
        <xdr:cNvPr id="16" name="Shape 16"/>
        <xdr:cNvSpPr txBox="1"/>
      </xdr:nvSpPr>
      <xdr:spPr>
        <a:xfrm>
          <a:off x="264413" y="3503775"/>
          <a:ext cx="10163175" cy="552450"/>
        </a:xfrm>
        <a:prstGeom prst="rect">
          <a:avLst/>
        </a:prstGeom>
        <a:noFill/>
        <a:ln>
          <a:noFill/>
        </a:ln>
      </xdr:spPr>
      <xdr:txBody>
        <a:bodyPr anchorCtr="0" anchor="t"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y son aplicables solamente al item sometido a dicho proceso.  El presente certificado de calibración tiene validez únicamente en su forma integra y original. Esta prohibida la reproducción parcial o total de este  documento.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838200</xdr:colOff>
      <xdr:row>13</xdr:row>
      <xdr:rowOff>171450</xdr:rowOff>
    </xdr:from>
    <xdr:ext cx="2800350" cy="19812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828675</xdr:colOff>
      <xdr:row>28</xdr:row>
      <xdr:rowOff>123825</xdr:rowOff>
    </xdr:from>
    <xdr:ext cx="2809875" cy="20002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819150</xdr:colOff>
      <xdr:row>43</xdr:row>
      <xdr:rowOff>133350</xdr:rowOff>
    </xdr:from>
    <xdr:ext cx="2819400" cy="20288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819150</xdr:colOff>
      <xdr:row>78</xdr:row>
      <xdr:rowOff>133350</xdr:rowOff>
    </xdr:from>
    <xdr:ext cx="2819400" cy="196215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819150</xdr:colOff>
      <xdr:row>93</xdr:row>
      <xdr:rowOff>114300</xdr:rowOff>
    </xdr:from>
    <xdr:ext cx="2819400" cy="196215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819150</xdr:colOff>
      <xdr:row>108</xdr:row>
      <xdr:rowOff>104775</xdr:rowOff>
    </xdr:from>
    <xdr:ext cx="2819400" cy="1962150"/>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819150</xdr:colOff>
      <xdr:row>143</xdr:row>
      <xdr:rowOff>95250</xdr:rowOff>
    </xdr:from>
    <xdr:ext cx="2819400" cy="1962150"/>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819150</xdr:colOff>
      <xdr:row>158</xdr:row>
      <xdr:rowOff>85725</xdr:rowOff>
    </xdr:from>
    <xdr:ext cx="2819400" cy="1962150"/>
    <xdr:graphicFrame>
      <xdr:nvGraphicFramePr>
        <xdr:cNvPr id="8"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819150</xdr:colOff>
      <xdr:row>173</xdr:row>
      <xdr:rowOff>76200</xdr:rowOff>
    </xdr:from>
    <xdr:ext cx="2790825" cy="1962150"/>
    <xdr:graphicFrame>
      <xdr:nvGraphicFramePr>
        <xdr:cNvPr id="9"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819150</xdr:colOff>
      <xdr:row>208</xdr:row>
      <xdr:rowOff>57150</xdr:rowOff>
    </xdr:from>
    <xdr:ext cx="2819400" cy="1952625"/>
    <xdr:graphicFrame>
      <xdr:nvGraphicFramePr>
        <xdr:cNvPr id="10" name="Chart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7</xdr:col>
      <xdr:colOff>819150</xdr:colOff>
      <xdr:row>223</xdr:row>
      <xdr:rowOff>47625</xdr:rowOff>
    </xdr:from>
    <xdr:ext cx="2790825" cy="1952625"/>
    <xdr:graphicFrame>
      <xdr:nvGraphicFramePr>
        <xdr:cNvPr id="11" name="Chart 11"/>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7</xdr:col>
      <xdr:colOff>819150</xdr:colOff>
      <xdr:row>238</xdr:row>
      <xdr:rowOff>38100</xdr:rowOff>
    </xdr:from>
    <xdr:ext cx="2819400" cy="1971675"/>
    <xdr:graphicFrame>
      <xdr:nvGraphicFramePr>
        <xdr:cNvPr id="12" name="Chart 12"/>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7</xdr:col>
      <xdr:colOff>819150</xdr:colOff>
      <xdr:row>273</xdr:row>
      <xdr:rowOff>152400</xdr:rowOff>
    </xdr:from>
    <xdr:ext cx="2819400" cy="1695450"/>
    <xdr:graphicFrame>
      <xdr:nvGraphicFramePr>
        <xdr:cNvPr id="13" name="Chart 13"/>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7</xdr:col>
      <xdr:colOff>819150</xdr:colOff>
      <xdr:row>289</xdr:row>
      <xdr:rowOff>19050</xdr:rowOff>
    </xdr:from>
    <xdr:ext cx="2857500" cy="1952625"/>
    <xdr:graphicFrame>
      <xdr:nvGraphicFramePr>
        <xdr:cNvPr id="14" name="Chart 14"/>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7</xdr:col>
      <xdr:colOff>819150</xdr:colOff>
      <xdr:row>304</xdr:row>
      <xdr:rowOff>0</xdr:rowOff>
    </xdr:from>
    <xdr:ext cx="2790825" cy="1952625"/>
    <xdr:graphicFrame>
      <xdr:nvGraphicFramePr>
        <xdr:cNvPr id="15" name="Chart 15"/>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2</xdr:col>
      <xdr:colOff>342900</xdr:colOff>
      <xdr:row>318</xdr:row>
      <xdr:rowOff>66675</xdr:rowOff>
    </xdr:from>
    <xdr:ext cx="7620000" cy="371475"/>
    <xdr:sp>
      <xdr:nvSpPr>
        <xdr:cNvPr id="17" name="Shape 17"/>
        <xdr:cNvSpPr txBox="1"/>
      </xdr:nvSpPr>
      <xdr:spPr>
        <a:xfrm>
          <a:off x="1540763" y="3599025"/>
          <a:ext cx="7610475"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2</xdr:col>
      <xdr:colOff>371475</xdr:colOff>
      <xdr:row>320</xdr:row>
      <xdr:rowOff>85725</xdr:rowOff>
    </xdr:from>
    <xdr:ext cx="7639050" cy="371475"/>
    <xdr:sp>
      <xdr:nvSpPr>
        <xdr:cNvPr id="18" name="Shape 18"/>
        <xdr:cNvSpPr txBox="1"/>
      </xdr:nvSpPr>
      <xdr:spPr>
        <a:xfrm>
          <a:off x="1531238" y="3599025"/>
          <a:ext cx="7629525"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0</xdr:rowOff>
    </xdr:from>
    <xdr:ext cx="5324475" cy="8420100"/>
    <xdr:grpSp>
      <xdr:nvGrpSpPr>
        <xdr:cNvPr id="2" name="Shape 2"/>
        <xdr:cNvGrpSpPr/>
      </xdr:nvGrpSpPr>
      <xdr:grpSpPr>
        <a:xfrm>
          <a:off x="2683763" y="-1"/>
          <a:ext cx="5324475" cy="7560001"/>
          <a:chOff x="2683763" y="-1"/>
          <a:chExt cx="5324475" cy="7560001"/>
        </a:xfrm>
      </xdr:grpSpPr>
      <xdr:grpSp>
        <xdr:nvGrpSpPr>
          <xdr:cNvPr id="19" name="Shape 19"/>
          <xdr:cNvGrpSpPr/>
        </xdr:nvGrpSpPr>
        <xdr:grpSpPr>
          <a:xfrm>
            <a:off x="2683763" y="-1"/>
            <a:ext cx="5324475" cy="7560001"/>
            <a:chOff x="-6350" y="-459663"/>
            <a:chExt cx="5334000" cy="8423039"/>
          </a:xfrm>
        </xdr:grpSpPr>
        <xdr:sp>
          <xdr:nvSpPr>
            <xdr:cNvPr id="4" name="Shape 4"/>
            <xdr:cNvSpPr/>
          </xdr:nvSpPr>
          <xdr:spPr>
            <a:xfrm>
              <a:off x="-6350" y="-459662"/>
              <a:ext cx="5334000" cy="8423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0" name="Shape 20"/>
            <xdr:cNvSpPr/>
          </xdr:nvSpPr>
          <xdr:spPr>
            <a:xfrm>
              <a:off x="0" y="0"/>
              <a:ext cx="5321300" cy="7963376"/>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21" name="Shape 21"/>
            <xdr:cNvSpPr txBox="1"/>
          </xdr:nvSpPr>
          <xdr:spPr>
            <a:xfrm>
              <a:off x="-6350" y="-459663"/>
              <a:ext cx="5334000" cy="7242900"/>
            </a:xfrm>
            <a:prstGeom prst="rect">
              <a:avLst/>
            </a:prstGeom>
            <a:noFill/>
            <a:ln>
              <a:noFill/>
            </a:ln>
          </xdr:spPr>
          <xdr:txBody>
            <a:bodyPr anchorCtr="0" anchor="t" bIns="0" lIns="0" spcFirstLastPara="1" rIns="0" wrap="square" tIns="0">
              <a:sp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grpSp>
    </xdr:grpSp>
    <xdr:clientData fLocksWithSheet="0"/>
  </xdr:oneCellAnchor>
  <xdr:oneCellAnchor>
    <xdr:from>
      <xdr:col>1</xdr:col>
      <xdr:colOff>762000</xdr:colOff>
      <xdr:row>0</xdr:row>
      <xdr:rowOff>0</xdr:rowOff>
    </xdr:from>
    <xdr:ext cx="3943350" cy="371475"/>
    <xdr:grpSp>
      <xdr:nvGrpSpPr>
        <xdr:cNvPr id="2" name="Shape 2"/>
        <xdr:cNvGrpSpPr/>
      </xdr:nvGrpSpPr>
      <xdr:grpSpPr>
        <a:xfrm>
          <a:off x="3374325" y="3594262"/>
          <a:ext cx="3943350" cy="371477"/>
          <a:chOff x="3374325" y="3594262"/>
          <a:chExt cx="3943350" cy="371477"/>
        </a:xfrm>
      </xdr:grpSpPr>
      <xdr:grpSp>
        <xdr:nvGrpSpPr>
          <xdr:cNvPr id="22" name="Shape 22"/>
          <xdr:cNvGrpSpPr/>
        </xdr:nvGrpSpPr>
        <xdr:grpSpPr>
          <a:xfrm>
            <a:off x="3374325" y="3594262"/>
            <a:ext cx="3943350" cy="371477"/>
            <a:chOff x="-6350" y="-2104"/>
            <a:chExt cx="3949700" cy="374532"/>
          </a:xfrm>
        </xdr:grpSpPr>
        <xdr:sp>
          <xdr:nvSpPr>
            <xdr:cNvPr id="4" name="Shape 4"/>
            <xdr:cNvSpPr/>
          </xdr:nvSpPr>
          <xdr:spPr>
            <a:xfrm>
              <a:off x="-6350" y="-2103"/>
              <a:ext cx="3949700" cy="374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0" y="-1"/>
              <a:ext cx="3937000" cy="372429"/>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24" name="Shape 24"/>
            <xdr:cNvSpPr txBox="1"/>
          </xdr:nvSpPr>
          <xdr:spPr>
            <a:xfrm>
              <a:off x="-6350" y="-2104"/>
              <a:ext cx="3949700" cy="226992"/>
            </a:xfrm>
            <a:prstGeom prst="rect">
              <a:avLst/>
            </a:prstGeom>
            <a:noFill/>
            <a:ln>
              <a:noFill/>
            </a:ln>
          </xdr:spPr>
          <xdr:txBody>
            <a:bodyPr anchorCtr="0" anchor="t" bIns="0" lIns="0" spcFirstLastPara="1" rIns="0" wrap="square" tIns="0">
              <a:sp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grpSp>
    </xdr:grpSp>
    <xdr:clientData fLocksWithSheet="0"/>
  </xdr:oneCellAnchor>
  <xdr:oneCellAnchor>
    <xdr:from>
      <xdr:col>0</xdr:col>
      <xdr:colOff>95250</xdr:colOff>
      <xdr:row>0</xdr:row>
      <xdr:rowOff>66675</xdr:rowOff>
    </xdr:from>
    <xdr:ext cx="1095375" cy="628650"/>
    <xdr:pic>
      <xdr:nvPicPr>
        <xdr:cNvPr descr="Picture 7"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7</xdr:row>
      <xdr:rowOff>0</xdr:rowOff>
    </xdr:from>
    <xdr:ext cx="952500" cy="800100"/>
    <xdr:pic>
      <xdr:nvPicPr>
        <xdr:cNvPr descr="Imagen 11"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6.5"/>
    <col customWidth="1" min="18" max="18" width="7.8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2"/>
      <c r="AP1" s="2"/>
      <c r="AQ1" s="4"/>
    </row>
    <row r="2" ht="12.75" hidden="1" customHeight="1">
      <c r="A2" s="5"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2"/>
      <c r="AP2" s="2"/>
      <c r="AQ2" s="4"/>
    </row>
    <row r="3" ht="12.75" customHeight="1">
      <c r="A3" s="6"/>
      <c r="B3" s="7"/>
      <c r="C3" s="7"/>
      <c r="D3" s="7"/>
      <c r="E3" s="7"/>
      <c r="F3" s="7"/>
      <c r="G3" s="7"/>
      <c r="H3" s="7"/>
      <c r="I3" s="7"/>
      <c r="J3" s="7"/>
      <c r="K3" s="7"/>
      <c r="L3" s="7"/>
      <c r="M3" s="7"/>
      <c r="N3" s="7"/>
      <c r="O3" s="7"/>
      <c r="P3" s="7"/>
      <c r="Q3" s="7"/>
      <c r="R3" s="7"/>
      <c r="S3" s="7"/>
      <c r="T3" s="7"/>
      <c r="U3" s="7"/>
      <c r="V3" s="7"/>
      <c r="W3" s="7"/>
      <c r="X3" s="7"/>
      <c r="Y3" s="7"/>
      <c r="Z3" s="7"/>
      <c r="AA3" s="7"/>
      <c r="AB3" s="7"/>
      <c r="AC3" s="8"/>
      <c r="AD3" s="9"/>
      <c r="AE3" s="10"/>
      <c r="AF3" s="10"/>
      <c r="AG3" s="10"/>
      <c r="AH3" s="10"/>
      <c r="AI3" s="10"/>
      <c r="AJ3" s="10"/>
      <c r="AK3" s="10"/>
      <c r="AL3" s="10"/>
      <c r="AM3" s="10"/>
      <c r="AN3" s="11"/>
      <c r="AO3" s="12" t="s">
        <v>1</v>
      </c>
      <c r="AP3" s="13" t="s">
        <v>2</v>
      </c>
      <c r="AQ3" s="14"/>
    </row>
    <row r="4" ht="12.75" customHeight="1">
      <c r="A4" s="15"/>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7"/>
      <c r="AD4" s="18"/>
      <c r="AE4" s="19"/>
      <c r="AF4" s="19"/>
      <c r="AG4" s="19"/>
      <c r="AH4" s="19"/>
      <c r="AI4" s="19"/>
      <c r="AJ4" s="19"/>
      <c r="AK4" s="19"/>
      <c r="AL4" s="19"/>
      <c r="AM4" s="19"/>
      <c r="AN4" s="20"/>
      <c r="AO4" s="21" t="s">
        <v>1</v>
      </c>
      <c r="AP4" s="22" t="s">
        <v>3</v>
      </c>
      <c r="AQ4" s="23" t="s">
        <v>4</v>
      </c>
    </row>
    <row r="5" ht="12.75"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7"/>
      <c r="AD5" s="24"/>
      <c r="AE5" s="25"/>
      <c r="AF5" s="26"/>
      <c r="AG5" s="26"/>
      <c r="AH5" s="27"/>
      <c r="AI5" s="28"/>
      <c r="AJ5" s="29"/>
      <c r="AK5" s="30"/>
      <c r="AL5" s="30"/>
      <c r="AM5" s="30"/>
      <c r="AN5" s="31"/>
      <c r="AO5" s="32"/>
      <c r="AP5" s="33"/>
      <c r="AQ5" s="23" t="s">
        <v>5</v>
      </c>
    </row>
    <row r="6" ht="12.75" customHeight="1">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7"/>
      <c r="AD6" s="34"/>
      <c r="AE6" s="28"/>
      <c r="AF6" s="28"/>
      <c r="AG6" s="28"/>
      <c r="AH6" s="27"/>
      <c r="AI6" s="28"/>
      <c r="AJ6" s="29"/>
      <c r="AK6" s="29"/>
      <c r="AL6" s="29"/>
      <c r="AM6" s="29"/>
      <c r="AN6" s="35"/>
      <c r="AO6" s="21" t="s">
        <v>6</v>
      </c>
      <c r="AP6" s="33"/>
      <c r="AQ6" s="36"/>
    </row>
    <row r="7" ht="12.75" customHeight="1">
      <c r="A7" s="15"/>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7"/>
      <c r="AD7" s="37"/>
      <c r="AE7" s="28"/>
      <c r="AF7" s="38"/>
      <c r="AG7" s="38"/>
      <c r="AH7" s="38"/>
      <c r="AI7" s="38"/>
      <c r="AJ7" s="39"/>
      <c r="AK7" s="39"/>
      <c r="AL7" s="39"/>
      <c r="AM7" s="40"/>
      <c r="AN7" s="41"/>
      <c r="AO7" s="32"/>
      <c r="AP7" s="33"/>
      <c r="AQ7" s="36"/>
    </row>
    <row r="8" ht="12.7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7"/>
      <c r="AD8" s="37"/>
      <c r="AE8" s="28"/>
      <c r="AF8" s="38"/>
      <c r="AG8" s="38"/>
      <c r="AH8" s="38"/>
      <c r="AI8" s="38"/>
      <c r="AJ8" s="39"/>
      <c r="AK8" s="39"/>
      <c r="AL8" s="39"/>
      <c r="AM8" s="40"/>
      <c r="AN8" s="41"/>
      <c r="AO8" s="32"/>
      <c r="AP8" s="33"/>
      <c r="AQ8" s="36"/>
    </row>
    <row r="9" ht="13.5" customHeight="1">
      <c r="A9" s="15"/>
      <c r="B9" s="42"/>
      <c r="C9" s="42"/>
      <c r="D9" s="42"/>
      <c r="E9" s="42"/>
      <c r="F9" s="42"/>
      <c r="G9" s="42"/>
      <c r="H9" s="42"/>
      <c r="I9" s="42"/>
      <c r="J9" s="42"/>
      <c r="K9" s="42"/>
      <c r="L9" s="42"/>
      <c r="M9" s="42"/>
      <c r="N9" s="42"/>
      <c r="O9" s="42"/>
      <c r="P9" s="16"/>
      <c r="Q9" s="16"/>
      <c r="R9" s="16"/>
      <c r="S9" s="16"/>
      <c r="T9" s="16"/>
      <c r="U9" s="16"/>
      <c r="V9" s="16"/>
      <c r="W9" s="16"/>
      <c r="X9" s="16"/>
      <c r="Y9" s="16"/>
      <c r="Z9" s="16"/>
      <c r="AA9" s="16"/>
      <c r="AB9" s="16"/>
      <c r="AC9" s="16"/>
      <c r="AD9" s="29"/>
      <c r="AE9" s="28"/>
      <c r="AF9" s="38"/>
      <c r="AG9" s="38"/>
      <c r="AH9" s="38"/>
      <c r="AI9" s="38"/>
      <c r="AJ9" s="39"/>
      <c r="AK9" s="39"/>
      <c r="AL9" s="39"/>
      <c r="AM9" s="40"/>
      <c r="AN9" s="43"/>
      <c r="AO9" s="33"/>
      <c r="AP9" s="33"/>
      <c r="AQ9" s="36"/>
    </row>
    <row r="10" ht="39.75" customHeight="1">
      <c r="A10" s="44"/>
      <c r="B10" s="45" t="s">
        <v>7</v>
      </c>
      <c r="C10" s="46"/>
      <c r="D10" s="46"/>
      <c r="E10" s="46"/>
      <c r="F10" s="46"/>
      <c r="G10" s="46"/>
      <c r="H10" s="46"/>
      <c r="I10" s="46"/>
      <c r="J10" s="46"/>
      <c r="K10" s="46"/>
      <c r="L10" s="46"/>
      <c r="M10" s="46"/>
      <c r="N10" s="46"/>
      <c r="O10" s="47"/>
      <c r="P10" s="48"/>
      <c r="Q10" s="16"/>
      <c r="R10" s="16"/>
      <c r="S10" s="16"/>
      <c r="T10" s="16"/>
      <c r="U10" s="16"/>
      <c r="V10" s="16"/>
      <c r="W10" s="16"/>
      <c r="X10" s="16"/>
      <c r="Y10" s="16"/>
      <c r="Z10" s="16"/>
      <c r="AA10" s="16"/>
      <c r="AB10" s="16"/>
      <c r="AC10" s="16"/>
      <c r="AD10" s="29"/>
      <c r="AE10" s="28"/>
      <c r="AF10" s="38"/>
      <c r="AG10" s="38"/>
      <c r="AH10" s="38"/>
      <c r="AI10" s="38"/>
      <c r="AJ10" s="39"/>
      <c r="AK10" s="39"/>
      <c r="AL10" s="39"/>
      <c r="AM10" s="40"/>
      <c r="AN10" s="43"/>
      <c r="AO10" s="33"/>
      <c r="AP10" s="33"/>
      <c r="AQ10" s="36"/>
    </row>
    <row r="11" ht="13.5" customHeight="1">
      <c r="A11" s="44"/>
      <c r="B11" s="49" t="s">
        <v>8</v>
      </c>
      <c r="C11" s="50">
        <v>0.0</v>
      </c>
      <c r="D11" s="51" t="s">
        <v>9</v>
      </c>
      <c r="E11" s="50">
        <v>600.0</v>
      </c>
      <c r="F11" s="52"/>
      <c r="G11" s="53"/>
      <c r="H11" s="53"/>
      <c r="I11" s="53"/>
      <c r="J11" s="53"/>
      <c r="K11" s="53"/>
      <c r="L11" s="53"/>
      <c r="M11" s="53"/>
      <c r="N11" s="53"/>
      <c r="O11" s="54"/>
      <c r="P11" s="48"/>
      <c r="Q11" s="16"/>
      <c r="R11" s="16"/>
      <c r="S11" s="16"/>
      <c r="T11" s="16"/>
      <c r="U11" s="16"/>
      <c r="V11" s="16"/>
      <c r="W11" s="16"/>
      <c r="X11" s="16"/>
      <c r="Y11" s="16"/>
      <c r="Z11" s="16"/>
      <c r="AA11" s="16"/>
      <c r="AB11" s="16"/>
      <c r="AC11" s="16"/>
      <c r="AD11" s="55"/>
      <c r="AE11" s="56"/>
      <c r="AF11" s="57"/>
      <c r="AG11" s="57"/>
      <c r="AH11" s="57"/>
      <c r="AI11" s="57"/>
      <c r="AJ11" s="58"/>
      <c r="AK11" s="58"/>
      <c r="AL11" s="58"/>
      <c r="AM11" s="59"/>
      <c r="AN11" s="60"/>
      <c r="AO11" s="16"/>
      <c r="AP11" s="16"/>
      <c r="AQ11" s="61"/>
    </row>
    <row r="12" ht="13.5" customHeight="1">
      <c r="A12" s="44"/>
      <c r="B12" s="62" t="s">
        <v>10</v>
      </c>
      <c r="C12" s="63">
        <v>0.1</v>
      </c>
      <c r="D12" s="64"/>
      <c r="E12" s="65"/>
      <c r="F12" s="66"/>
      <c r="G12" s="67"/>
      <c r="H12" s="68" t="s">
        <v>11</v>
      </c>
      <c r="I12" s="69"/>
      <c r="J12" s="70"/>
      <c r="K12" s="66"/>
      <c r="L12" s="66"/>
      <c r="M12" s="66"/>
      <c r="N12" s="66"/>
      <c r="O12" s="71"/>
      <c r="P12" s="48"/>
      <c r="Q12" s="16"/>
      <c r="R12" s="16"/>
      <c r="S12" s="16"/>
      <c r="T12" s="16"/>
      <c r="U12" s="16"/>
      <c r="V12" s="16"/>
      <c r="W12" s="16"/>
      <c r="X12" s="16"/>
      <c r="Y12" s="16"/>
      <c r="Z12" s="16"/>
      <c r="AA12" s="16"/>
      <c r="AB12" s="16"/>
      <c r="AC12" s="16"/>
      <c r="AD12" s="55"/>
      <c r="AE12" s="56"/>
      <c r="AF12" s="57"/>
      <c r="AG12" s="57"/>
      <c r="AH12" s="57"/>
      <c r="AI12" s="57"/>
      <c r="AJ12" s="58"/>
      <c r="AK12" s="58"/>
      <c r="AL12" s="58"/>
      <c r="AM12" s="59"/>
      <c r="AN12" s="60"/>
      <c r="AO12" s="16"/>
      <c r="AP12" s="16"/>
      <c r="AQ12" s="61"/>
    </row>
    <row r="13" ht="13.5" customHeight="1">
      <c r="A13" s="44"/>
      <c r="B13" s="72" t="s">
        <v>12</v>
      </c>
      <c r="C13" s="73" t="s">
        <v>13</v>
      </c>
      <c r="D13" s="74" t="s">
        <v>14</v>
      </c>
      <c r="E13" s="75">
        <f t="array" ref="E13">MAX(Q19:Q23)</f>
        <v>0.1</v>
      </c>
      <c r="F13" s="76" t="str">
        <f t="array" ref="F13">C13</f>
        <v>mV</v>
      </c>
      <c r="G13" s="67"/>
      <c r="H13" s="68" t="s">
        <v>15</v>
      </c>
      <c r="I13" s="77" t="s">
        <v>16</v>
      </c>
      <c r="J13" s="78"/>
      <c r="K13" s="79"/>
      <c r="L13" s="66"/>
      <c r="M13" s="66"/>
      <c r="N13" s="66"/>
      <c r="O13" s="71"/>
      <c r="P13" s="48"/>
      <c r="Q13" s="16"/>
      <c r="R13" s="16"/>
      <c r="S13" s="16"/>
      <c r="T13" s="16"/>
      <c r="U13" s="16"/>
      <c r="V13" s="16"/>
      <c r="W13" s="16"/>
      <c r="X13" s="16"/>
      <c r="Y13" s="16"/>
      <c r="Z13" s="16"/>
      <c r="AA13" s="16"/>
      <c r="AB13" s="16"/>
      <c r="AC13" s="16"/>
      <c r="AD13" s="55"/>
      <c r="AE13" s="56"/>
      <c r="AF13" s="57"/>
      <c r="AG13" s="57"/>
      <c r="AH13" s="57"/>
      <c r="AI13" s="57"/>
      <c r="AJ13" s="58"/>
      <c r="AK13" s="58"/>
      <c r="AL13" s="58"/>
      <c r="AM13" s="59"/>
      <c r="AN13" s="60"/>
      <c r="AO13" s="16"/>
      <c r="AP13" s="16"/>
      <c r="AQ13" s="61"/>
    </row>
    <row r="14" ht="12.75" customHeight="1">
      <c r="A14" s="44"/>
      <c r="B14" s="80"/>
      <c r="C14" s="65"/>
      <c r="D14" s="76" t="s">
        <v>17</v>
      </c>
      <c r="E14" s="81">
        <f t="array" ref="E14">MAX(O19:O23)</f>
        <v>0.05776384567</v>
      </c>
      <c r="F14" s="76" t="str">
        <f t="array" ref="F14">C13</f>
        <v>mV</v>
      </c>
      <c r="G14" s="67"/>
      <c r="H14" s="82"/>
      <c r="I14" s="68" t="s">
        <v>18</v>
      </c>
      <c r="J14" s="82"/>
      <c r="K14" s="79"/>
      <c r="L14" s="66"/>
      <c r="M14" s="66"/>
      <c r="N14" s="66"/>
      <c r="O14" s="71"/>
      <c r="P14" s="48"/>
      <c r="Q14" s="16"/>
      <c r="R14" s="16"/>
      <c r="S14" s="16"/>
      <c r="T14" s="16"/>
      <c r="U14" s="16"/>
      <c r="V14" s="16"/>
      <c r="W14" s="16"/>
      <c r="X14" s="16"/>
      <c r="Y14" s="16"/>
      <c r="Z14" s="16"/>
      <c r="AA14" s="16"/>
      <c r="AB14" s="16"/>
      <c r="AC14" s="16"/>
      <c r="AD14" s="55"/>
      <c r="AE14" s="56"/>
      <c r="AF14" s="57"/>
      <c r="AG14" s="57"/>
      <c r="AH14" s="57"/>
      <c r="AI14" s="57"/>
      <c r="AJ14" s="58"/>
      <c r="AK14" s="58"/>
      <c r="AL14" s="58"/>
      <c r="AM14" s="59"/>
      <c r="AN14" s="60"/>
      <c r="AO14" s="16"/>
      <c r="AP14" s="16"/>
      <c r="AQ14" s="61"/>
    </row>
    <row r="15" ht="12.75" customHeight="1">
      <c r="A15" s="44"/>
      <c r="B15" s="83"/>
      <c r="C15" s="66"/>
      <c r="D15" s="66"/>
      <c r="E15" s="66"/>
      <c r="F15" s="66"/>
      <c r="G15" s="67"/>
      <c r="H15" s="82"/>
      <c r="I15" s="68" t="s">
        <v>19</v>
      </c>
      <c r="J15" s="82"/>
      <c r="K15" s="79"/>
      <c r="L15" s="66"/>
      <c r="M15" s="66"/>
      <c r="N15" s="66"/>
      <c r="O15" s="84"/>
      <c r="P15" s="48"/>
      <c r="Q15" s="16"/>
      <c r="R15" s="16"/>
      <c r="S15" s="16"/>
      <c r="T15" s="16"/>
      <c r="U15" s="16"/>
      <c r="V15" s="16"/>
      <c r="W15" s="16"/>
      <c r="X15" s="16"/>
      <c r="Y15" s="16"/>
      <c r="Z15" s="16"/>
      <c r="AA15" s="16"/>
      <c r="AB15" s="16"/>
      <c r="AC15" s="16"/>
      <c r="AD15" s="55"/>
      <c r="AE15" s="56"/>
      <c r="AF15" s="57"/>
      <c r="AG15" s="57"/>
      <c r="AH15" s="57"/>
      <c r="AI15" s="57"/>
      <c r="AJ15" s="58"/>
      <c r="AK15" s="58"/>
      <c r="AL15" s="58"/>
      <c r="AM15" s="59"/>
      <c r="AN15" s="60"/>
      <c r="AO15" s="16"/>
      <c r="AP15" s="16"/>
      <c r="AQ15" s="61"/>
    </row>
    <row r="16" ht="12.75" customHeight="1">
      <c r="A16" s="44"/>
      <c r="B16" s="85" t="s">
        <v>20</v>
      </c>
      <c r="C16" s="69"/>
      <c r="D16" s="70"/>
      <c r="E16" s="70"/>
      <c r="F16" s="70"/>
      <c r="G16" s="86"/>
      <c r="H16" s="87" t="s">
        <v>21</v>
      </c>
      <c r="I16" s="88">
        <v>5502.0</v>
      </c>
      <c r="J16" s="88"/>
      <c r="K16" s="69"/>
      <c r="L16" s="70"/>
      <c r="M16" s="70"/>
      <c r="N16" s="86"/>
      <c r="O16" s="89" t="s">
        <v>22</v>
      </c>
      <c r="P16" s="48"/>
      <c r="Q16" s="16"/>
      <c r="R16" s="16"/>
      <c r="S16" s="16"/>
      <c r="T16" s="16"/>
      <c r="U16" s="16"/>
      <c r="V16" s="16"/>
      <c r="W16" s="16"/>
      <c r="X16" s="16"/>
      <c r="Y16" s="16"/>
      <c r="Z16" s="16"/>
      <c r="AA16" s="16"/>
      <c r="AB16" s="16"/>
      <c r="AC16" s="16"/>
      <c r="AD16" s="55"/>
      <c r="AE16" s="56"/>
      <c r="AF16" s="57"/>
      <c r="AG16" s="57"/>
      <c r="AH16" s="57"/>
      <c r="AI16" s="57"/>
      <c r="AJ16" s="58"/>
      <c r="AK16" s="58"/>
      <c r="AL16" s="58"/>
      <c r="AM16" s="59"/>
      <c r="AN16" s="60"/>
      <c r="AO16" s="16"/>
      <c r="AP16" s="16"/>
      <c r="AQ16" s="61"/>
    </row>
    <row r="17" ht="12.75" customHeight="1">
      <c r="A17" s="44"/>
      <c r="B17" s="90" t="s">
        <v>23</v>
      </c>
      <c r="C17" s="77" t="s">
        <v>24</v>
      </c>
      <c r="D17" s="77" t="s">
        <v>25</v>
      </c>
      <c r="E17" s="77" t="s">
        <v>26</v>
      </c>
      <c r="F17" s="77" t="s">
        <v>27</v>
      </c>
      <c r="G17" s="77" t="s">
        <v>28</v>
      </c>
      <c r="H17" s="77" t="s">
        <v>29</v>
      </c>
      <c r="I17" s="77" t="s">
        <v>30</v>
      </c>
      <c r="J17" s="77" t="s">
        <v>31</v>
      </c>
      <c r="K17" s="77" t="s">
        <v>32</v>
      </c>
      <c r="L17" s="77" t="s">
        <v>33</v>
      </c>
      <c r="M17" s="77" t="s">
        <v>34</v>
      </c>
      <c r="N17" s="91"/>
      <c r="O17" s="92" t="s">
        <v>35</v>
      </c>
      <c r="P17" s="48"/>
      <c r="Q17" s="16"/>
      <c r="R17" s="16"/>
      <c r="S17" s="16"/>
      <c r="T17" s="16"/>
      <c r="U17" s="16"/>
      <c r="V17" s="16"/>
      <c r="W17" s="16"/>
      <c r="X17" s="16"/>
      <c r="Y17" s="16"/>
      <c r="Z17" s="16"/>
      <c r="AA17" s="16"/>
      <c r="AB17" s="16"/>
      <c r="AC17" s="16"/>
      <c r="AD17" s="55"/>
      <c r="AE17" s="56"/>
      <c r="AF17" s="57"/>
      <c r="AG17" s="57"/>
      <c r="AH17" s="57"/>
      <c r="AI17" s="57"/>
      <c r="AJ17" s="58"/>
      <c r="AK17" s="58"/>
      <c r="AL17" s="58"/>
      <c r="AM17" s="59"/>
      <c r="AN17" s="60"/>
      <c r="AO17" s="16"/>
      <c r="AP17" s="16"/>
      <c r="AQ17" s="61"/>
    </row>
    <row r="18" ht="12.75" customHeight="1">
      <c r="A18" s="44"/>
      <c r="B18" s="93" t="str">
        <f t="array" ref="B18">C13</f>
        <v>mV</v>
      </c>
      <c r="C18" s="87" t="str">
        <f t="array" ref="C18">$B18</f>
        <v>mV</v>
      </c>
      <c r="D18" s="87" t="str">
        <f t="array" ref="D18">$B18</f>
        <v>mV</v>
      </c>
      <c r="E18" s="87" t="str">
        <f t="array" ref="E18">$B18</f>
        <v>mV</v>
      </c>
      <c r="F18" s="87" t="str">
        <f t="array" ref="F18">$B18</f>
        <v>mV</v>
      </c>
      <c r="G18" s="87" t="str">
        <f t="array" ref="G18">$B18</f>
        <v>mV</v>
      </c>
      <c r="H18" s="87" t="str">
        <f t="array" ref="H18">$B18</f>
        <v>mV</v>
      </c>
      <c r="I18" s="87" t="str">
        <f t="array" ref="I18">$B18</f>
        <v>mV</v>
      </c>
      <c r="J18" s="87" t="str">
        <f t="array" ref="J18">$B18</f>
        <v>mV</v>
      </c>
      <c r="K18" s="87" t="str">
        <f t="array" ref="K18">$B18</f>
        <v>mV</v>
      </c>
      <c r="L18" s="87" t="str">
        <f t="array" ref="L18">$B18</f>
        <v>mV</v>
      </c>
      <c r="M18" s="94" t="s">
        <v>36</v>
      </c>
      <c r="N18" s="87" t="s">
        <v>37</v>
      </c>
      <c r="O18" s="95" t="str">
        <f t="array" ref="O18">$B18</f>
        <v>mV</v>
      </c>
      <c r="P18" s="48"/>
      <c r="Q18" s="96" t="s">
        <v>38</v>
      </c>
      <c r="R18" s="96" t="s">
        <v>39</v>
      </c>
      <c r="S18" s="96" t="s">
        <v>40</v>
      </c>
      <c r="T18" s="97" t="s">
        <v>41</v>
      </c>
      <c r="U18" s="16"/>
      <c r="V18" s="16"/>
      <c r="W18" s="16"/>
      <c r="X18" s="16"/>
      <c r="Y18" s="16"/>
      <c r="Z18" s="16"/>
      <c r="AA18" s="16"/>
      <c r="AB18" s="16"/>
      <c r="AC18" s="16"/>
      <c r="AD18" s="55"/>
      <c r="AE18" s="56"/>
      <c r="AF18" s="57"/>
      <c r="AG18" s="57"/>
      <c r="AH18" s="57"/>
      <c r="AI18" s="57"/>
      <c r="AJ18" s="58"/>
      <c r="AK18" s="58"/>
      <c r="AL18" s="58"/>
      <c r="AM18" s="59"/>
      <c r="AN18" s="60"/>
      <c r="AO18" s="16"/>
      <c r="AP18" s="16"/>
      <c r="AQ18" s="61"/>
    </row>
    <row r="19" ht="12.75" customHeight="1">
      <c r="A19" s="98"/>
      <c r="B19" s="99">
        <f t="array" ref="B19">E11*0.1</f>
        <v>60</v>
      </c>
      <c r="C19" s="100">
        <v>60.0</v>
      </c>
      <c r="D19" s="101">
        <v>60.0</v>
      </c>
      <c r="E19" s="101">
        <v>60.0</v>
      </c>
      <c r="F19" s="101">
        <v>60.0</v>
      </c>
      <c r="G19" s="102">
        <v>60.0</v>
      </c>
      <c r="H19" s="103">
        <f t="array" ref="H19">STDEV(C19:G19)*1.4</f>
        <v>0</v>
      </c>
      <c r="I19" s="104">
        <f t="array" ref="I19">0.00316/2</f>
        <v>0.00158</v>
      </c>
      <c r="J19" s="103">
        <f t="array" ref="J19">I19/SQRT(3)</f>
        <v>0.0009122134253</v>
      </c>
      <c r="K19" s="103">
        <f t="array" ref="K19">(C$12)/SQRT(12)</f>
        <v>0.02886751346</v>
      </c>
      <c r="L19" s="105">
        <f t="array" ref="L19">SQRT(H19^2+J19^2+(K19)^2)</f>
        <v>0.02888192284</v>
      </c>
      <c r="M19" s="91" t="str">
        <f t="array" ref="M19">IF(ISERROR((L19^4)/(H19^4/4))=TRUE,"∞",((L19^4)/(H19^4/4)))</f>
        <v>∞</v>
      </c>
      <c r="N19" s="91">
        <f t="array" ref="N19">IF(ISERROR(TINV(0.05,M19))=TRUE,2,TINV(0.05,M19))</f>
        <v>2</v>
      </c>
      <c r="O19" s="106">
        <f t="array" ref="O19">L19*N19</f>
        <v>0.05776384567</v>
      </c>
      <c r="P19" s="48"/>
      <c r="Q19" s="107">
        <f t="array" ref="Q19">AVERAGE(C19:G19)-B19</f>
        <v>0</v>
      </c>
      <c r="R19" s="107">
        <f t="array" ref="R19">Q19+O19</f>
        <v>0.05776384567</v>
      </c>
      <c r="S19" s="107">
        <f t="array" ref="S19">Q19-O19</f>
        <v>-0.05776384567</v>
      </c>
      <c r="T19" s="107">
        <f t="array" ref="T19">ABS(Q19)</f>
        <v>0</v>
      </c>
      <c r="U19" s="16"/>
      <c r="V19" s="16"/>
      <c r="W19" s="16"/>
      <c r="X19" s="16"/>
      <c r="Y19" s="16"/>
      <c r="Z19" s="16"/>
      <c r="AA19" s="16"/>
      <c r="AB19" s="16"/>
      <c r="AC19" s="16"/>
      <c r="AD19" s="55"/>
      <c r="AE19" s="56"/>
      <c r="AF19" s="57"/>
      <c r="AG19" s="57"/>
      <c r="AH19" s="57"/>
      <c r="AI19" s="57"/>
      <c r="AJ19" s="58"/>
      <c r="AK19" s="58"/>
      <c r="AL19" s="58"/>
      <c r="AM19" s="59"/>
      <c r="AN19" s="60"/>
      <c r="AO19" s="16"/>
      <c r="AP19" s="16"/>
      <c r="AQ19" s="61"/>
    </row>
    <row r="20" ht="12.75" customHeight="1">
      <c r="A20" s="98"/>
      <c r="B20" s="108">
        <f t="array" ref="B20">E11*0.25</f>
        <v>150</v>
      </c>
      <c r="C20" s="109">
        <v>150.0</v>
      </c>
      <c r="D20" s="110">
        <v>150.0</v>
      </c>
      <c r="E20" s="110">
        <v>150.0</v>
      </c>
      <c r="F20" s="110">
        <v>150.0</v>
      </c>
      <c r="G20" s="111">
        <v>150.0</v>
      </c>
      <c r="H20" s="112">
        <f t="array" ref="H20">STDEV(C20:G20)*1.4</f>
        <v>0</v>
      </c>
      <c r="I20" s="104">
        <f t="array" ref="I20">0.00316/2</f>
        <v>0.00158</v>
      </c>
      <c r="J20" s="112">
        <f t="array" ref="J20">I20/SQRT(3)</f>
        <v>0.0009122134253</v>
      </c>
      <c r="K20" s="112">
        <f t="array" ref="K20">(C$12)/SQRT(12)</f>
        <v>0.02886751346</v>
      </c>
      <c r="L20" s="113">
        <f t="array" ref="L20">SQRT(H20^2+J20^2+(K20)^2)</f>
        <v>0.02888192284</v>
      </c>
      <c r="M20" s="114" t="str">
        <f t="array" ref="M20">IF(ISERROR((L20^4)/(H20^4/4))=TRUE,"∞",((L20^4)/(H20^4/4)))</f>
        <v>∞</v>
      </c>
      <c r="N20" s="114">
        <f t="array" ref="N20">IF(ISERROR(TINV(0.05,M20))=TRUE,2,TINV(0.05,M20))</f>
        <v>2</v>
      </c>
      <c r="O20" s="115">
        <f t="array" ref="O20">L20*N20</f>
        <v>0.05776384567</v>
      </c>
      <c r="P20" s="48"/>
      <c r="Q20" s="107">
        <f t="array" ref="Q20">AVERAGE(C20:G20)-B20</f>
        <v>0</v>
      </c>
      <c r="R20" s="107">
        <f t="array" ref="R20">Q20+O20</f>
        <v>0.05776384567</v>
      </c>
      <c r="S20" s="107">
        <f t="array" ref="S20">Q20-O20</f>
        <v>-0.05776384567</v>
      </c>
      <c r="T20" s="107">
        <f t="array" ref="T20">ABS(Q20)</f>
        <v>0</v>
      </c>
      <c r="U20" s="16"/>
      <c r="V20" s="16"/>
      <c r="W20" s="16"/>
      <c r="X20" s="16"/>
      <c r="Y20" s="16"/>
      <c r="Z20" s="16"/>
      <c r="AA20" s="16"/>
      <c r="AB20" s="16"/>
      <c r="AC20" s="16"/>
      <c r="AD20" s="55"/>
      <c r="AE20" s="56"/>
      <c r="AF20" s="57"/>
      <c r="AG20" s="57"/>
      <c r="AH20" s="57"/>
      <c r="AI20" s="57"/>
      <c r="AJ20" s="58"/>
      <c r="AK20" s="58"/>
      <c r="AL20" s="58"/>
      <c r="AM20" s="59"/>
      <c r="AN20" s="60"/>
      <c r="AO20" s="16"/>
      <c r="AP20" s="16"/>
      <c r="AQ20" s="61"/>
    </row>
    <row r="21" ht="12.75" customHeight="1">
      <c r="A21" s="98"/>
      <c r="B21" s="108">
        <f t="array" ref="B21">E11*0.5</f>
        <v>300</v>
      </c>
      <c r="C21" s="109">
        <v>300.0</v>
      </c>
      <c r="D21" s="110">
        <v>300.0</v>
      </c>
      <c r="E21" s="110">
        <v>300.0</v>
      </c>
      <c r="F21" s="110">
        <v>300.0</v>
      </c>
      <c r="G21" s="111">
        <v>300.0</v>
      </c>
      <c r="H21" s="112">
        <f t="array" ref="H21">STDEV(C21:G21)*1.4</f>
        <v>0</v>
      </c>
      <c r="I21" s="104">
        <f t="array" ref="I21">0.00316/2</f>
        <v>0.00158</v>
      </c>
      <c r="J21" s="112">
        <f t="array" ref="J21">I21/SQRT(3)</f>
        <v>0.0009122134253</v>
      </c>
      <c r="K21" s="112">
        <f t="array" ref="K21">(C$12)/SQRT(12)</f>
        <v>0.02886751346</v>
      </c>
      <c r="L21" s="113">
        <f t="array" ref="L21">SQRT(H21^2+J21^2+(K21)^2)</f>
        <v>0.02888192284</v>
      </c>
      <c r="M21" s="114" t="str">
        <f t="array" ref="M21">IF(ISERROR((L21^4)/(H21^4/4))=TRUE,"∞",((L21^4)/(H21^4/4)))</f>
        <v>∞</v>
      </c>
      <c r="N21" s="114">
        <f t="array" ref="N21">IF(ISERROR(TINV(0.05,M21))=TRUE,2,TINV(0.05,M21))</f>
        <v>2</v>
      </c>
      <c r="O21" s="115">
        <f t="array" ref="O21">L21*N21</f>
        <v>0.05776384567</v>
      </c>
      <c r="P21" s="48"/>
      <c r="Q21" s="107">
        <f t="array" ref="Q21">AVERAGE(C21:G21)-B21</f>
        <v>0</v>
      </c>
      <c r="R21" s="107">
        <f t="array" ref="R21">Q21+O21</f>
        <v>0.05776384567</v>
      </c>
      <c r="S21" s="107">
        <f t="array" ref="S21">Q21-O21</f>
        <v>-0.05776384567</v>
      </c>
      <c r="T21" s="107">
        <f t="array" ref="T21">ABS(Q21)</f>
        <v>0</v>
      </c>
      <c r="U21" s="16"/>
      <c r="V21" s="16"/>
      <c r="W21" s="16"/>
      <c r="X21" s="16"/>
      <c r="Y21" s="16"/>
      <c r="Z21" s="16"/>
      <c r="AA21" s="16"/>
      <c r="AB21" s="16"/>
      <c r="AC21" s="16"/>
      <c r="AD21" s="55"/>
      <c r="AE21" s="56"/>
      <c r="AF21" s="57"/>
      <c r="AG21" s="57"/>
      <c r="AH21" s="57"/>
      <c r="AI21" s="57"/>
      <c r="AJ21" s="58"/>
      <c r="AK21" s="58"/>
      <c r="AL21" s="58"/>
      <c r="AM21" s="59"/>
      <c r="AN21" s="60"/>
      <c r="AO21" s="16"/>
      <c r="AP21" s="16"/>
      <c r="AQ21" s="61"/>
    </row>
    <row r="22" ht="12.75" customHeight="1">
      <c r="A22" s="98"/>
      <c r="B22" s="108">
        <f t="array" ref="B22">E11*0.75</f>
        <v>450</v>
      </c>
      <c r="C22" s="109">
        <v>450.1</v>
      </c>
      <c r="D22" s="110">
        <v>450.1</v>
      </c>
      <c r="E22" s="110">
        <v>450.1</v>
      </c>
      <c r="F22" s="110">
        <v>450.1</v>
      </c>
      <c r="G22" s="111">
        <v>450.1</v>
      </c>
      <c r="H22" s="112">
        <f t="array" ref="H22">STDEV(C22:G22)*1.4</f>
        <v>0</v>
      </c>
      <c r="I22" s="104">
        <f t="array" ref="I22">0.00316/2</f>
        <v>0.00158</v>
      </c>
      <c r="J22" s="112">
        <f t="array" ref="J22">I22/SQRT(3)</f>
        <v>0.0009122134253</v>
      </c>
      <c r="K22" s="112">
        <f t="array" ref="K22">(C$12)/SQRT(12)</f>
        <v>0.02886751346</v>
      </c>
      <c r="L22" s="113">
        <f t="array" ref="L22">SQRT(H22^2+J22^2+(K22)^2)</f>
        <v>0.02888192284</v>
      </c>
      <c r="M22" s="114" t="str">
        <f t="array" ref="M22">IF(ISERROR((L22^4)/(H22^4/4))=TRUE,"∞",((L22^4)/(H22^4/4)))</f>
        <v>∞</v>
      </c>
      <c r="N22" s="114">
        <f t="array" ref="N22">IF(ISERROR(TINV(0.05,M22))=TRUE,2,TINV(0.05,M22))</f>
        <v>2</v>
      </c>
      <c r="O22" s="115">
        <f t="array" ref="O22">L22*N22</f>
        <v>0.05776384567</v>
      </c>
      <c r="P22" s="48"/>
      <c r="Q22" s="107">
        <f t="array" ref="Q22">AVERAGE(C22:G22)-B22</f>
        <v>0.1</v>
      </c>
      <c r="R22" s="107">
        <f t="array" ref="R22">Q22+O22</f>
        <v>0.1577638457</v>
      </c>
      <c r="S22" s="107">
        <f t="array" ref="S22">Q22-O22</f>
        <v>0.04223615433</v>
      </c>
      <c r="T22" s="107">
        <f t="array" ref="T22">ABS(Q22)</f>
        <v>0.1</v>
      </c>
      <c r="U22" s="16"/>
      <c r="V22" s="16"/>
      <c r="W22" s="16"/>
      <c r="X22" s="16"/>
      <c r="Y22" s="16"/>
      <c r="Z22" s="16"/>
      <c r="AA22" s="16"/>
      <c r="AB22" s="16"/>
      <c r="AC22" s="16"/>
      <c r="AD22" s="55"/>
      <c r="AE22" s="56"/>
      <c r="AF22" s="57"/>
      <c r="AG22" s="57"/>
      <c r="AH22" s="57"/>
      <c r="AI22" s="57"/>
      <c r="AJ22" s="58"/>
      <c r="AK22" s="58"/>
      <c r="AL22" s="58"/>
      <c r="AM22" s="59"/>
      <c r="AN22" s="60"/>
      <c r="AO22" s="16"/>
      <c r="AP22" s="16"/>
      <c r="AQ22" s="61"/>
    </row>
    <row r="23" ht="12.75" customHeight="1">
      <c r="A23" s="98"/>
      <c r="B23" s="116">
        <f t="array" ref="B23">E11*0.9</f>
        <v>540</v>
      </c>
      <c r="C23" s="117">
        <v>540.1</v>
      </c>
      <c r="D23" s="118">
        <v>540.1</v>
      </c>
      <c r="E23" s="118">
        <v>540.1</v>
      </c>
      <c r="F23" s="118">
        <v>540.1</v>
      </c>
      <c r="G23" s="119">
        <v>540.1</v>
      </c>
      <c r="H23" s="120">
        <f t="array" ref="H23">STDEV(C23:G23)*1.4</f>
        <v>0</v>
      </c>
      <c r="I23" s="103">
        <f t="array" ref="I23">0.00316/2</f>
        <v>0.00158</v>
      </c>
      <c r="J23" s="120">
        <f t="array" ref="J23">I23/SQRT(3)</f>
        <v>0.0009122134253</v>
      </c>
      <c r="K23" s="120">
        <f t="array" ref="K23">(C$12)/SQRT(12)</f>
        <v>0.02886751346</v>
      </c>
      <c r="L23" s="121">
        <f t="array" ref="L23">SQRT(H23^2+J23^2+(K23)^2)</f>
        <v>0.02888192284</v>
      </c>
      <c r="M23" s="122" t="str">
        <f t="array" ref="M23">IF(ISERROR((L23^4)/(H23^4/4))=TRUE,"∞",((L23^4)/(H23^4/4)))</f>
        <v>∞</v>
      </c>
      <c r="N23" s="122">
        <f t="array" ref="N23">IF(ISERROR(TINV(0.05,M23))=TRUE,2,TINV(0.05,M23))</f>
        <v>2</v>
      </c>
      <c r="O23" s="123">
        <f t="array" ref="O23">L23*N23</f>
        <v>0.05776384567</v>
      </c>
      <c r="P23" s="48"/>
      <c r="Q23" s="107">
        <f t="array" ref="Q23">AVERAGE(C23:G23)-B23</f>
        <v>0.1</v>
      </c>
      <c r="R23" s="107">
        <f t="array" ref="R23">Q23+O23</f>
        <v>0.1577638457</v>
      </c>
      <c r="S23" s="107">
        <f t="array" ref="S23">Q23-O23</f>
        <v>0.04223615433</v>
      </c>
      <c r="T23" s="107">
        <f t="array" ref="T23">ABS(Q23)</f>
        <v>0.1</v>
      </c>
      <c r="U23" s="16"/>
      <c r="V23" s="16"/>
      <c r="W23" s="16"/>
      <c r="X23" s="16"/>
      <c r="Y23" s="16"/>
      <c r="Z23" s="16"/>
      <c r="AA23" s="16"/>
      <c r="AB23" s="16"/>
      <c r="AC23" s="16"/>
      <c r="AD23" s="55"/>
      <c r="AE23" s="56"/>
      <c r="AF23" s="57"/>
      <c r="AG23" s="57"/>
      <c r="AH23" s="57"/>
      <c r="AI23" s="57"/>
      <c r="AJ23" s="58"/>
      <c r="AK23" s="58"/>
      <c r="AL23" s="58"/>
      <c r="AM23" s="59"/>
      <c r="AN23" s="60"/>
      <c r="AO23" s="16"/>
      <c r="AP23" s="16"/>
      <c r="AQ23" s="61"/>
    </row>
    <row r="24" ht="13.5" customHeight="1">
      <c r="A24" s="15"/>
      <c r="B24" s="124"/>
      <c r="C24" s="124"/>
      <c r="D24" s="124"/>
      <c r="E24" s="124"/>
      <c r="F24" s="124"/>
      <c r="G24" s="124"/>
      <c r="H24" s="125"/>
      <c r="I24" s="126"/>
      <c r="J24" s="125"/>
      <c r="K24" s="125"/>
      <c r="L24" s="127"/>
      <c r="M24" s="128"/>
      <c r="N24" s="128"/>
      <c r="O24" s="129"/>
      <c r="P24" s="48"/>
      <c r="Q24" s="107"/>
      <c r="R24" s="107"/>
      <c r="S24" s="107"/>
      <c r="T24" s="107"/>
      <c r="U24" s="16"/>
      <c r="V24" s="16"/>
      <c r="W24" s="16"/>
      <c r="X24" s="16"/>
      <c r="Y24" s="16"/>
      <c r="Z24" s="16"/>
      <c r="AA24" s="16"/>
      <c r="AB24" s="16"/>
      <c r="AC24" s="16"/>
      <c r="AD24" s="55"/>
      <c r="AE24" s="56"/>
      <c r="AF24" s="57"/>
      <c r="AG24" s="57"/>
      <c r="AH24" s="57"/>
      <c r="AI24" s="57"/>
      <c r="AJ24" s="58"/>
      <c r="AK24" s="58"/>
      <c r="AL24" s="58"/>
      <c r="AM24" s="59"/>
      <c r="AN24" s="60"/>
      <c r="AO24" s="16"/>
      <c r="AP24" s="16"/>
      <c r="AQ24" s="61"/>
    </row>
    <row r="25" ht="39.75" customHeight="1">
      <c r="A25" s="44"/>
      <c r="B25" s="45" t="s">
        <v>7</v>
      </c>
      <c r="C25" s="46"/>
      <c r="D25" s="46"/>
      <c r="E25" s="46"/>
      <c r="F25" s="46"/>
      <c r="G25" s="46"/>
      <c r="H25" s="46"/>
      <c r="I25" s="46"/>
      <c r="J25" s="46"/>
      <c r="K25" s="46"/>
      <c r="L25" s="46"/>
      <c r="M25" s="46"/>
      <c r="N25" s="46"/>
      <c r="O25" s="47"/>
      <c r="P25" s="48"/>
      <c r="Q25" s="16"/>
      <c r="R25" s="16"/>
      <c r="S25" s="16"/>
      <c r="T25" s="16"/>
      <c r="U25" s="16"/>
      <c r="V25" s="16"/>
      <c r="W25" s="16"/>
      <c r="X25" s="16"/>
      <c r="Y25" s="16"/>
      <c r="Z25" s="16"/>
      <c r="AA25" s="16"/>
      <c r="AB25" s="16"/>
      <c r="AC25" s="16"/>
      <c r="AD25" s="29"/>
      <c r="AE25" s="28"/>
      <c r="AF25" s="38"/>
      <c r="AG25" s="38"/>
      <c r="AH25" s="38"/>
      <c r="AI25" s="38"/>
      <c r="AJ25" s="39"/>
      <c r="AK25" s="39"/>
      <c r="AL25" s="39"/>
      <c r="AM25" s="40"/>
      <c r="AN25" s="43"/>
      <c r="AO25" s="33"/>
      <c r="AP25" s="33"/>
      <c r="AQ25" s="36"/>
    </row>
    <row r="26" ht="13.5" customHeight="1">
      <c r="A26" s="44"/>
      <c r="B26" s="49" t="s">
        <v>8</v>
      </c>
      <c r="C26" s="50">
        <v>0.0</v>
      </c>
      <c r="D26" s="51" t="s">
        <v>9</v>
      </c>
      <c r="E26" s="50">
        <v>6.0</v>
      </c>
      <c r="F26" s="52"/>
      <c r="G26" s="53"/>
      <c r="H26" s="53"/>
      <c r="I26" s="53"/>
      <c r="J26" s="53"/>
      <c r="K26" s="53"/>
      <c r="L26" s="53"/>
      <c r="M26" s="53"/>
      <c r="N26" s="53"/>
      <c r="O26" s="54"/>
      <c r="P26" s="48"/>
      <c r="Q26" s="16"/>
      <c r="R26" s="16"/>
      <c r="S26" s="16"/>
      <c r="T26" s="16"/>
      <c r="U26" s="16"/>
      <c r="V26" s="16"/>
      <c r="W26" s="16"/>
      <c r="X26" s="16"/>
      <c r="Y26" s="16"/>
      <c r="Z26" s="16"/>
      <c r="AA26" s="16"/>
      <c r="AB26" s="16"/>
      <c r="AC26" s="16"/>
      <c r="AD26" s="55"/>
      <c r="AE26" s="56"/>
      <c r="AF26" s="57"/>
      <c r="AG26" s="57"/>
      <c r="AH26" s="57"/>
      <c r="AI26" s="57"/>
      <c r="AJ26" s="58"/>
      <c r="AK26" s="58"/>
      <c r="AL26" s="58"/>
      <c r="AM26" s="59"/>
      <c r="AN26" s="60"/>
      <c r="AO26" s="16"/>
      <c r="AP26" s="16"/>
      <c r="AQ26" s="61"/>
    </row>
    <row r="27" ht="13.5" customHeight="1">
      <c r="A27" s="44"/>
      <c r="B27" s="62" t="s">
        <v>10</v>
      </c>
      <c r="C27" s="63">
        <v>0.001</v>
      </c>
      <c r="D27" s="64"/>
      <c r="E27" s="65"/>
      <c r="F27" s="66"/>
      <c r="G27" s="67"/>
      <c r="H27" s="68" t="s">
        <v>11</v>
      </c>
      <c r="I27" s="69"/>
      <c r="J27" s="70"/>
      <c r="K27" s="66"/>
      <c r="L27" s="66"/>
      <c r="M27" s="66"/>
      <c r="N27" s="66"/>
      <c r="O27" s="71"/>
      <c r="P27" s="48"/>
      <c r="Q27" s="16"/>
      <c r="R27" s="16"/>
      <c r="S27" s="16"/>
      <c r="T27" s="16"/>
      <c r="U27" s="16"/>
      <c r="V27" s="16"/>
      <c r="W27" s="16"/>
      <c r="X27" s="16"/>
      <c r="Y27" s="16"/>
      <c r="Z27" s="16"/>
      <c r="AA27" s="16"/>
      <c r="AB27" s="16"/>
      <c r="AC27" s="16"/>
      <c r="AD27" s="55"/>
      <c r="AE27" s="56"/>
      <c r="AF27" s="57"/>
      <c r="AG27" s="57"/>
      <c r="AH27" s="57"/>
      <c r="AI27" s="57"/>
      <c r="AJ27" s="58"/>
      <c r="AK27" s="58"/>
      <c r="AL27" s="58"/>
      <c r="AM27" s="59"/>
      <c r="AN27" s="60"/>
      <c r="AO27" s="16"/>
      <c r="AP27" s="16"/>
      <c r="AQ27" s="61"/>
    </row>
    <row r="28" ht="13.5" customHeight="1">
      <c r="A28" s="44"/>
      <c r="B28" s="72" t="s">
        <v>12</v>
      </c>
      <c r="C28" s="73" t="s">
        <v>42</v>
      </c>
      <c r="D28" s="74" t="s">
        <v>14</v>
      </c>
      <c r="E28" s="75">
        <f t="array" ref="E28">MAX(Q34:Q38)</f>
        <v>0</v>
      </c>
      <c r="F28" s="76" t="str">
        <f t="array" ref="F28">C28</f>
        <v>V</v>
      </c>
      <c r="G28" s="67"/>
      <c r="H28" s="68" t="s">
        <v>15</v>
      </c>
      <c r="I28" s="77" t="s">
        <v>16</v>
      </c>
      <c r="J28" s="78"/>
      <c r="K28" s="79"/>
      <c r="L28" s="66"/>
      <c r="M28" s="66"/>
      <c r="N28" s="66"/>
      <c r="O28" s="71"/>
      <c r="P28" s="48"/>
      <c r="Q28" s="16"/>
      <c r="R28" s="16"/>
      <c r="S28" s="16"/>
      <c r="T28" s="16"/>
      <c r="U28" s="16"/>
      <c r="V28" s="16"/>
      <c r="W28" s="16"/>
      <c r="X28" s="16"/>
      <c r="Y28" s="16"/>
      <c r="Z28" s="16"/>
      <c r="AA28" s="16"/>
      <c r="AB28" s="16"/>
      <c r="AC28" s="16"/>
      <c r="AD28" s="55"/>
      <c r="AE28" s="56"/>
      <c r="AF28" s="57"/>
      <c r="AG28" s="57"/>
      <c r="AH28" s="57"/>
      <c r="AI28" s="57"/>
      <c r="AJ28" s="58"/>
      <c r="AK28" s="58"/>
      <c r="AL28" s="58"/>
      <c r="AM28" s="59"/>
      <c r="AN28" s="60"/>
      <c r="AO28" s="16"/>
      <c r="AP28" s="16"/>
      <c r="AQ28" s="61"/>
    </row>
    <row r="29" ht="12.75" customHeight="1">
      <c r="A29" s="44"/>
      <c r="B29" s="80"/>
      <c r="C29" s="65"/>
      <c r="D29" s="76" t="s">
        <v>17</v>
      </c>
      <c r="E29" s="81">
        <f t="array" ref="E29">MAX(O34:O38)</f>
        <v>0.003950105484</v>
      </c>
      <c r="F29" s="76" t="str">
        <f t="array" ref="F29">C28</f>
        <v>V</v>
      </c>
      <c r="G29" s="67"/>
      <c r="H29" s="82"/>
      <c r="I29" s="68" t="s">
        <v>18</v>
      </c>
      <c r="J29" s="82"/>
      <c r="K29" s="79"/>
      <c r="L29" s="66"/>
      <c r="M29" s="66"/>
      <c r="N29" s="66"/>
      <c r="O29" s="71"/>
      <c r="P29" s="48"/>
      <c r="Q29" s="16"/>
      <c r="R29" s="16"/>
      <c r="S29" s="16"/>
      <c r="T29" s="16"/>
      <c r="U29" s="16"/>
      <c r="V29" s="16"/>
      <c r="W29" s="16"/>
      <c r="X29" s="16"/>
      <c r="Y29" s="16"/>
      <c r="Z29" s="16"/>
      <c r="AA29" s="16"/>
      <c r="AB29" s="16"/>
      <c r="AC29" s="16"/>
      <c r="AD29" s="55"/>
      <c r="AE29" s="56"/>
      <c r="AF29" s="57"/>
      <c r="AG29" s="57"/>
      <c r="AH29" s="57"/>
      <c r="AI29" s="57"/>
      <c r="AJ29" s="58"/>
      <c r="AK29" s="58"/>
      <c r="AL29" s="58"/>
      <c r="AM29" s="59"/>
      <c r="AN29" s="60"/>
      <c r="AO29" s="16"/>
      <c r="AP29" s="16"/>
      <c r="AQ29" s="61"/>
    </row>
    <row r="30" ht="12.75" customHeight="1">
      <c r="A30" s="44"/>
      <c r="B30" s="83"/>
      <c r="C30" s="66"/>
      <c r="D30" s="66"/>
      <c r="E30" s="66"/>
      <c r="F30" s="66"/>
      <c r="G30" s="67"/>
      <c r="H30" s="82"/>
      <c r="I30" s="68" t="s">
        <v>19</v>
      </c>
      <c r="J30" s="82"/>
      <c r="K30" s="79"/>
      <c r="L30" s="66"/>
      <c r="M30" s="66"/>
      <c r="N30" s="66"/>
      <c r="O30" s="84"/>
      <c r="P30" s="48"/>
      <c r="Q30" s="16"/>
      <c r="R30" s="16"/>
      <c r="S30" s="16"/>
      <c r="T30" s="16"/>
      <c r="U30" s="16"/>
      <c r="V30" s="16"/>
      <c r="W30" s="16"/>
      <c r="X30" s="16"/>
      <c r="Y30" s="16"/>
      <c r="Z30" s="16"/>
      <c r="AA30" s="16"/>
      <c r="AB30" s="16"/>
      <c r="AC30" s="16"/>
      <c r="AD30" s="55"/>
      <c r="AE30" s="56"/>
      <c r="AF30" s="57"/>
      <c r="AG30" s="57"/>
      <c r="AH30" s="57"/>
      <c r="AI30" s="57"/>
      <c r="AJ30" s="58"/>
      <c r="AK30" s="58"/>
      <c r="AL30" s="58"/>
      <c r="AM30" s="59"/>
      <c r="AN30" s="60"/>
      <c r="AO30" s="16"/>
      <c r="AP30" s="16"/>
      <c r="AQ30" s="61"/>
    </row>
    <row r="31" ht="12.75" customHeight="1">
      <c r="A31" s="44"/>
      <c r="B31" s="85" t="s">
        <v>20</v>
      </c>
      <c r="C31" s="69"/>
      <c r="D31" s="70"/>
      <c r="E31" s="70"/>
      <c r="F31" s="70"/>
      <c r="G31" s="86"/>
      <c r="H31" s="87" t="s">
        <v>21</v>
      </c>
      <c r="I31" s="88">
        <v>5502.0</v>
      </c>
      <c r="J31" s="88"/>
      <c r="K31" s="69"/>
      <c r="L31" s="70"/>
      <c r="M31" s="70"/>
      <c r="N31" s="86"/>
      <c r="O31" s="89" t="s">
        <v>22</v>
      </c>
      <c r="P31" s="48"/>
      <c r="Q31" s="16"/>
      <c r="R31" s="16"/>
      <c r="S31" s="16"/>
      <c r="T31" s="16"/>
      <c r="U31" s="16"/>
      <c r="V31" s="16"/>
      <c r="W31" s="16"/>
      <c r="X31" s="16"/>
      <c r="Y31" s="16"/>
      <c r="Z31" s="16"/>
      <c r="AA31" s="16"/>
      <c r="AB31" s="16"/>
      <c r="AC31" s="16"/>
      <c r="AD31" s="55"/>
      <c r="AE31" s="56"/>
      <c r="AF31" s="57"/>
      <c r="AG31" s="57"/>
      <c r="AH31" s="57"/>
      <c r="AI31" s="57"/>
      <c r="AJ31" s="58"/>
      <c r="AK31" s="58"/>
      <c r="AL31" s="58"/>
      <c r="AM31" s="59"/>
      <c r="AN31" s="60"/>
      <c r="AO31" s="16"/>
      <c r="AP31" s="16"/>
      <c r="AQ31" s="61"/>
    </row>
    <row r="32" ht="12.75" customHeight="1">
      <c r="A32" s="44"/>
      <c r="B32" s="90" t="s">
        <v>23</v>
      </c>
      <c r="C32" s="77" t="s">
        <v>24</v>
      </c>
      <c r="D32" s="77" t="s">
        <v>25</v>
      </c>
      <c r="E32" s="77" t="s">
        <v>26</v>
      </c>
      <c r="F32" s="77" t="s">
        <v>27</v>
      </c>
      <c r="G32" s="77" t="s">
        <v>28</v>
      </c>
      <c r="H32" s="77" t="s">
        <v>29</v>
      </c>
      <c r="I32" s="77" t="s">
        <v>30</v>
      </c>
      <c r="J32" s="77" t="s">
        <v>31</v>
      </c>
      <c r="K32" s="77" t="s">
        <v>32</v>
      </c>
      <c r="L32" s="77" t="s">
        <v>33</v>
      </c>
      <c r="M32" s="77" t="s">
        <v>34</v>
      </c>
      <c r="N32" s="91"/>
      <c r="O32" s="92" t="s">
        <v>35</v>
      </c>
      <c r="P32" s="48"/>
      <c r="Q32" s="16"/>
      <c r="R32" s="16"/>
      <c r="S32" s="16"/>
      <c r="T32" s="16"/>
      <c r="U32" s="16"/>
      <c r="V32" s="16"/>
      <c r="W32" s="16"/>
      <c r="X32" s="16"/>
      <c r="Y32" s="16"/>
      <c r="Z32" s="16"/>
      <c r="AA32" s="16"/>
      <c r="AB32" s="16"/>
      <c r="AC32" s="16"/>
      <c r="AD32" s="55"/>
      <c r="AE32" s="56"/>
      <c r="AF32" s="57"/>
      <c r="AG32" s="57"/>
      <c r="AH32" s="57"/>
      <c r="AI32" s="57"/>
      <c r="AJ32" s="58"/>
      <c r="AK32" s="58"/>
      <c r="AL32" s="58"/>
      <c r="AM32" s="59"/>
      <c r="AN32" s="60"/>
      <c r="AO32" s="16"/>
      <c r="AP32" s="16"/>
      <c r="AQ32" s="61"/>
    </row>
    <row r="33" ht="12.75" customHeight="1">
      <c r="A33" s="44"/>
      <c r="B33" s="93" t="str">
        <f t="array" ref="B33">C28</f>
        <v>V</v>
      </c>
      <c r="C33" s="87" t="str">
        <f t="array" ref="C33">$B33</f>
        <v>V</v>
      </c>
      <c r="D33" s="87" t="str">
        <f t="array" ref="D33">$B33</f>
        <v>V</v>
      </c>
      <c r="E33" s="87" t="str">
        <f t="array" ref="E33">$B33</f>
        <v>V</v>
      </c>
      <c r="F33" s="87" t="str">
        <f t="array" ref="F33">$B33</f>
        <v>V</v>
      </c>
      <c r="G33" s="87" t="str">
        <f t="array" ref="G33">$B33</f>
        <v>V</v>
      </c>
      <c r="H33" s="87" t="str">
        <f t="array" ref="H33">$B33</f>
        <v>V</v>
      </c>
      <c r="I33" s="87" t="str">
        <f t="array" ref="I33">$B33</f>
        <v>V</v>
      </c>
      <c r="J33" s="87" t="str">
        <f t="array" ref="J33">$B33</f>
        <v>V</v>
      </c>
      <c r="K33" s="87" t="str">
        <f t="array" ref="K33">$B33</f>
        <v>V</v>
      </c>
      <c r="L33" s="87" t="str">
        <f t="array" ref="L33">$B33</f>
        <v>V</v>
      </c>
      <c r="M33" s="94" t="s">
        <v>36</v>
      </c>
      <c r="N33" s="87" t="s">
        <v>37</v>
      </c>
      <c r="O33" s="95" t="str">
        <f t="array" ref="O33">$B33</f>
        <v>V</v>
      </c>
      <c r="P33" s="48"/>
      <c r="Q33" s="96" t="s">
        <v>38</v>
      </c>
      <c r="R33" s="96" t="s">
        <v>39</v>
      </c>
      <c r="S33" s="96" t="s">
        <v>40</v>
      </c>
      <c r="T33" s="97" t="s">
        <v>41</v>
      </c>
      <c r="U33" s="16"/>
      <c r="V33" s="16"/>
      <c r="W33" s="16"/>
      <c r="X33" s="16"/>
      <c r="Y33" s="16"/>
      <c r="Z33" s="16"/>
      <c r="AA33" s="16"/>
      <c r="AB33" s="16"/>
      <c r="AC33" s="16"/>
      <c r="AD33" s="55"/>
      <c r="AE33" s="56"/>
      <c r="AF33" s="57"/>
      <c r="AG33" s="57"/>
      <c r="AH33" s="57"/>
      <c r="AI33" s="57"/>
      <c r="AJ33" s="58"/>
      <c r="AK33" s="58"/>
      <c r="AL33" s="58"/>
      <c r="AM33" s="59"/>
      <c r="AN33" s="60"/>
      <c r="AO33" s="16"/>
      <c r="AP33" s="16"/>
      <c r="AQ33" s="61"/>
    </row>
    <row r="34" ht="12.75" customHeight="1">
      <c r="A34" s="98"/>
      <c r="B34" s="99">
        <f t="array" ref="B34">E26*0.1</f>
        <v>0.6</v>
      </c>
      <c r="C34" s="130">
        <v>0.6</v>
      </c>
      <c r="D34" s="131">
        <v>0.6</v>
      </c>
      <c r="E34" s="131">
        <v>0.6</v>
      </c>
      <c r="F34" s="131">
        <v>0.6</v>
      </c>
      <c r="G34" s="132">
        <v>0.6</v>
      </c>
      <c r="H34" s="103">
        <f t="array" ref="H34">STDEV(C34:G34)*1.4</f>
        <v>0</v>
      </c>
      <c r="I34" s="104">
        <f t="array" ref="I34">0.0059/2</f>
        <v>0.00295</v>
      </c>
      <c r="J34" s="103">
        <f t="array" ref="J34">I34/SQRT(3)</f>
        <v>0.001703183294</v>
      </c>
      <c r="K34" s="103">
        <f t="array" ref="K34">C$27</f>
        <v>0.001</v>
      </c>
      <c r="L34" s="105">
        <f t="array" ref="L34">SQRT(H34^2+J34^2+(K34)^2)</f>
        <v>0.001975052742</v>
      </c>
      <c r="M34" s="91" t="str">
        <f t="array" ref="M34">IF(ISERROR((L34^4)/(H34^4/4))=TRUE,"∞",((L34^4)/(H34^4/4)))</f>
        <v>∞</v>
      </c>
      <c r="N34" s="91">
        <f t="array" ref="N34">IF(ISERROR(TINV(0.05,M34))=TRUE,2,TINV(0.05,M34))</f>
        <v>2</v>
      </c>
      <c r="O34" s="106">
        <f t="array" ref="O34">L34*N34</f>
        <v>0.003950105484</v>
      </c>
      <c r="P34" s="48"/>
      <c r="Q34" s="107">
        <f t="array" ref="Q34">AVERAGE(C34:G34)-B34</f>
        <v>0</v>
      </c>
      <c r="R34" s="107">
        <f t="array" ref="R34">Q34+O34</f>
        <v>0.003950105484</v>
      </c>
      <c r="S34" s="107">
        <f t="array" ref="S34">Q34-O34</f>
        <v>-0.003950105484</v>
      </c>
      <c r="T34" s="107">
        <f t="array" ref="T34">ABS(Q34)</f>
        <v>0</v>
      </c>
      <c r="U34" s="16"/>
      <c r="V34" s="16"/>
      <c r="W34" s="16"/>
      <c r="X34" s="16"/>
      <c r="Y34" s="16"/>
      <c r="Z34" s="16"/>
      <c r="AA34" s="16"/>
      <c r="AB34" s="16"/>
      <c r="AC34" s="16"/>
      <c r="AD34" s="55"/>
      <c r="AE34" s="56"/>
      <c r="AF34" s="57"/>
      <c r="AG34" s="57"/>
      <c r="AH34" s="57"/>
      <c r="AI34" s="57"/>
      <c r="AJ34" s="58"/>
      <c r="AK34" s="58"/>
      <c r="AL34" s="58"/>
      <c r="AM34" s="59"/>
      <c r="AN34" s="60"/>
      <c r="AO34" s="16"/>
      <c r="AP34" s="16"/>
      <c r="AQ34" s="61"/>
    </row>
    <row r="35" ht="12.75" customHeight="1">
      <c r="A35" s="98"/>
      <c r="B35" s="108">
        <f t="array" ref="B35">E26*0.25</f>
        <v>1.5</v>
      </c>
      <c r="C35" s="133">
        <v>1.499</v>
      </c>
      <c r="D35" s="134">
        <v>1.499</v>
      </c>
      <c r="E35" s="134">
        <v>1.499</v>
      </c>
      <c r="F35" s="134">
        <v>1.499</v>
      </c>
      <c r="G35" s="135">
        <v>1.499</v>
      </c>
      <c r="H35" s="112">
        <f t="array" ref="H35">STDEV(C35:G35)*1.4</f>
        <v>0</v>
      </c>
      <c r="I35" s="104">
        <f t="array" ref="I35">0.0059/2</f>
        <v>0.00295</v>
      </c>
      <c r="J35" s="112">
        <f t="array" ref="J35">I35/SQRT(3)</f>
        <v>0.001703183294</v>
      </c>
      <c r="K35" s="112">
        <f t="array" ref="K35">C$27</f>
        <v>0.001</v>
      </c>
      <c r="L35" s="113">
        <f t="array" ref="L35">SQRT(H35^2+J35^2+(K35)^2)</f>
        <v>0.001975052742</v>
      </c>
      <c r="M35" s="114" t="str">
        <f t="array" ref="M35">IF(ISERROR((L35^4)/(H35^4/4))=TRUE,"∞",((L35^4)/(H35^4/4)))</f>
        <v>∞</v>
      </c>
      <c r="N35" s="114">
        <f t="array" ref="N35">IF(ISERROR(TINV(0.05,M35))=TRUE,2,TINV(0.05,M35))</f>
        <v>2</v>
      </c>
      <c r="O35" s="115">
        <f t="array" ref="O35">L35*N35</f>
        <v>0.003950105484</v>
      </c>
      <c r="P35" s="48"/>
      <c r="Q35" s="107">
        <f t="array" ref="Q35">AVERAGE(C35:G35)-B35</f>
        <v>-0.001</v>
      </c>
      <c r="R35" s="107">
        <f t="array" ref="R35">Q35+O35</f>
        <v>0.002950105484</v>
      </c>
      <c r="S35" s="107">
        <f t="array" ref="S35">Q35-O35</f>
        <v>-0.004950105484</v>
      </c>
      <c r="T35" s="107">
        <f t="array" ref="T35">ABS(Q35)</f>
        <v>0.001</v>
      </c>
      <c r="U35" s="16"/>
      <c r="V35" s="16"/>
      <c r="W35" s="16"/>
      <c r="X35" s="16"/>
      <c r="Y35" s="16"/>
      <c r="Z35" s="16"/>
      <c r="AA35" s="16"/>
      <c r="AB35" s="16"/>
      <c r="AC35" s="16"/>
      <c r="AD35" s="55"/>
      <c r="AE35" s="56"/>
      <c r="AF35" s="57"/>
      <c r="AG35" s="57"/>
      <c r="AH35" s="57"/>
      <c r="AI35" s="57"/>
      <c r="AJ35" s="58"/>
      <c r="AK35" s="58"/>
      <c r="AL35" s="58"/>
      <c r="AM35" s="59"/>
      <c r="AN35" s="60"/>
      <c r="AO35" s="16"/>
      <c r="AP35" s="16"/>
      <c r="AQ35" s="61"/>
    </row>
    <row r="36" ht="12.75" customHeight="1">
      <c r="A36" s="98"/>
      <c r="B36" s="108">
        <f t="array" ref="B36">E26*0.5</f>
        <v>3</v>
      </c>
      <c r="C36" s="133">
        <v>2.998</v>
      </c>
      <c r="D36" s="134">
        <v>2.998</v>
      </c>
      <c r="E36" s="134">
        <v>2.998</v>
      </c>
      <c r="F36" s="134">
        <v>2.998</v>
      </c>
      <c r="G36" s="135">
        <v>2.998</v>
      </c>
      <c r="H36" s="112">
        <f t="array" ref="H36">STDEV(C36:G36)*1.4</f>
        <v>0</v>
      </c>
      <c r="I36" s="104">
        <f t="array" ref="I36">0.0059/2</f>
        <v>0.00295</v>
      </c>
      <c r="J36" s="112">
        <f t="array" ref="J36">I36/SQRT(3)</f>
        <v>0.001703183294</v>
      </c>
      <c r="K36" s="112">
        <f t="array" ref="K36">C$27</f>
        <v>0.001</v>
      </c>
      <c r="L36" s="113">
        <f t="array" ref="L36">SQRT(H36^2+J36^2+(K36)^2)</f>
        <v>0.001975052742</v>
      </c>
      <c r="M36" s="114" t="str">
        <f t="array" ref="M36">IF(ISERROR((L36^4)/(H36^4/4))=TRUE,"∞",((L36^4)/(H36^4/4)))</f>
        <v>∞</v>
      </c>
      <c r="N36" s="114">
        <f t="array" ref="N36">IF(ISERROR(TINV(0.05,M36))=TRUE,2,TINV(0.05,M36))</f>
        <v>2</v>
      </c>
      <c r="O36" s="115">
        <f t="array" ref="O36">L36*N36</f>
        <v>0.003950105484</v>
      </c>
      <c r="P36" s="48"/>
      <c r="Q36" s="107">
        <f t="array" ref="Q36">AVERAGE(C36:G36)-B36</f>
        <v>-0.002</v>
      </c>
      <c r="R36" s="107">
        <f t="array" ref="R36">Q36+O36</f>
        <v>0.001950105484</v>
      </c>
      <c r="S36" s="107">
        <f t="array" ref="S36">Q36-O36</f>
        <v>-0.005950105484</v>
      </c>
      <c r="T36" s="107">
        <f t="array" ref="T36">ABS(Q36)</f>
        <v>0.002</v>
      </c>
      <c r="U36" s="16"/>
      <c r="V36" s="16"/>
      <c r="W36" s="16"/>
      <c r="X36" s="16"/>
      <c r="Y36" s="16"/>
      <c r="Z36" s="16"/>
      <c r="AA36" s="16"/>
      <c r="AB36" s="16"/>
      <c r="AC36" s="16"/>
      <c r="AD36" s="55"/>
      <c r="AE36" s="56"/>
      <c r="AF36" s="57"/>
      <c r="AG36" s="57"/>
      <c r="AH36" s="57"/>
      <c r="AI36" s="57"/>
      <c r="AJ36" s="58"/>
      <c r="AK36" s="58"/>
      <c r="AL36" s="58"/>
      <c r="AM36" s="59"/>
      <c r="AN36" s="60"/>
      <c r="AO36" s="16"/>
      <c r="AP36" s="16"/>
      <c r="AQ36" s="61"/>
    </row>
    <row r="37" ht="12.75" customHeight="1">
      <c r="A37" s="98"/>
      <c r="B37" s="108">
        <f t="array" ref="B37">E26*0.75</f>
        <v>4.5</v>
      </c>
      <c r="C37" s="133">
        <v>4.497</v>
      </c>
      <c r="D37" s="134">
        <v>4.497</v>
      </c>
      <c r="E37" s="134">
        <v>4.497</v>
      </c>
      <c r="F37" s="134">
        <v>4.497</v>
      </c>
      <c r="G37" s="135">
        <v>4.497</v>
      </c>
      <c r="H37" s="112">
        <f t="array" ref="H37">STDEV(C37:G37)*1.4</f>
        <v>0</v>
      </c>
      <c r="I37" s="104">
        <f t="array" ref="I37">0.0059/2</f>
        <v>0.00295</v>
      </c>
      <c r="J37" s="112">
        <f t="array" ref="J37">I37/SQRT(3)</f>
        <v>0.001703183294</v>
      </c>
      <c r="K37" s="112">
        <f t="array" ref="K37">C$27</f>
        <v>0.001</v>
      </c>
      <c r="L37" s="113">
        <f t="array" ref="L37">SQRT(H37^2+J37^2+(K37)^2)</f>
        <v>0.001975052742</v>
      </c>
      <c r="M37" s="114" t="str">
        <f t="array" ref="M37">IF(ISERROR((L37^4)/(H37^4/4))=TRUE,"∞",((L37^4)/(H37^4/4)))</f>
        <v>∞</v>
      </c>
      <c r="N37" s="114">
        <f t="array" ref="N37">IF(ISERROR(TINV(0.05,M37))=TRUE,2,TINV(0.05,M37))</f>
        <v>2</v>
      </c>
      <c r="O37" s="115">
        <f t="array" ref="O37">L37*N37</f>
        <v>0.003950105484</v>
      </c>
      <c r="P37" s="48"/>
      <c r="Q37" s="107">
        <f t="array" ref="Q37">AVERAGE(C37:G37)-B37</f>
        <v>-0.003</v>
      </c>
      <c r="R37" s="107">
        <f t="array" ref="R37">Q37+O37</f>
        <v>0.0009501054838</v>
      </c>
      <c r="S37" s="107">
        <f t="array" ref="S37">Q37-O37</f>
        <v>-0.006950105484</v>
      </c>
      <c r="T37" s="107">
        <f t="array" ref="T37">ABS(Q37)</f>
        <v>0.003</v>
      </c>
      <c r="U37" s="16"/>
      <c r="V37" s="16"/>
      <c r="W37" s="16"/>
      <c r="X37" s="16"/>
      <c r="Y37" s="16"/>
      <c r="Z37" s="16"/>
      <c r="AA37" s="16"/>
      <c r="AB37" s="16"/>
      <c r="AC37" s="16"/>
      <c r="AD37" s="55"/>
      <c r="AE37" s="56"/>
      <c r="AF37" s="57"/>
      <c r="AG37" s="57"/>
      <c r="AH37" s="57"/>
      <c r="AI37" s="57"/>
      <c r="AJ37" s="58"/>
      <c r="AK37" s="58"/>
      <c r="AL37" s="58"/>
      <c r="AM37" s="59"/>
      <c r="AN37" s="60"/>
      <c r="AO37" s="16"/>
      <c r="AP37" s="16"/>
      <c r="AQ37" s="61"/>
    </row>
    <row r="38" ht="12.75" customHeight="1">
      <c r="A38" s="98"/>
      <c r="B38" s="116">
        <f t="array" ref="B38">E26*0.9</f>
        <v>5.4</v>
      </c>
      <c r="C38" s="136">
        <v>5.397</v>
      </c>
      <c r="D38" s="137">
        <v>5.397</v>
      </c>
      <c r="E38" s="137">
        <v>5.397</v>
      </c>
      <c r="F38" s="137">
        <v>5.397</v>
      </c>
      <c r="G38" s="138">
        <v>5.397</v>
      </c>
      <c r="H38" s="120">
        <f t="array" ref="H38">STDEV(C38:G38)*1.4</f>
        <v>0</v>
      </c>
      <c r="I38" s="103">
        <f t="array" ref="I38">0.0059/2</f>
        <v>0.00295</v>
      </c>
      <c r="J38" s="120">
        <f t="array" ref="J38">I38/SQRT(3)</f>
        <v>0.001703183294</v>
      </c>
      <c r="K38" s="120">
        <f t="array" ref="K38">C$27</f>
        <v>0.001</v>
      </c>
      <c r="L38" s="121">
        <f t="array" ref="L38">SQRT(H38^2+J38^2+(K38)^2)</f>
        <v>0.001975052742</v>
      </c>
      <c r="M38" s="122" t="str">
        <f t="array" ref="M38">IF(ISERROR((L38^4)/(H38^4/4))=TRUE,"∞",((L38^4)/(H38^4/4)))</f>
        <v>∞</v>
      </c>
      <c r="N38" s="122">
        <f t="array" ref="N38">IF(ISERROR(TINV(0.05,M38))=TRUE,2,TINV(0.05,M38))</f>
        <v>2</v>
      </c>
      <c r="O38" s="123">
        <f t="array" ref="O38">L38*N38</f>
        <v>0.003950105484</v>
      </c>
      <c r="P38" s="48"/>
      <c r="Q38" s="107">
        <f t="array" ref="Q38">AVERAGE(C38:G38)-B38</f>
        <v>-0.003</v>
      </c>
      <c r="R38" s="107">
        <f t="array" ref="R38">Q38+O38</f>
        <v>0.0009501054838</v>
      </c>
      <c r="S38" s="107">
        <f t="array" ref="S38">Q38-O38</f>
        <v>-0.006950105484</v>
      </c>
      <c r="T38" s="107">
        <f t="array" ref="T38">ABS(Q38)</f>
        <v>0.003</v>
      </c>
      <c r="U38" s="16"/>
      <c r="V38" s="16"/>
      <c r="W38" s="16"/>
      <c r="X38" s="16"/>
      <c r="Y38" s="16"/>
      <c r="Z38" s="16"/>
      <c r="AA38" s="16"/>
      <c r="AB38" s="16"/>
      <c r="AC38" s="16"/>
      <c r="AD38" s="55"/>
      <c r="AE38" s="56"/>
      <c r="AF38" s="57"/>
      <c r="AG38" s="57"/>
      <c r="AH38" s="57"/>
      <c r="AI38" s="57"/>
      <c r="AJ38" s="58"/>
      <c r="AK38" s="58"/>
      <c r="AL38" s="58"/>
      <c r="AM38" s="59"/>
      <c r="AN38" s="60"/>
      <c r="AO38" s="16"/>
      <c r="AP38" s="16"/>
      <c r="AQ38" s="61"/>
    </row>
    <row r="39" ht="13.5" customHeight="1">
      <c r="A39" s="15"/>
      <c r="B39" s="124"/>
      <c r="C39" s="124"/>
      <c r="D39" s="124"/>
      <c r="E39" s="124"/>
      <c r="F39" s="124"/>
      <c r="G39" s="124"/>
      <c r="H39" s="125"/>
      <c r="I39" s="126"/>
      <c r="J39" s="125"/>
      <c r="K39" s="125"/>
      <c r="L39" s="127"/>
      <c r="M39" s="128"/>
      <c r="N39" s="128"/>
      <c r="O39" s="129"/>
      <c r="P39" s="48"/>
      <c r="Q39" s="107"/>
      <c r="R39" s="107"/>
      <c r="S39" s="107"/>
      <c r="T39" s="107"/>
      <c r="U39" s="16"/>
      <c r="V39" s="16"/>
      <c r="W39" s="16"/>
      <c r="X39" s="16"/>
      <c r="Y39" s="16"/>
      <c r="Z39" s="16"/>
      <c r="AA39" s="16"/>
      <c r="AB39" s="16"/>
      <c r="AC39" s="16"/>
      <c r="AD39" s="55"/>
      <c r="AE39" s="56"/>
      <c r="AF39" s="57"/>
      <c r="AG39" s="57"/>
      <c r="AH39" s="57"/>
      <c r="AI39" s="57"/>
      <c r="AJ39" s="58"/>
      <c r="AK39" s="58"/>
      <c r="AL39" s="58"/>
      <c r="AM39" s="59"/>
      <c r="AN39" s="60"/>
      <c r="AO39" s="16"/>
      <c r="AP39" s="16"/>
      <c r="AQ39" s="61"/>
    </row>
    <row r="40" ht="39.75" customHeight="1">
      <c r="A40" s="44"/>
      <c r="B40" s="45" t="s">
        <v>7</v>
      </c>
      <c r="C40" s="46"/>
      <c r="D40" s="46"/>
      <c r="E40" s="46"/>
      <c r="F40" s="46"/>
      <c r="G40" s="46"/>
      <c r="H40" s="46"/>
      <c r="I40" s="46"/>
      <c r="J40" s="46"/>
      <c r="K40" s="46"/>
      <c r="L40" s="46"/>
      <c r="M40" s="46"/>
      <c r="N40" s="46"/>
      <c r="O40" s="47"/>
      <c r="P40" s="48"/>
      <c r="Q40" s="16"/>
      <c r="R40" s="16"/>
      <c r="S40" s="16"/>
      <c r="T40" s="16"/>
      <c r="U40" s="16"/>
      <c r="V40" s="16"/>
      <c r="W40" s="16"/>
      <c r="X40" s="16"/>
      <c r="Y40" s="16"/>
      <c r="Z40" s="16"/>
      <c r="AA40" s="16"/>
      <c r="AB40" s="16"/>
      <c r="AC40" s="16"/>
      <c r="AD40" s="29"/>
      <c r="AE40" s="28"/>
      <c r="AF40" s="38"/>
      <c r="AG40" s="38"/>
      <c r="AH40" s="38"/>
      <c r="AI40" s="38"/>
      <c r="AJ40" s="39"/>
      <c r="AK40" s="39"/>
      <c r="AL40" s="39"/>
      <c r="AM40" s="40"/>
      <c r="AN40" s="43"/>
      <c r="AO40" s="33"/>
      <c r="AP40" s="33"/>
      <c r="AQ40" s="36"/>
    </row>
    <row r="41" ht="13.5" customHeight="1">
      <c r="A41" s="44"/>
      <c r="B41" s="49" t="s">
        <v>8</v>
      </c>
      <c r="C41" s="50">
        <v>0.0</v>
      </c>
      <c r="D41" s="51" t="s">
        <v>9</v>
      </c>
      <c r="E41" s="50">
        <v>60.0</v>
      </c>
      <c r="F41" s="52"/>
      <c r="G41" s="53"/>
      <c r="H41" s="53"/>
      <c r="I41" s="53"/>
      <c r="J41" s="53"/>
      <c r="K41" s="53"/>
      <c r="L41" s="53"/>
      <c r="M41" s="53"/>
      <c r="N41" s="53"/>
      <c r="O41" s="54"/>
      <c r="P41" s="48"/>
      <c r="Q41" s="16"/>
      <c r="R41" s="16"/>
      <c r="S41" s="16"/>
      <c r="T41" s="16"/>
      <c r="U41" s="16"/>
      <c r="V41" s="16"/>
      <c r="W41" s="16"/>
      <c r="X41" s="16"/>
      <c r="Y41" s="16"/>
      <c r="Z41" s="16"/>
      <c r="AA41" s="16"/>
      <c r="AB41" s="16"/>
      <c r="AC41" s="16"/>
      <c r="AD41" s="55"/>
      <c r="AE41" s="56"/>
      <c r="AF41" s="57"/>
      <c r="AG41" s="57"/>
      <c r="AH41" s="57"/>
      <c r="AI41" s="57"/>
      <c r="AJ41" s="58"/>
      <c r="AK41" s="58"/>
      <c r="AL41" s="58"/>
      <c r="AM41" s="59"/>
      <c r="AN41" s="60"/>
      <c r="AO41" s="16"/>
      <c r="AP41" s="16"/>
      <c r="AQ41" s="61"/>
    </row>
    <row r="42" ht="13.5" customHeight="1">
      <c r="A42" s="44"/>
      <c r="B42" s="62" t="s">
        <v>10</v>
      </c>
      <c r="C42" s="63">
        <v>0.01</v>
      </c>
      <c r="D42" s="64"/>
      <c r="E42" s="65"/>
      <c r="F42" s="66"/>
      <c r="G42" s="67"/>
      <c r="H42" s="68" t="s">
        <v>11</v>
      </c>
      <c r="I42" s="69"/>
      <c r="J42" s="70"/>
      <c r="K42" s="66"/>
      <c r="L42" s="66"/>
      <c r="M42" s="66"/>
      <c r="N42" s="66"/>
      <c r="O42" s="71"/>
      <c r="P42" s="48"/>
      <c r="Q42" s="16"/>
      <c r="R42" s="16"/>
      <c r="S42" s="16"/>
      <c r="T42" s="16"/>
      <c r="U42" s="16"/>
      <c r="V42" s="16"/>
      <c r="W42" s="16"/>
      <c r="X42" s="16"/>
      <c r="Y42" s="16"/>
      <c r="Z42" s="16"/>
      <c r="AA42" s="16"/>
      <c r="AB42" s="16"/>
      <c r="AC42" s="16"/>
      <c r="AD42" s="55"/>
      <c r="AE42" s="56"/>
      <c r="AF42" s="57"/>
      <c r="AG42" s="57"/>
      <c r="AH42" s="57"/>
      <c r="AI42" s="57"/>
      <c r="AJ42" s="58"/>
      <c r="AK42" s="58"/>
      <c r="AL42" s="58"/>
      <c r="AM42" s="59"/>
      <c r="AN42" s="60"/>
      <c r="AO42" s="16"/>
      <c r="AP42" s="16"/>
      <c r="AQ42" s="61"/>
    </row>
    <row r="43" ht="13.5" customHeight="1">
      <c r="A43" s="44"/>
      <c r="B43" s="72" t="s">
        <v>12</v>
      </c>
      <c r="C43" s="73" t="s">
        <v>42</v>
      </c>
      <c r="D43" s="74" t="s">
        <v>14</v>
      </c>
      <c r="E43" s="75">
        <f t="array" ref="E43">MAX(Q49:Q53)</f>
        <v>0</v>
      </c>
      <c r="F43" s="76" t="str">
        <f t="array" ref="F43">C43</f>
        <v>V</v>
      </c>
      <c r="G43" s="67"/>
      <c r="H43" s="68" t="s">
        <v>15</v>
      </c>
      <c r="I43" s="77" t="s">
        <v>16</v>
      </c>
      <c r="J43" s="78"/>
      <c r="K43" s="79"/>
      <c r="L43" s="66"/>
      <c r="M43" s="66"/>
      <c r="N43" s="66"/>
      <c r="O43" s="71"/>
      <c r="P43" s="48"/>
      <c r="Q43" s="16"/>
      <c r="R43" s="16"/>
      <c r="S43" s="16"/>
      <c r="T43" s="16"/>
      <c r="U43" s="16"/>
      <c r="V43" s="16"/>
      <c r="W43" s="16"/>
      <c r="X43" s="16"/>
      <c r="Y43" s="16"/>
      <c r="Z43" s="16"/>
      <c r="AA43" s="16"/>
      <c r="AB43" s="16"/>
      <c r="AC43" s="16"/>
      <c r="AD43" s="55"/>
      <c r="AE43" s="56"/>
      <c r="AF43" s="57"/>
      <c r="AG43" s="57"/>
      <c r="AH43" s="57"/>
      <c r="AI43" s="57"/>
      <c r="AJ43" s="58"/>
      <c r="AK43" s="58"/>
      <c r="AL43" s="58"/>
      <c r="AM43" s="59"/>
      <c r="AN43" s="60"/>
      <c r="AO43" s="16"/>
      <c r="AP43" s="16"/>
      <c r="AQ43" s="61"/>
    </row>
    <row r="44" ht="12.75" customHeight="1">
      <c r="A44" s="44"/>
      <c r="B44" s="80"/>
      <c r="C44" s="65"/>
      <c r="D44" s="76" t="s">
        <v>17</v>
      </c>
      <c r="E44" s="81">
        <f t="array" ref="E44">MAX(O49:O53)</f>
        <v>0.00642935974</v>
      </c>
      <c r="F44" s="76" t="str">
        <f t="array" ref="F44">C43</f>
        <v>V</v>
      </c>
      <c r="G44" s="67"/>
      <c r="H44" s="82"/>
      <c r="I44" s="68" t="s">
        <v>18</v>
      </c>
      <c r="J44" s="82"/>
      <c r="K44" s="79"/>
      <c r="L44" s="66"/>
      <c r="M44" s="66"/>
      <c r="N44" s="66"/>
      <c r="O44" s="71"/>
      <c r="P44" s="48"/>
      <c r="Q44" s="16"/>
      <c r="R44" s="16"/>
      <c r="S44" s="16"/>
      <c r="T44" s="16"/>
      <c r="U44" s="16"/>
      <c r="V44" s="16"/>
      <c r="W44" s="16"/>
      <c r="X44" s="16"/>
      <c r="Y44" s="16"/>
      <c r="Z44" s="16"/>
      <c r="AA44" s="16"/>
      <c r="AB44" s="16"/>
      <c r="AC44" s="16"/>
      <c r="AD44" s="55"/>
      <c r="AE44" s="56"/>
      <c r="AF44" s="57"/>
      <c r="AG44" s="57"/>
      <c r="AH44" s="57"/>
      <c r="AI44" s="57"/>
      <c r="AJ44" s="58"/>
      <c r="AK44" s="58"/>
      <c r="AL44" s="58"/>
      <c r="AM44" s="59"/>
      <c r="AN44" s="60"/>
      <c r="AO44" s="16"/>
      <c r="AP44" s="16"/>
      <c r="AQ44" s="61"/>
    </row>
    <row r="45" ht="12.75" customHeight="1">
      <c r="A45" s="44"/>
      <c r="B45" s="83"/>
      <c r="C45" s="66"/>
      <c r="D45" s="66"/>
      <c r="E45" s="66"/>
      <c r="F45" s="66"/>
      <c r="G45" s="67"/>
      <c r="H45" s="82"/>
      <c r="I45" s="68" t="s">
        <v>19</v>
      </c>
      <c r="J45" s="82"/>
      <c r="K45" s="79"/>
      <c r="L45" s="66"/>
      <c r="M45" s="66"/>
      <c r="N45" s="66"/>
      <c r="O45" s="84"/>
      <c r="P45" s="48"/>
      <c r="Q45" s="16"/>
      <c r="R45" s="16"/>
      <c r="S45" s="16"/>
      <c r="T45" s="16"/>
      <c r="U45" s="16"/>
      <c r="V45" s="16"/>
      <c r="W45" s="16"/>
      <c r="X45" s="16"/>
      <c r="Y45" s="16"/>
      <c r="Z45" s="16"/>
      <c r="AA45" s="16"/>
      <c r="AB45" s="16"/>
      <c r="AC45" s="16"/>
      <c r="AD45" s="55"/>
      <c r="AE45" s="56"/>
      <c r="AF45" s="57"/>
      <c r="AG45" s="57"/>
      <c r="AH45" s="57"/>
      <c r="AI45" s="57"/>
      <c r="AJ45" s="58"/>
      <c r="AK45" s="58"/>
      <c r="AL45" s="58"/>
      <c r="AM45" s="59"/>
      <c r="AN45" s="60"/>
      <c r="AO45" s="16"/>
      <c r="AP45" s="16"/>
      <c r="AQ45" s="61"/>
    </row>
    <row r="46" ht="12.75" customHeight="1">
      <c r="A46" s="44"/>
      <c r="B46" s="85" t="s">
        <v>20</v>
      </c>
      <c r="C46" s="69"/>
      <c r="D46" s="70"/>
      <c r="E46" s="70"/>
      <c r="F46" s="70"/>
      <c r="G46" s="86"/>
      <c r="H46" s="87" t="s">
        <v>21</v>
      </c>
      <c r="I46" s="88">
        <v>5502.0</v>
      </c>
      <c r="J46" s="88"/>
      <c r="K46" s="69"/>
      <c r="L46" s="70"/>
      <c r="M46" s="70"/>
      <c r="N46" s="86"/>
      <c r="O46" s="89" t="s">
        <v>22</v>
      </c>
      <c r="P46" s="48"/>
      <c r="Q46" s="16"/>
      <c r="R46" s="16"/>
      <c r="S46" s="16"/>
      <c r="T46" s="16"/>
      <c r="U46" s="16"/>
      <c r="V46" s="16"/>
      <c r="W46" s="16"/>
      <c r="X46" s="16"/>
      <c r="Y46" s="16"/>
      <c r="Z46" s="16"/>
      <c r="AA46" s="16"/>
      <c r="AB46" s="16"/>
      <c r="AC46" s="16"/>
      <c r="AD46" s="55"/>
      <c r="AE46" s="56"/>
      <c r="AF46" s="57"/>
      <c r="AG46" s="57"/>
      <c r="AH46" s="57"/>
      <c r="AI46" s="57"/>
      <c r="AJ46" s="58"/>
      <c r="AK46" s="58"/>
      <c r="AL46" s="58"/>
      <c r="AM46" s="59"/>
      <c r="AN46" s="60"/>
      <c r="AO46" s="16"/>
      <c r="AP46" s="16"/>
      <c r="AQ46" s="61"/>
    </row>
    <row r="47" ht="12.75" customHeight="1">
      <c r="A47" s="44"/>
      <c r="B47" s="90" t="s">
        <v>23</v>
      </c>
      <c r="C47" s="77" t="s">
        <v>24</v>
      </c>
      <c r="D47" s="77" t="s">
        <v>25</v>
      </c>
      <c r="E47" s="77" t="s">
        <v>26</v>
      </c>
      <c r="F47" s="77" t="s">
        <v>27</v>
      </c>
      <c r="G47" s="77" t="s">
        <v>28</v>
      </c>
      <c r="H47" s="77" t="s">
        <v>29</v>
      </c>
      <c r="I47" s="77" t="s">
        <v>30</v>
      </c>
      <c r="J47" s="77" t="s">
        <v>31</v>
      </c>
      <c r="K47" s="77" t="s">
        <v>32</v>
      </c>
      <c r="L47" s="77" t="s">
        <v>33</v>
      </c>
      <c r="M47" s="77" t="s">
        <v>34</v>
      </c>
      <c r="N47" s="91"/>
      <c r="O47" s="92" t="s">
        <v>35</v>
      </c>
      <c r="P47" s="48"/>
      <c r="Q47" s="16"/>
      <c r="R47" s="16"/>
      <c r="S47" s="16"/>
      <c r="T47" s="16"/>
      <c r="U47" s="16"/>
      <c r="V47" s="16"/>
      <c r="W47" s="16"/>
      <c r="X47" s="16"/>
      <c r="Y47" s="16"/>
      <c r="Z47" s="16"/>
      <c r="AA47" s="16"/>
      <c r="AB47" s="16"/>
      <c r="AC47" s="16"/>
      <c r="AD47" s="55"/>
      <c r="AE47" s="56"/>
      <c r="AF47" s="57"/>
      <c r="AG47" s="57"/>
      <c r="AH47" s="57"/>
      <c r="AI47" s="57"/>
      <c r="AJ47" s="58"/>
      <c r="AK47" s="58"/>
      <c r="AL47" s="58"/>
      <c r="AM47" s="59"/>
      <c r="AN47" s="60"/>
      <c r="AO47" s="16"/>
      <c r="AP47" s="16"/>
      <c r="AQ47" s="61"/>
    </row>
    <row r="48" ht="12.75" customHeight="1">
      <c r="A48" s="44"/>
      <c r="B48" s="93" t="str">
        <f t="array" ref="B48">C43</f>
        <v>V</v>
      </c>
      <c r="C48" s="87" t="str">
        <f t="array" ref="C48">$B48</f>
        <v>V</v>
      </c>
      <c r="D48" s="87" t="str">
        <f t="array" ref="D48">$B48</f>
        <v>V</v>
      </c>
      <c r="E48" s="87" t="str">
        <f t="array" ref="E48">$B48</f>
        <v>V</v>
      </c>
      <c r="F48" s="87" t="str">
        <f t="array" ref="F48">$B48</f>
        <v>V</v>
      </c>
      <c r="G48" s="87" t="str">
        <f t="array" ref="G48">$B48</f>
        <v>V</v>
      </c>
      <c r="H48" s="87" t="str">
        <f t="array" ref="H48">$B48</f>
        <v>V</v>
      </c>
      <c r="I48" s="87" t="str">
        <f t="array" ref="I48">$B48</f>
        <v>V</v>
      </c>
      <c r="J48" s="87" t="str">
        <f t="array" ref="J48">$B48</f>
        <v>V</v>
      </c>
      <c r="K48" s="87" t="str">
        <f t="array" ref="K48">$B48</f>
        <v>V</v>
      </c>
      <c r="L48" s="87" t="str">
        <f t="array" ref="L48">$B48</f>
        <v>V</v>
      </c>
      <c r="M48" s="94" t="s">
        <v>36</v>
      </c>
      <c r="N48" s="87" t="s">
        <v>37</v>
      </c>
      <c r="O48" s="95" t="str">
        <f t="array" ref="O48">$B48</f>
        <v>V</v>
      </c>
      <c r="P48" s="48"/>
      <c r="Q48" s="96" t="s">
        <v>38</v>
      </c>
      <c r="R48" s="96" t="s">
        <v>39</v>
      </c>
      <c r="S48" s="96" t="s">
        <v>40</v>
      </c>
      <c r="T48" s="97" t="s">
        <v>41</v>
      </c>
      <c r="U48" s="16"/>
      <c r="V48" s="16"/>
      <c r="W48" s="16"/>
      <c r="X48" s="16"/>
      <c r="Y48" s="16"/>
      <c r="Z48" s="16"/>
      <c r="AA48" s="16"/>
      <c r="AB48" s="16"/>
      <c r="AC48" s="16"/>
      <c r="AD48" s="55"/>
      <c r="AE48" s="56"/>
      <c r="AF48" s="57"/>
      <c r="AG48" s="57"/>
      <c r="AH48" s="57"/>
      <c r="AI48" s="57"/>
      <c r="AJ48" s="58"/>
      <c r="AK48" s="58"/>
      <c r="AL48" s="58"/>
      <c r="AM48" s="59"/>
      <c r="AN48" s="60"/>
      <c r="AO48" s="16"/>
      <c r="AP48" s="16"/>
      <c r="AQ48" s="61"/>
    </row>
    <row r="49" ht="12.75" customHeight="1">
      <c r="A49" s="98"/>
      <c r="B49" s="99">
        <f t="array" ref="B49">E41*0.1</f>
        <v>6</v>
      </c>
      <c r="C49" s="139">
        <v>5.996</v>
      </c>
      <c r="D49" s="140">
        <v>5.996</v>
      </c>
      <c r="E49" s="140">
        <v>5.996</v>
      </c>
      <c r="F49" s="140">
        <v>5.996</v>
      </c>
      <c r="G49" s="141">
        <v>5.996</v>
      </c>
      <c r="H49" s="103">
        <f t="array" ref="H49">STDEV(C49:G49)*1.4</f>
        <v>0</v>
      </c>
      <c r="I49" s="104">
        <f t="array" ref="I49">0.0049/2</f>
        <v>0.00245</v>
      </c>
      <c r="J49" s="103">
        <f t="array" ref="J49">I49/SQRT(3)</f>
        <v>0.00141450816</v>
      </c>
      <c r="K49" s="103">
        <f t="array" ref="K49">(C$42)/SQRT(12)</f>
        <v>0.002886751346</v>
      </c>
      <c r="L49" s="105">
        <f t="array" ref="L49">SQRT(H49^2+J49^2+(K49)^2)</f>
        <v>0.00321467987</v>
      </c>
      <c r="M49" s="91" t="str">
        <f t="array" ref="M49">IF(ISERROR((L49^4)/(H49^4/4))=TRUE,"∞",((L49^4)/(H49^4/4)))</f>
        <v>∞</v>
      </c>
      <c r="N49" s="91">
        <f t="array" ref="N49">IF(ISERROR(TINV(0.05,M49))=TRUE,2,TINV(0.05,M49))</f>
        <v>2</v>
      </c>
      <c r="O49" s="106">
        <f t="array" ref="O49">L49*N49</f>
        <v>0.00642935974</v>
      </c>
      <c r="P49" s="48"/>
      <c r="Q49" s="107">
        <f t="array" ref="Q49">AVERAGE(C49:G49)-B49</f>
        <v>-0.004</v>
      </c>
      <c r="R49" s="107">
        <f t="array" ref="R49">Q49+O49</f>
        <v>0.00242935974</v>
      </c>
      <c r="S49" s="107">
        <f t="array" ref="S49">Q49-O49</f>
        <v>-0.01042935974</v>
      </c>
      <c r="T49" s="107">
        <f t="array" ref="T49">ABS(Q49)</f>
        <v>0.004</v>
      </c>
      <c r="U49" s="16"/>
      <c r="V49" s="16"/>
      <c r="W49" s="16"/>
      <c r="X49" s="16"/>
      <c r="Y49" s="16"/>
      <c r="Z49" s="16"/>
      <c r="AA49" s="16"/>
      <c r="AB49" s="16"/>
      <c r="AC49" s="16"/>
      <c r="AD49" s="55"/>
      <c r="AE49" s="56"/>
      <c r="AF49" s="57"/>
      <c r="AG49" s="57"/>
      <c r="AH49" s="57"/>
      <c r="AI49" s="57"/>
      <c r="AJ49" s="58"/>
      <c r="AK49" s="58"/>
      <c r="AL49" s="58"/>
      <c r="AM49" s="59"/>
      <c r="AN49" s="60"/>
      <c r="AO49" s="16"/>
      <c r="AP49" s="16"/>
      <c r="AQ49" s="61"/>
    </row>
    <row r="50" ht="12.75" customHeight="1">
      <c r="A50" s="98"/>
      <c r="B50" s="108">
        <f t="array" ref="B50">E41*0.25</f>
        <v>15</v>
      </c>
      <c r="C50" s="142">
        <v>15.0</v>
      </c>
      <c r="D50" s="143">
        <v>15.0</v>
      </c>
      <c r="E50" s="143">
        <v>15.0</v>
      </c>
      <c r="F50" s="143">
        <v>15.0</v>
      </c>
      <c r="G50" s="144">
        <v>15.0</v>
      </c>
      <c r="H50" s="112">
        <f t="array" ref="H50">STDEV(C50:G50)*1.4</f>
        <v>0</v>
      </c>
      <c r="I50" s="104">
        <f t="array" ref="I50">0.0049/2</f>
        <v>0.00245</v>
      </c>
      <c r="J50" s="112">
        <f t="array" ref="J50">I50/SQRT(3)</f>
        <v>0.00141450816</v>
      </c>
      <c r="K50" s="112">
        <f t="array" ref="K50">(C$42)/SQRT(12)</f>
        <v>0.002886751346</v>
      </c>
      <c r="L50" s="113">
        <f t="array" ref="L50">SQRT(H50^2+J50^2+(K50)^2)</f>
        <v>0.00321467987</v>
      </c>
      <c r="M50" s="114" t="str">
        <f t="array" ref="M50">IF(ISERROR((L50^4)/(H50^4/4))=TRUE,"∞",((L50^4)/(H50^4/4)))</f>
        <v>∞</v>
      </c>
      <c r="N50" s="114">
        <f t="array" ref="N50">IF(ISERROR(TINV(0.05,M50))=TRUE,2,TINV(0.05,M50))</f>
        <v>2</v>
      </c>
      <c r="O50" s="115">
        <f t="array" ref="O50">L50*N50</f>
        <v>0.00642935974</v>
      </c>
      <c r="P50" s="48"/>
      <c r="Q50" s="107">
        <f t="array" ref="Q50">AVERAGE(C50:G50)-B50</f>
        <v>0</v>
      </c>
      <c r="R50" s="107">
        <f t="array" ref="R50">Q50+O50</f>
        <v>0.00642935974</v>
      </c>
      <c r="S50" s="107">
        <f t="array" ref="S50">Q50-O50</f>
        <v>-0.00642935974</v>
      </c>
      <c r="T50" s="107">
        <f t="array" ref="T50">ABS(Q50)</f>
        <v>0</v>
      </c>
      <c r="U50" s="16"/>
      <c r="V50" s="16"/>
      <c r="W50" s="16"/>
      <c r="X50" s="16"/>
      <c r="Y50" s="16"/>
      <c r="Z50" s="16"/>
      <c r="AA50" s="16"/>
      <c r="AB50" s="16"/>
      <c r="AC50" s="16"/>
      <c r="AD50" s="55"/>
      <c r="AE50" s="56"/>
      <c r="AF50" s="57"/>
      <c r="AG50" s="57"/>
      <c r="AH50" s="57"/>
      <c r="AI50" s="57"/>
      <c r="AJ50" s="58"/>
      <c r="AK50" s="58"/>
      <c r="AL50" s="58"/>
      <c r="AM50" s="59"/>
      <c r="AN50" s="60"/>
      <c r="AO50" s="16"/>
      <c r="AP50" s="16"/>
      <c r="AQ50" s="61"/>
    </row>
    <row r="51" ht="12.75" customHeight="1">
      <c r="A51" s="98"/>
      <c r="B51" s="108">
        <f t="array" ref="B51">E41*0.5</f>
        <v>30</v>
      </c>
      <c r="C51" s="142">
        <v>29.99</v>
      </c>
      <c r="D51" s="143">
        <v>29.99</v>
      </c>
      <c r="E51" s="143">
        <v>29.99</v>
      </c>
      <c r="F51" s="143">
        <v>29.99</v>
      </c>
      <c r="G51" s="144">
        <v>29.99</v>
      </c>
      <c r="H51" s="112">
        <f t="array" ref="H51">STDEV(C51:G51)*1.4</f>
        <v>0</v>
      </c>
      <c r="I51" s="104">
        <f t="array" ref="I51">0.0049/2</f>
        <v>0.00245</v>
      </c>
      <c r="J51" s="112">
        <f t="array" ref="J51">I51/SQRT(3)</f>
        <v>0.00141450816</v>
      </c>
      <c r="K51" s="112">
        <f t="array" ref="K51">(C$42)/SQRT(12)</f>
        <v>0.002886751346</v>
      </c>
      <c r="L51" s="113">
        <f t="array" ref="L51">SQRT(H51^2+J51^2+(K51)^2)</f>
        <v>0.00321467987</v>
      </c>
      <c r="M51" s="114" t="str">
        <f t="array" ref="M51">IF(ISERROR((L51^4)/(H51^4/4))=TRUE,"∞",((L51^4)/(H51^4/4)))</f>
        <v>∞</v>
      </c>
      <c r="N51" s="114">
        <f t="array" ref="N51">IF(ISERROR(TINV(0.05,M51))=TRUE,2,TINV(0.05,M51))</f>
        <v>2</v>
      </c>
      <c r="O51" s="115">
        <f t="array" ref="O51">L51*N51</f>
        <v>0.00642935974</v>
      </c>
      <c r="P51" s="48"/>
      <c r="Q51" s="107">
        <f t="array" ref="Q51">AVERAGE(C51:G51)-B51</f>
        <v>-0.01</v>
      </c>
      <c r="R51" s="107">
        <f t="array" ref="R51">Q51+O51</f>
        <v>-0.00357064026</v>
      </c>
      <c r="S51" s="107">
        <f t="array" ref="S51">Q51-O51</f>
        <v>-0.01642935974</v>
      </c>
      <c r="T51" s="107">
        <f t="array" ref="T51">ABS(Q51)</f>
        <v>0.01</v>
      </c>
      <c r="U51" s="16"/>
      <c r="V51" s="16"/>
      <c r="W51" s="16"/>
      <c r="X51" s="16"/>
      <c r="Y51" s="16"/>
      <c r="Z51" s="16"/>
      <c r="AA51" s="16"/>
      <c r="AB51" s="16"/>
      <c r="AC51" s="16"/>
      <c r="AD51" s="55"/>
      <c r="AE51" s="56"/>
      <c r="AF51" s="57"/>
      <c r="AG51" s="57"/>
      <c r="AH51" s="57"/>
      <c r="AI51" s="57"/>
      <c r="AJ51" s="58"/>
      <c r="AK51" s="58"/>
      <c r="AL51" s="58"/>
      <c r="AM51" s="59"/>
      <c r="AN51" s="60"/>
      <c r="AO51" s="16"/>
      <c r="AP51" s="16"/>
      <c r="AQ51" s="61"/>
    </row>
    <row r="52" ht="12.75" customHeight="1">
      <c r="A52" s="98"/>
      <c r="B52" s="108">
        <f t="array" ref="B52">E41*0.75</f>
        <v>45</v>
      </c>
      <c r="C52" s="142">
        <v>44.98</v>
      </c>
      <c r="D52" s="143">
        <v>44.98</v>
      </c>
      <c r="E52" s="143">
        <v>44.98</v>
      </c>
      <c r="F52" s="143">
        <v>44.98</v>
      </c>
      <c r="G52" s="144">
        <v>44.98</v>
      </c>
      <c r="H52" s="112">
        <f t="array" ref="H52">STDEV(C52:G52)*1.4</f>
        <v>0</v>
      </c>
      <c r="I52" s="104">
        <f t="array" ref="I52">0.0049/2</f>
        <v>0.00245</v>
      </c>
      <c r="J52" s="112">
        <f t="array" ref="J52">I52/SQRT(3)</f>
        <v>0.00141450816</v>
      </c>
      <c r="K52" s="112">
        <f t="array" ref="K52">(C$42)/SQRT(12)</f>
        <v>0.002886751346</v>
      </c>
      <c r="L52" s="113">
        <f t="array" ref="L52">SQRT(H52^2+J52^2+(K52)^2)</f>
        <v>0.00321467987</v>
      </c>
      <c r="M52" s="114" t="str">
        <f t="array" ref="M52">IF(ISERROR((L52^4)/(H52^4/4))=TRUE,"∞",((L52^4)/(H52^4/4)))</f>
        <v>∞</v>
      </c>
      <c r="N52" s="114">
        <f t="array" ref="N52">IF(ISERROR(TINV(0.05,M52))=TRUE,2,TINV(0.05,M52))</f>
        <v>2</v>
      </c>
      <c r="O52" s="115">
        <f t="array" ref="O52">L52*N52</f>
        <v>0.00642935974</v>
      </c>
      <c r="P52" s="48"/>
      <c r="Q52" s="107">
        <f t="array" ref="Q52">AVERAGE(C52:G52)-B52</f>
        <v>-0.02</v>
      </c>
      <c r="R52" s="107">
        <f t="array" ref="R52">Q52+O52</f>
        <v>-0.01357064026</v>
      </c>
      <c r="S52" s="107">
        <f t="array" ref="S52">Q52-O52</f>
        <v>-0.02642935974</v>
      </c>
      <c r="T52" s="107">
        <f t="array" ref="T52">ABS(Q52)</f>
        <v>0.02</v>
      </c>
      <c r="U52" s="16"/>
      <c r="V52" s="16"/>
      <c r="W52" s="16"/>
      <c r="X52" s="16"/>
      <c r="Y52" s="16"/>
      <c r="Z52" s="16"/>
      <c r="AA52" s="16"/>
      <c r="AB52" s="16"/>
      <c r="AC52" s="16"/>
      <c r="AD52" s="55"/>
      <c r="AE52" s="56"/>
      <c r="AF52" s="57"/>
      <c r="AG52" s="57"/>
      <c r="AH52" s="57"/>
      <c r="AI52" s="57"/>
      <c r="AJ52" s="58"/>
      <c r="AK52" s="58"/>
      <c r="AL52" s="58"/>
      <c r="AM52" s="59"/>
      <c r="AN52" s="60"/>
      <c r="AO52" s="16"/>
      <c r="AP52" s="16"/>
      <c r="AQ52" s="61"/>
    </row>
    <row r="53" ht="12.75" customHeight="1">
      <c r="A53" s="98"/>
      <c r="B53" s="116">
        <f t="array" ref="B53">E41*0.9</f>
        <v>54</v>
      </c>
      <c r="C53" s="145">
        <v>53.98</v>
      </c>
      <c r="D53" s="146">
        <v>53.98</v>
      </c>
      <c r="E53" s="146">
        <v>53.98</v>
      </c>
      <c r="F53" s="146">
        <v>53.98</v>
      </c>
      <c r="G53" s="147">
        <v>53.98</v>
      </c>
      <c r="H53" s="120">
        <f t="array" ref="H53">STDEV(C53:G53)*1.4</f>
        <v>0</v>
      </c>
      <c r="I53" s="103">
        <f t="array" ref="I53">0.0049/2</f>
        <v>0.00245</v>
      </c>
      <c r="J53" s="120">
        <f t="array" ref="J53">I53/SQRT(3)</f>
        <v>0.00141450816</v>
      </c>
      <c r="K53" s="120">
        <f t="array" ref="K53">(C$42)/SQRT(12)</f>
        <v>0.002886751346</v>
      </c>
      <c r="L53" s="121">
        <f t="array" ref="L53">SQRT(H53^2+J53^2+(K53)^2)</f>
        <v>0.00321467987</v>
      </c>
      <c r="M53" s="122" t="str">
        <f t="array" ref="M53">IF(ISERROR((L53^4)/(H53^4/4))=TRUE,"∞",((L53^4)/(H53^4/4)))</f>
        <v>∞</v>
      </c>
      <c r="N53" s="122">
        <f t="array" ref="N53">IF(ISERROR(TINV(0.05,M53))=TRUE,2,TINV(0.05,M53))</f>
        <v>2</v>
      </c>
      <c r="O53" s="123">
        <f t="array" ref="O53">L53*N53</f>
        <v>0.00642935974</v>
      </c>
      <c r="P53" s="48"/>
      <c r="Q53" s="107">
        <f t="array" ref="Q53">AVERAGE(C53:G53)-B53</f>
        <v>-0.02</v>
      </c>
      <c r="R53" s="107">
        <f t="array" ref="R53">Q53+O53</f>
        <v>-0.01357064026</v>
      </c>
      <c r="S53" s="107">
        <f t="array" ref="S53">Q53-O53</f>
        <v>-0.02642935974</v>
      </c>
      <c r="T53" s="107">
        <f t="array" ref="T53">ABS(Q53)</f>
        <v>0.02</v>
      </c>
      <c r="U53" s="16"/>
      <c r="V53" s="16"/>
      <c r="W53" s="16"/>
      <c r="X53" s="16"/>
      <c r="Y53" s="16"/>
      <c r="Z53" s="16"/>
      <c r="AA53" s="16"/>
      <c r="AB53" s="16"/>
      <c r="AC53" s="16"/>
      <c r="AD53" s="55"/>
      <c r="AE53" s="56"/>
      <c r="AF53" s="57"/>
      <c r="AG53" s="57"/>
      <c r="AH53" s="57"/>
      <c r="AI53" s="57"/>
      <c r="AJ53" s="58"/>
      <c r="AK53" s="58"/>
      <c r="AL53" s="58"/>
      <c r="AM53" s="59"/>
      <c r="AN53" s="60"/>
      <c r="AO53" s="16"/>
      <c r="AP53" s="16"/>
      <c r="AQ53" s="61"/>
    </row>
    <row r="54" ht="13.5" customHeight="1">
      <c r="A54" s="15"/>
      <c r="B54" s="124"/>
      <c r="C54" s="124"/>
      <c r="D54" s="124"/>
      <c r="E54" s="124"/>
      <c r="F54" s="124"/>
      <c r="G54" s="124"/>
      <c r="H54" s="125"/>
      <c r="I54" s="126"/>
      <c r="J54" s="125"/>
      <c r="K54" s="125"/>
      <c r="L54" s="127"/>
      <c r="M54" s="128"/>
      <c r="N54" s="128"/>
      <c r="O54" s="129"/>
      <c r="P54" s="48"/>
      <c r="Q54" s="107"/>
      <c r="R54" s="107"/>
      <c r="S54" s="107"/>
      <c r="T54" s="107"/>
      <c r="U54" s="16"/>
      <c r="V54" s="16"/>
      <c r="W54" s="16"/>
      <c r="X54" s="16"/>
      <c r="Y54" s="16"/>
      <c r="Z54" s="16"/>
      <c r="AA54" s="16"/>
      <c r="AB54" s="16"/>
      <c r="AC54" s="16"/>
      <c r="AD54" s="55"/>
      <c r="AE54" s="56"/>
      <c r="AF54" s="57"/>
      <c r="AG54" s="57"/>
      <c r="AH54" s="57"/>
      <c r="AI54" s="57"/>
      <c r="AJ54" s="58"/>
      <c r="AK54" s="58"/>
      <c r="AL54" s="58"/>
      <c r="AM54" s="59"/>
      <c r="AN54" s="60"/>
      <c r="AO54" s="16"/>
      <c r="AP54" s="16"/>
      <c r="AQ54" s="61"/>
    </row>
    <row r="55" ht="39.75" customHeight="1">
      <c r="A55" s="44"/>
      <c r="B55" s="45" t="s">
        <v>7</v>
      </c>
      <c r="C55" s="46"/>
      <c r="D55" s="46"/>
      <c r="E55" s="46"/>
      <c r="F55" s="46"/>
      <c r="G55" s="46"/>
      <c r="H55" s="46"/>
      <c r="I55" s="46"/>
      <c r="J55" s="46"/>
      <c r="K55" s="46"/>
      <c r="L55" s="46"/>
      <c r="M55" s="46"/>
      <c r="N55" s="46"/>
      <c r="O55" s="47"/>
      <c r="P55" s="48"/>
      <c r="Q55" s="16"/>
      <c r="R55" s="16"/>
      <c r="S55" s="16"/>
      <c r="T55" s="16"/>
      <c r="U55" s="16"/>
      <c r="V55" s="16"/>
      <c r="W55" s="16"/>
      <c r="X55" s="16"/>
      <c r="Y55" s="16"/>
      <c r="Z55" s="16"/>
      <c r="AA55" s="16"/>
      <c r="AB55" s="16"/>
      <c r="AC55" s="16"/>
      <c r="AD55" s="29"/>
      <c r="AE55" s="28"/>
      <c r="AF55" s="38"/>
      <c r="AG55" s="38"/>
      <c r="AH55" s="38"/>
      <c r="AI55" s="38"/>
      <c r="AJ55" s="39"/>
      <c r="AK55" s="39"/>
      <c r="AL55" s="39"/>
      <c r="AM55" s="40"/>
      <c r="AN55" s="43"/>
      <c r="AO55" s="33"/>
      <c r="AP55" s="33"/>
      <c r="AQ55" s="36"/>
    </row>
    <row r="56" ht="13.5" customHeight="1">
      <c r="A56" s="44"/>
      <c r="B56" s="49" t="s">
        <v>8</v>
      </c>
      <c r="C56" s="50">
        <v>0.0</v>
      </c>
      <c r="D56" s="51" t="s">
        <v>9</v>
      </c>
      <c r="E56" s="50">
        <v>600.0</v>
      </c>
      <c r="F56" s="52"/>
      <c r="G56" s="53"/>
      <c r="H56" s="53"/>
      <c r="I56" s="53"/>
      <c r="J56" s="53"/>
      <c r="K56" s="53"/>
      <c r="L56" s="53"/>
      <c r="M56" s="53"/>
      <c r="N56" s="53"/>
      <c r="O56" s="54"/>
      <c r="P56" s="48"/>
      <c r="Q56" s="16"/>
      <c r="R56" s="16"/>
      <c r="S56" s="16"/>
      <c r="T56" s="16"/>
      <c r="U56" s="16"/>
      <c r="V56" s="16"/>
      <c r="W56" s="16"/>
      <c r="X56" s="16"/>
      <c r="Y56" s="16"/>
      <c r="Z56" s="16"/>
      <c r="AA56" s="16"/>
      <c r="AB56" s="16"/>
      <c r="AC56" s="16"/>
      <c r="AD56" s="55"/>
      <c r="AE56" s="56"/>
      <c r="AF56" s="57"/>
      <c r="AG56" s="57"/>
      <c r="AH56" s="57"/>
      <c r="AI56" s="57"/>
      <c r="AJ56" s="58"/>
      <c r="AK56" s="58"/>
      <c r="AL56" s="58"/>
      <c r="AM56" s="59"/>
      <c r="AN56" s="60"/>
      <c r="AO56" s="16"/>
      <c r="AP56" s="16"/>
      <c r="AQ56" s="61"/>
    </row>
    <row r="57" ht="13.5" customHeight="1">
      <c r="A57" s="44"/>
      <c r="B57" s="62" t="s">
        <v>10</v>
      </c>
      <c r="C57" s="63">
        <v>0.1</v>
      </c>
      <c r="D57" s="64"/>
      <c r="E57" s="65"/>
      <c r="F57" s="66"/>
      <c r="G57" s="67"/>
      <c r="H57" s="68" t="s">
        <v>11</v>
      </c>
      <c r="I57" s="69"/>
      <c r="J57" s="70"/>
      <c r="K57" s="66"/>
      <c r="L57" s="66"/>
      <c r="M57" s="66"/>
      <c r="N57" s="66"/>
      <c r="O57" s="71"/>
      <c r="P57" s="48"/>
      <c r="Q57" s="16"/>
      <c r="R57" s="16"/>
      <c r="S57" s="16"/>
      <c r="T57" s="16"/>
      <c r="U57" s="16"/>
      <c r="V57" s="16"/>
      <c r="W57" s="16"/>
      <c r="X57" s="16"/>
      <c r="Y57" s="16"/>
      <c r="Z57" s="16"/>
      <c r="AA57" s="16"/>
      <c r="AB57" s="16"/>
      <c r="AC57" s="16"/>
      <c r="AD57" s="55"/>
      <c r="AE57" s="56"/>
      <c r="AF57" s="57"/>
      <c r="AG57" s="57"/>
      <c r="AH57" s="57"/>
      <c r="AI57" s="57"/>
      <c r="AJ57" s="58"/>
      <c r="AK57" s="58"/>
      <c r="AL57" s="58"/>
      <c r="AM57" s="59"/>
      <c r="AN57" s="60"/>
      <c r="AO57" s="16"/>
      <c r="AP57" s="16"/>
      <c r="AQ57" s="61"/>
    </row>
    <row r="58" ht="13.5" customHeight="1">
      <c r="A58" s="44"/>
      <c r="B58" s="72" t="s">
        <v>12</v>
      </c>
      <c r="C58" s="73" t="s">
        <v>42</v>
      </c>
      <c r="D58" s="74" t="s">
        <v>14</v>
      </c>
      <c r="E58" s="75">
        <f t="array" ref="E58">MAX(Q64:Q68)</f>
        <v>-0.03</v>
      </c>
      <c r="F58" s="76" t="str">
        <f t="array" ref="F58">C58</f>
        <v>V</v>
      </c>
      <c r="G58" s="67"/>
      <c r="H58" s="68" t="s">
        <v>15</v>
      </c>
      <c r="I58" s="77" t="s">
        <v>16</v>
      </c>
      <c r="J58" s="78"/>
      <c r="K58" s="79"/>
      <c r="L58" s="66"/>
      <c r="M58" s="66"/>
      <c r="N58" s="66"/>
      <c r="O58" s="71"/>
      <c r="P58" s="48"/>
      <c r="Q58" s="16"/>
      <c r="R58" s="16"/>
      <c r="S58" s="16"/>
      <c r="T58" s="16"/>
      <c r="U58" s="16"/>
      <c r="V58" s="16"/>
      <c r="W58" s="16"/>
      <c r="X58" s="16"/>
      <c r="Y58" s="16"/>
      <c r="Z58" s="16"/>
      <c r="AA58" s="16"/>
      <c r="AB58" s="16"/>
      <c r="AC58" s="16"/>
      <c r="AD58" s="55"/>
      <c r="AE58" s="56"/>
      <c r="AF58" s="57"/>
      <c r="AG58" s="57"/>
      <c r="AH58" s="57"/>
      <c r="AI58" s="57"/>
      <c r="AJ58" s="58"/>
      <c r="AK58" s="58"/>
      <c r="AL58" s="58"/>
      <c r="AM58" s="59"/>
      <c r="AN58" s="60"/>
      <c r="AO58" s="16"/>
      <c r="AP58" s="16"/>
      <c r="AQ58" s="61"/>
    </row>
    <row r="59" ht="12.75" customHeight="1">
      <c r="A59" s="44"/>
      <c r="B59" s="80"/>
      <c r="C59" s="65"/>
      <c r="D59" s="76" t="s">
        <v>17</v>
      </c>
      <c r="E59" s="81">
        <f t="array" ref="E59">MAX(O64:O68)</f>
        <v>0.05829808459</v>
      </c>
      <c r="F59" s="76" t="str">
        <f t="array" ref="F59">C58</f>
        <v>V</v>
      </c>
      <c r="G59" s="67"/>
      <c r="H59" s="82"/>
      <c r="I59" s="68" t="s">
        <v>18</v>
      </c>
      <c r="J59" s="82"/>
      <c r="K59" s="79"/>
      <c r="L59" s="66"/>
      <c r="M59" s="66"/>
      <c r="N59" s="66"/>
      <c r="O59" s="71"/>
      <c r="P59" s="48"/>
      <c r="Q59" s="16"/>
      <c r="R59" s="16"/>
      <c r="S59" s="16"/>
      <c r="T59" s="16"/>
      <c r="U59" s="16"/>
      <c r="V59" s="16"/>
      <c r="W59" s="16"/>
      <c r="X59" s="16"/>
      <c r="Y59" s="16"/>
      <c r="Z59" s="16"/>
      <c r="AA59" s="16"/>
      <c r="AB59" s="16"/>
      <c r="AC59" s="16"/>
      <c r="AD59" s="55"/>
      <c r="AE59" s="56"/>
      <c r="AF59" s="57"/>
      <c r="AG59" s="57"/>
      <c r="AH59" s="57"/>
      <c r="AI59" s="57"/>
      <c r="AJ59" s="58"/>
      <c r="AK59" s="58"/>
      <c r="AL59" s="58"/>
      <c r="AM59" s="59"/>
      <c r="AN59" s="60"/>
      <c r="AO59" s="16"/>
      <c r="AP59" s="16"/>
      <c r="AQ59" s="61"/>
    </row>
    <row r="60" ht="12.75" customHeight="1">
      <c r="A60" s="44"/>
      <c r="B60" s="83"/>
      <c r="C60" s="66"/>
      <c r="D60" s="66"/>
      <c r="E60" s="66"/>
      <c r="F60" s="66"/>
      <c r="G60" s="67"/>
      <c r="H60" s="82"/>
      <c r="I60" s="68" t="s">
        <v>19</v>
      </c>
      <c r="J60" s="82"/>
      <c r="K60" s="79"/>
      <c r="L60" s="66"/>
      <c r="M60" s="66"/>
      <c r="N60" s="66"/>
      <c r="O60" s="84"/>
      <c r="P60" s="48"/>
      <c r="Q60" s="16"/>
      <c r="R60" s="16"/>
      <c r="S60" s="16"/>
      <c r="T60" s="16"/>
      <c r="U60" s="16"/>
      <c r="V60" s="16"/>
      <c r="W60" s="16"/>
      <c r="X60" s="16"/>
      <c r="Y60" s="16"/>
      <c r="Z60" s="16"/>
      <c r="AA60" s="16"/>
      <c r="AB60" s="16"/>
      <c r="AC60" s="16"/>
      <c r="AD60" s="55"/>
      <c r="AE60" s="56"/>
      <c r="AF60" s="57"/>
      <c r="AG60" s="57"/>
      <c r="AH60" s="57"/>
      <c r="AI60" s="57"/>
      <c r="AJ60" s="58"/>
      <c r="AK60" s="58"/>
      <c r="AL60" s="58"/>
      <c r="AM60" s="59"/>
      <c r="AN60" s="60"/>
      <c r="AO60" s="16"/>
      <c r="AP60" s="16"/>
      <c r="AQ60" s="61"/>
    </row>
    <row r="61" ht="12.75" customHeight="1">
      <c r="A61" s="44"/>
      <c r="B61" s="85" t="s">
        <v>20</v>
      </c>
      <c r="C61" s="69"/>
      <c r="D61" s="70"/>
      <c r="E61" s="70"/>
      <c r="F61" s="70"/>
      <c r="G61" s="86"/>
      <c r="H61" s="87" t="s">
        <v>21</v>
      </c>
      <c r="I61" s="88">
        <v>5502.0</v>
      </c>
      <c r="J61" s="88"/>
      <c r="K61" s="69"/>
      <c r="L61" s="70"/>
      <c r="M61" s="70"/>
      <c r="N61" s="86"/>
      <c r="O61" s="89" t="s">
        <v>22</v>
      </c>
      <c r="P61" s="48"/>
      <c r="Q61" s="16"/>
      <c r="R61" s="16"/>
      <c r="S61" s="16"/>
      <c r="T61" s="16"/>
      <c r="U61" s="16"/>
      <c r="V61" s="16"/>
      <c r="W61" s="16"/>
      <c r="X61" s="16"/>
      <c r="Y61" s="16"/>
      <c r="Z61" s="16"/>
      <c r="AA61" s="16"/>
      <c r="AB61" s="16"/>
      <c r="AC61" s="16"/>
      <c r="AD61" s="55"/>
      <c r="AE61" s="56"/>
      <c r="AF61" s="57"/>
      <c r="AG61" s="57"/>
      <c r="AH61" s="57"/>
      <c r="AI61" s="57"/>
      <c r="AJ61" s="58"/>
      <c r="AK61" s="58"/>
      <c r="AL61" s="58"/>
      <c r="AM61" s="59"/>
      <c r="AN61" s="60"/>
      <c r="AO61" s="16"/>
      <c r="AP61" s="16"/>
      <c r="AQ61" s="61"/>
    </row>
    <row r="62" ht="12.75" customHeight="1">
      <c r="A62" s="44"/>
      <c r="B62" s="90" t="s">
        <v>23</v>
      </c>
      <c r="C62" s="77" t="s">
        <v>24</v>
      </c>
      <c r="D62" s="77" t="s">
        <v>25</v>
      </c>
      <c r="E62" s="77" t="s">
        <v>26</v>
      </c>
      <c r="F62" s="77" t="s">
        <v>27</v>
      </c>
      <c r="G62" s="77" t="s">
        <v>28</v>
      </c>
      <c r="H62" s="77" t="s">
        <v>29</v>
      </c>
      <c r="I62" s="77" t="s">
        <v>30</v>
      </c>
      <c r="J62" s="77" t="s">
        <v>31</v>
      </c>
      <c r="K62" s="77" t="s">
        <v>32</v>
      </c>
      <c r="L62" s="77" t="s">
        <v>33</v>
      </c>
      <c r="M62" s="77" t="s">
        <v>34</v>
      </c>
      <c r="N62" s="91"/>
      <c r="O62" s="92" t="s">
        <v>35</v>
      </c>
      <c r="P62" s="48"/>
      <c r="Q62" s="16"/>
      <c r="R62" s="16"/>
      <c r="S62" s="16"/>
      <c r="T62" s="16"/>
      <c r="U62" s="16"/>
      <c r="V62" s="16"/>
      <c r="W62" s="16"/>
      <c r="X62" s="16"/>
      <c r="Y62" s="16"/>
      <c r="Z62" s="16"/>
      <c r="AA62" s="16"/>
      <c r="AB62" s="16"/>
      <c r="AC62" s="16"/>
      <c r="AD62" s="55"/>
      <c r="AE62" s="56"/>
      <c r="AF62" s="57"/>
      <c r="AG62" s="57"/>
      <c r="AH62" s="57"/>
      <c r="AI62" s="57"/>
      <c r="AJ62" s="58"/>
      <c r="AK62" s="58"/>
      <c r="AL62" s="58"/>
      <c r="AM62" s="59"/>
      <c r="AN62" s="60"/>
      <c r="AO62" s="16"/>
      <c r="AP62" s="16"/>
      <c r="AQ62" s="61"/>
    </row>
    <row r="63" ht="12.75" customHeight="1">
      <c r="A63" s="44"/>
      <c r="B63" s="93" t="str">
        <f t="array" ref="B63">C58</f>
        <v>V</v>
      </c>
      <c r="C63" s="87" t="str">
        <f t="array" ref="C63">$B63</f>
        <v>V</v>
      </c>
      <c r="D63" s="87" t="str">
        <f t="array" ref="D63">$B63</f>
        <v>V</v>
      </c>
      <c r="E63" s="87" t="str">
        <f t="array" ref="E63">$B63</f>
        <v>V</v>
      </c>
      <c r="F63" s="87" t="str">
        <f t="array" ref="F63">$B63</f>
        <v>V</v>
      </c>
      <c r="G63" s="87" t="str">
        <f t="array" ref="G63">$B63</f>
        <v>V</v>
      </c>
      <c r="H63" s="87" t="str">
        <f t="array" ref="H63">$B63</f>
        <v>V</v>
      </c>
      <c r="I63" s="87" t="str">
        <f t="array" ref="I63">$B63</f>
        <v>V</v>
      </c>
      <c r="J63" s="87" t="str">
        <f t="array" ref="J63">$B63</f>
        <v>V</v>
      </c>
      <c r="K63" s="87" t="str">
        <f t="array" ref="K63">$B63</f>
        <v>V</v>
      </c>
      <c r="L63" s="87" t="str">
        <f t="array" ref="L63">$B63</f>
        <v>V</v>
      </c>
      <c r="M63" s="94" t="s">
        <v>36</v>
      </c>
      <c r="N63" s="87" t="s">
        <v>37</v>
      </c>
      <c r="O63" s="95" t="str">
        <f t="array" ref="O63">$B63</f>
        <v>V</v>
      </c>
      <c r="P63" s="48"/>
      <c r="Q63" s="96" t="s">
        <v>38</v>
      </c>
      <c r="R63" s="96" t="s">
        <v>39</v>
      </c>
      <c r="S63" s="96" t="s">
        <v>40</v>
      </c>
      <c r="T63" s="97" t="s">
        <v>41</v>
      </c>
      <c r="U63" s="16"/>
      <c r="V63" s="16"/>
      <c r="W63" s="16"/>
      <c r="X63" s="16"/>
      <c r="Y63" s="16"/>
      <c r="Z63" s="16"/>
      <c r="AA63" s="16"/>
      <c r="AB63" s="16"/>
      <c r="AC63" s="16"/>
      <c r="AD63" s="55"/>
      <c r="AE63" s="56"/>
      <c r="AF63" s="57"/>
      <c r="AG63" s="57"/>
      <c r="AH63" s="57"/>
      <c r="AI63" s="57"/>
      <c r="AJ63" s="58"/>
      <c r="AK63" s="58"/>
      <c r="AL63" s="58"/>
      <c r="AM63" s="59"/>
      <c r="AN63" s="60"/>
      <c r="AO63" s="16"/>
      <c r="AP63" s="16"/>
      <c r="AQ63" s="61"/>
    </row>
    <row r="64" ht="12.75" customHeight="1">
      <c r="A64" s="98"/>
      <c r="B64" s="99">
        <f t="array" ref="B64">E56*0.1</f>
        <v>60</v>
      </c>
      <c r="C64" s="100">
        <v>59.97</v>
      </c>
      <c r="D64" s="101">
        <v>59.97</v>
      </c>
      <c r="E64" s="101">
        <v>59.97</v>
      </c>
      <c r="F64" s="101">
        <v>59.97</v>
      </c>
      <c r="G64" s="102">
        <v>59.97</v>
      </c>
      <c r="H64" s="103">
        <f t="array" ref="H64">STDEV(C64:G64)*1.4</f>
        <v>0</v>
      </c>
      <c r="I64" s="103">
        <f t="array" ref="I64">0.0054/2</f>
        <v>0.0027</v>
      </c>
      <c r="J64" s="103">
        <f t="array" ref="J64">I64/SQRT(3)</f>
        <v>0.001558845727</v>
      </c>
      <c r="K64" s="103">
        <f t="array" ref="K64">(C$57)/SQRT(12)</f>
        <v>0.02886751346</v>
      </c>
      <c r="L64" s="105">
        <f t="array" ref="L64">SQRT(H64^2+J64^2+(K64)^2)</f>
        <v>0.02890957166</v>
      </c>
      <c r="M64" s="91" t="str">
        <f t="array" ref="M64">IF(ISERROR((L64^4)/(H64^4/4))=TRUE,"∞",((L64^4)/(H64^4/4)))</f>
        <v>∞</v>
      </c>
      <c r="N64" s="91">
        <f t="array" ref="N64">IF(ISERROR(TINV(0.05,M64))=TRUE,2,TINV(0.05,M64))</f>
        <v>2</v>
      </c>
      <c r="O64" s="106">
        <f t="array" ref="O64">L64*N64</f>
        <v>0.05781914331</v>
      </c>
      <c r="P64" s="48"/>
      <c r="Q64" s="107">
        <f t="array" ref="Q64">AVERAGE(C64:G64)-B64</f>
        <v>-0.03</v>
      </c>
      <c r="R64" s="107">
        <f t="array" ref="R64">Q64+O64</f>
        <v>0.02781914331</v>
      </c>
      <c r="S64" s="107">
        <f t="array" ref="S64">Q64-O64</f>
        <v>-0.08781914331</v>
      </c>
      <c r="T64" s="107">
        <f t="array" ref="T64">ABS(Q64)</f>
        <v>0.03</v>
      </c>
      <c r="U64" s="16"/>
      <c r="V64" s="16"/>
      <c r="W64" s="16"/>
      <c r="X64" s="16"/>
      <c r="Y64" s="16"/>
      <c r="Z64" s="16"/>
      <c r="AA64" s="16"/>
      <c r="AB64" s="16"/>
      <c r="AC64" s="16"/>
      <c r="AD64" s="55"/>
      <c r="AE64" s="56"/>
      <c r="AF64" s="57"/>
      <c r="AG64" s="57"/>
      <c r="AH64" s="57"/>
      <c r="AI64" s="57"/>
      <c r="AJ64" s="58"/>
      <c r="AK64" s="58"/>
      <c r="AL64" s="58"/>
      <c r="AM64" s="59"/>
      <c r="AN64" s="60"/>
      <c r="AO64" s="16"/>
      <c r="AP64" s="16"/>
      <c r="AQ64" s="61"/>
    </row>
    <row r="65" ht="12.75" customHeight="1">
      <c r="A65" s="98"/>
      <c r="B65" s="108">
        <f t="array" ref="B65">E56*0.25</f>
        <v>150</v>
      </c>
      <c r="C65" s="109">
        <v>149.9</v>
      </c>
      <c r="D65" s="110">
        <v>149.9</v>
      </c>
      <c r="E65" s="110">
        <v>149.9</v>
      </c>
      <c r="F65" s="110">
        <v>149.9</v>
      </c>
      <c r="G65" s="111">
        <v>149.9</v>
      </c>
      <c r="H65" s="112">
        <f t="array" ref="H65">STDEV(C65:G65)*1.4</f>
        <v>0</v>
      </c>
      <c r="I65" s="112">
        <f t="array" ref="I65">0.014/2</f>
        <v>0.007</v>
      </c>
      <c r="J65" s="112">
        <f t="array" ref="J65">I65/SQRT(3)</f>
        <v>0.004041451884</v>
      </c>
      <c r="K65" s="112">
        <v>0.0288675134594813</v>
      </c>
      <c r="L65" s="113">
        <f t="array" ref="L65">SQRT(H65^2+J65^2+(K65)^2)</f>
        <v>0.02914904229</v>
      </c>
      <c r="M65" s="114" t="str">
        <f t="array" ref="M65">IF(ISERROR((L65^4)/(H65^4/4))=TRUE,"∞",((L65^4)/(H65^4/4)))</f>
        <v>∞</v>
      </c>
      <c r="N65" s="114">
        <f t="array" ref="N65">IF(ISERROR(TINV(0.05,M65))=TRUE,2,TINV(0.05,M65))</f>
        <v>2</v>
      </c>
      <c r="O65" s="115">
        <f t="array" ref="O65">L65*N65</f>
        <v>0.05829808459</v>
      </c>
      <c r="P65" s="48"/>
      <c r="Q65" s="107">
        <f t="array" ref="Q65">AVERAGE(C65:G65)-B65</f>
        <v>-0.1</v>
      </c>
      <c r="R65" s="107">
        <f t="array" ref="R65">Q65+O65</f>
        <v>-0.04170191541</v>
      </c>
      <c r="S65" s="107">
        <f t="array" ref="S65">Q65-O65</f>
        <v>-0.1582980846</v>
      </c>
      <c r="T65" s="107">
        <f t="array" ref="T65">ABS(Q65)</f>
        <v>0.1</v>
      </c>
      <c r="U65" s="16"/>
      <c r="V65" s="16"/>
      <c r="W65" s="16"/>
      <c r="X65" s="16"/>
      <c r="Y65" s="16"/>
      <c r="Z65" s="16"/>
      <c r="AA65" s="16"/>
      <c r="AB65" s="16"/>
      <c r="AC65" s="16"/>
      <c r="AD65" s="55"/>
      <c r="AE65" s="56"/>
      <c r="AF65" s="57"/>
      <c r="AG65" s="57"/>
      <c r="AH65" s="57"/>
      <c r="AI65" s="57"/>
      <c r="AJ65" s="58"/>
      <c r="AK65" s="58"/>
      <c r="AL65" s="58"/>
      <c r="AM65" s="59"/>
      <c r="AN65" s="60"/>
      <c r="AO65" s="16"/>
      <c r="AP65" s="16"/>
      <c r="AQ65" s="61"/>
    </row>
    <row r="66" ht="12.75" customHeight="1">
      <c r="A66" s="98"/>
      <c r="B66" s="108">
        <f t="array" ref="B66">E56*0.5</f>
        <v>300</v>
      </c>
      <c r="C66" s="109">
        <v>299.8</v>
      </c>
      <c r="D66" s="110">
        <v>299.8</v>
      </c>
      <c r="E66" s="110">
        <v>299.8</v>
      </c>
      <c r="F66" s="110">
        <v>299.8</v>
      </c>
      <c r="G66" s="111">
        <v>299.8</v>
      </c>
      <c r="H66" s="112">
        <f t="array" ref="H66">STDEV(C66:G66)*1.4</f>
        <v>0</v>
      </c>
      <c r="I66" s="112">
        <f t="array" ref="I66">0.014/2</f>
        <v>0.007</v>
      </c>
      <c r="J66" s="112">
        <f t="array" ref="J66">I66/SQRT(3)</f>
        <v>0.004041451884</v>
      </c>
      <c r="K66" s="112">
        <v>0.0288675134594813</v>
      </c>
      <c r="L66" s="113">
        <f t="array" ref="L66">SQRT(H66^2+J66^2+(K66)^2)</f>
        <v>0.02914904229</v>
      </c>
      <c r="M66" s="114" t="str">
        <f t="array" ref="M66">IF(ISERROR((L66^4)/(H66^4/4))=TRUE,"∞",((L66^4)/(H66^4/4)))</f>
        <v>∞</v>
      </c>
      <c r="N66" s="114">
        <f t="array" ref="N66">IF(ISERROR(TINV(0.05,M66))=TRUE,2,TINV(0.05,M66))</f>
        <v>2</v>
      </c>
      <c r="O66" s="115">
        <f t="array" ref="O66">L66*N66</f>
        <v>0.05829808459</v>
      </c>
      <c r="P66" s="48"/>
      <c r="Q66" s="107">
        <f t="array" ref="Q66">AVERAGE(C66:G66)-B66</f>
        <v>-0.2</v>
      </c>
      <c r="R66" s="107">
        <f t="array" ref="R66">Q66+O66</f>
        <v>-0.1417019154</v>
      </c>
      <c r="S66" s="107">
        <f t="array" ref="S66">Q66-O66</f>
        <v>-0.2582980846</v>
      </c>
      <c r="T66" s="107">
        <f t="array" ref="T66">ABS(Q66)</f>
        <v>0.2</v>
      </c>
      <c r="U66" s="16"/>
      <c r="V66" s="16"/>
      <c r="W66" s="16"/>
      <c r="X66" s="16"/>
      <c r="Y66" s="16"/>
      <c r="Z66" s="16"/>
      <c r="AA66" s="16"/>
      <c r="AB66" s="16"/>
      <c r="AC66" s="16"/>
      <c r="AD66" s="55"/>
      <c r="AE66" s="56"/>
      <c r="AF66" s="57"/>
      <c r="AG66" s="57"/>
      <c r="AH66" s="57"/>
      <c r="AI66" s="57"/>
      <c r="AJ66" s="58"/>
      <c r="AK66" s="58"/>
      <c r="AL66" s="58"/>
      <c r="AM66" s="59"/>
      <c r="AN66" s="60"/>
      <c r="AO66" s="16"/>
      <c r="AP66" s="16"/>
      <c r="AQ66" s="61"/>
    </row>
    <row r="67" ht="12.75" customHeight="1">
      <c r="A67" s="98"/>
      <c r="B67" s="108">
        <f t="array" ref="B67">E56*0.75</f>
        <v>450</v>
      </c>
      <c r="C67" s="109">
        <v>449.7</v>
      </c>
      <c r="D67" s="110">
        <v>449.7</v>
      </c>
      <c r="E67" s="110">
        <v>449.7</v>
      </c>
      <c r="F67" s="110">
        <v>449.7</v>
      </c>
      <c r="G67" s="111">
        <v>449.7</v>
      </c>
      <c r="H67" s="112">
        <f t="array" ref="H67">STDEV(C67:G67)*1.4</f>
        <v>0</v>
      </c>
      <c r="I67" s="112">
        <f t="array" ref="I67">0.014/2</f>
        <v>0.007</v>
      </c>
      <c r="J67" s="112">
        <f t="array" ref="J67">I67/SQRT(3)</f>
        <v>0.004041451884</v>
      </c>
      <c r="K67" s="112">
        <v>0.0288675134594813</v>
      </c>
      <c r="L67" s="113">
        <f t="array" ref="L67">SQRT(H67^2+J67^2+(K67)^2)</f>
        <v>0.02914904229</v>
      </c>
      <c r="M67" s="114" t="str">
        <f t="array" ref="M67">IF(ISERROR((L67^4)/(H67^4/4))=TRUE,"∞",((L67^4)/(H67^4/4)))</f>
        <v>∞</v>
      </c>
      <c r="N67" s="114">
        <f t="array" ref="N67">IF(ISERROR(TINV(0.05,M67))=TRUE,2,TINV(0.05,M67))</f>
        <v>2</v>
      </c>
      <c r="O67" s="115">
        <f t="array" ref="O67">L67*N67</f>
        <v>0.05829808459</v>
      </c>
      <c r="P67" s="48"/>
      <c r="Q67" s="107">
        <f t="array" ref="Q67">AVERAGE(C67:G67)-B67</f>
        <v>-0.3</v>
      </c>
      <c r="R67" s="107">
        <f t="array" ref="R67">Q67+O67</f>
        <v>-0.2417019154</v>
      </c>
      <c r="S67" s="107">
        <f t="array" ref="S67">Q67-O67</f>
        <v>-0.3582980846</v>
      </c>
      <c r="T67" s="107">
        <f t="array" ref="T67">ABS(Q67)</f>
        <v>0.3</v>
      </c>
      <c r="U67" s="16"/>
      <c r="V67" s="16"/>
      <c r="W67" s="16"/>
      <c r="X67" s="16"/>
      <c r="Y67" s="16"/>
      <c r="Z67" s="16"/>
      <c r="AA67" s="16"/>
      <c r="AB67" s="16"/>
      <c r="AC67" s="16"/>
      <c r="AD67" s="55"/>
      <c r="AE67" s="56"/>
      <c r="AF67" s="57"/>
      <c r="AG67" s="57"/>
      <c r="AH67" s="57"/>
      <c r="AI67" s="57"/>
      <c r="AJ67" s="58"/>
      <c r="AK67" s="58"/>
      <c r="AL67" s="58"/>
      <c r="AM67" s="59"/>
      <c r="AN67" s="60"/>
      <c r="AO67" s="16"/>
      <c r="AP67" s="16"/>
      <c r="AQ67" s="61"/>
    </row>
    <row r="68" ht="12.75" customHeight="1">
      <c r="A68" s="98"/>
      <c r="B68" s="116">
        <f t="array" ref="B68">E56*0.9</f>
        <v>540</v>
      </c>
      <c r="C68" s="117">
        <v>539.7</v>
      </c>
      <c r="D68" s="118">
        <v>539.7</v>
      </c>
      <c r="E68" s="118">
        <v>539.7</v>
      </c>
      <c r="F68" s="118">
        <v>539.7</v>
      </c>
      <c r="G68" s="119">
        <v>539.7</v>
      </c>
      <c r="H68" s="120">
        <f t="array" ref="H68">STDEV(C68:G68)*1.4</f>
        <v>0</v>
      </c>
      <c r="I68" s="112">
        <f t="array" ref="I68">0.014/2</f>
        <v>0.007</v>
      </c>
      <c r="J68" s="120">
        <f t="array" ref="J68">I68/SQRT(3)</f>
        <v>0.004041451884</v>
      </c>
      <c r="K68" s="120">
        <v>0.0288675134594813</v>
      </c>
      <c r="L68" s="121">
        <f t="array" ref="L68">SQRT(H68^2+J68^2+(K68)^2)</f>
        <v>0.02914904229</v>
      </c>
      <c r="M68" s="122" t="str">
        <f t="array" ref="M68">IF(ISERROR((L68^4)/(H68^4/4))=TRUE,"∞",((L68^4)/(H68^4/4)))</f>
        <v>∞</v>
      </c>
      <c r="N68" s="122">
        <f t="array" ref="N68">IF(ISERROR(TINV(0.05,M68))=TRUE,2,TINV(0.05,M68))</f>
        <v>2</v>
      </c>
      <c r="O68" s="123">
        <f t="array" ref="O68">L68*N68</f>
        <v>0.05829808459</v>
      </c>
      <c r="P68" s="48"/>
      <c r="Q68" s="107">
        <f t="array" ref="Q68">AVERAGE(C68:G68)-B68</f>
        <v>-0.3</v>
      </c>
      <c r="R68" s="107">
        <f t="array" ref="R68">Q68+O68</f>
        <v>-0.2417019154</v>
      </c>
      <c r="S68" s="107">
        <f t="array" ref="S68">Q68-O68</f>
        <v>-0.3582980846</v>
      </c>
      <c r="T68" s="107">
        <f t="array" ref="T68">ABS(Q68)</f>
        <v>0.3</v>
      </c>
      <c r="U68" s="16"/>
      <c r="V68" s="16"/>
      <c r="W68" s="16"/>
      <c r="X68" s="16"/>
      <c r="Y68" s="16"/>
      <c r="Z68" s="16"/>
      <c r="AA68" s="16"/>
      <c r="AB68" s="16"/>
      <c r="AC68" s="16"/>
      <c r="AD68" s="55"/>
      <c r="AE68" s="56"/>
      <c r="AF68" s="57"/>
      <c r="AG68" s="57"/>
      <c r="AH68" s="57"/>
      <c r="AI68" s="57"/>
      <c r="AJ68" s="58"/>
      <c r="AK68" s="58"/>
      <c r="AL68" s="58"/>
      <c r="AM68" s="59"/>
      <c r="AN68" s="60"/>
      <c r="AO68" s="16"/>
      <c r="AP68" s="16"/>
      <c r="AQ68" s="61"/>
    </row>
    <row r="69" ht="13.5" customHeight="1">
      <c r="A69" s="15"/>
      <c r="B69" s="124"/>
      <c r="C69" s="148"/>
      <c r="D69" s="148"/>
      <c r="E69" s="148"/>
      <c r="F69" s="148"/>
      <c r="G69" s="148"/>
      <c r="H69" s="125"/>
      <c r="I69" s="126"/>
      <c r="J69" s="125"/>
      <c r="K69" s="125"/>
      <c r="L69" s="127"/>
      <c r="M69" s="128"/>
      <c r="N69" s="128"/>
      <c r="O69" s="129"/>
      <c r="P69" s="48"/>
      <c r="Q69" s="107"/>
      <c r="R69" s="107"/>
      <c r="S69" s="107"/>
      <c r="T69" s="107"/>
      <c r="U69" s="16"/>
      <c r="V69" s="16"/>
      <c r="W69" s="16"/>
      <c r="X69" s="16"/>
      <c r="Y69" s="16"/>
      <c r="Z69" s="16"/>
      <c r="AA69" s="16"/>
      <c r="AB69" s="16"/>
      <c r="AC69" s="16"/>
      <c r="AD69" s="55"/>
      <c r="AE69" s="56"/>
      <c r="AF69" s="57"/>
      <c r="AG69" s="57"/>
      <c r="AH69" s="57"/>
      <c r="AI69" s="57"/>
      <c r="AJ69" s="58"/>
      <c r="AK69" s="58"/>
      <c r="AL69" s="58"/>
      <c r="AM69" s="59"/>
      <c r="AN69" s="60"/>
      <c r="AO69" s="16"/>
      <c r="AP69" s="16"/>
      <c r="AQ69" s="61"/>
    </row>
    <row r="70" ht="39.75" customHeight="1">
      <c r="A70" s="44"/>
      <c r="B70" s="45" t="s">
        <v>43</v>
      </c>
      <c r="C70" s="46"/>
      <c r="D70" s="46"/>
      <c r="E70" s="46"/>
      <c r="F70" s="46"/>
      <c r="G70" s="46"/>
      <c r="H70" s="46"/>
      <c r="I70" s="46"/>
      <c r="J70" s="46"/>
      <c r="K70" s="46"/>
      <c r="L70" s="46"/>
      <c r="M70" s="46"/>
      <c r="N70" s="46"/>
      <c r="O70" s="47"/>
      <c r="P70" s="48"/>
      <c r="Q70" s="16"/>
      <c r="R70" s="16"/>
      <c r="S70" s="16"/>
      <c r="T70" s="16"/>
      <c r="U70" s="16"/>
      <c r="V70" s="16"/>
      <c r="W70" s="16"/>
      <c r="X70" s="16"/>
      <c r="Y70" s="16"/>
      <c r="Z70" s="16"/>
      <c r="AA70" s="16"/>
      <c r="AB70" s="16"/>
      <c r="AC70" s="16"/>
      <c r="AD70" s="29"/>
      <c r="AE70" s="28"/>
      <c r="AF70" s="38"/>
      <c r="AG70" s="38"/>
      <c r="AH70" s="38"/>
      <c r="AI70" s="38"/>
      <c r="AJ70" s="39"/>
      <c r="AK70" s="39"/>
      <c r="AL70" s="39"/>
      <c r="AM70" s="40"/>
      <c r="AN70" s="43"/>
      <c r="AO70" s="33"/>
      <c r="AP70" s="33"/>
      <c r="AQ70" s="36"/>
    </row>
    <row r="71" ht="13.5" customHeight="1">
      <c r="A71" s="44"/>
      <c r="B71" s="49" t="s">
        <v>8</v>
      </c>
      <c r="C71" s="50">
        <v>0.0</v>
      </c>
      <c r="D71" s="51" t="s">
        <v>9</v>
      </c>
      <c r="E71" s="50">
        <v>600.0</v>
      </c>
      <c r="F71" s="52"/>
      <c r="G71" s="53"/>
      <c r="H71" s="53"/>
      <c r="I71" s="53"/>
      <c r="J71" s="53"/>
      <c r="K71" s="53"/>
      <c r="L71" s="53"/>
      <c r="M71" s="53"/>
      <c r="N71" s="53"/>
      <c r="O71" s="54"/>
      <c r="P71" s="48"/>
      <c r="Q71" s="16"/>
      <c r="R71" s="16"/>
      <c r="S71" s="16"/>
      <c r="T71" s="16"/>
      <c r="U71" s="16"/>
      <c r="V71" s="16"/>
      <c r="W71" s="16"/>
      <c r="X71" s="16"/>
      <c r="Y71" s="16"/>
      <c r="Z71" s="16"/>
      <c r="AA71" s="16"/>
      <c r="AB71" s="16"/>
      <c r="AC71" s="16"/>
      <c r="AD71" s="55"/>
      <c r="AE71" s="56"/>
      <c r="AF71" s="57"/>
      <c r="AG71" s="57"/>
      <c r="AH71" s="57"/>
      <c r="AI71" s="57"/>
      <c r="AJ71" s="58"/>
      <c r="AK71" s="58"/>
      <c r="AL71" s="58"/>
      <c r="AM71" s="59"/>
      <c r="AN71" s="60"/>
      <c r="AO71" s="16"/>
      <c r="AP71" s="16"/>
      <c r="AQ71" s="61"/>
    </row>
    <row r="72" ht="13.5" customHeight="1">
      <c r="A72" s="44"/>
      <c r="B72" s="62" t="s">
        <v>10</v>
      </c>
      <c r="C72" s="63">
        <v>0.1</v>
      </c>
      <c r="D72" s="64"/>
      <c r="E72" s="65"/>
      <c r="F72" s="66"/>
      <c r="G72" s="67"/>
      <c r="H72" s="68" t="s">
        <v>11</v>
      </c>
      <c r="I72" s="69"/>
      <c r="J72" s="70"/>
      <c r="K72" s="66"/>
      <c r="L72" s="66"/>
      <c r="M72" s="66"/>
      <c r="N72" s="66"/>
      <c r="O72" s="71"/>
      <c r="P72" s="48"/>
      <c r="Q72" s="16"/>
      <c r="R72" s="16"/>
      <c r="S72" s="16"/>
      <c r="T72" s="16"/>
      <c r="U72" s="16"/>
      <c r="V72" s="16"/>
      <c r="W72" s="16"/>
      <c r="X72" s="16"/>
      <c r="Y72" s="16"/>
      <c r="Z72" s="16"/>
      <c r="AA72" s="16"/>
      <c r="AB72" s="16"/>
      <c r="AC72" s="16"/>
      <c r="AD72" s="55"/>
      <c r="AE72" s="56"/>
      <c r="AF72" s="57"/>
      <c r="AG72" s="57"/>
      <c r="AH72" s="57"/>
      <c r="AI72" s="57"/>
      <c r="AJ72" s="58"/>
      <c r="AK72" s="58"/>
      <c r="AL72" s="58"/>
      <c r="AM72" s="59"/>
      <c r="AN72" s="60"/>
      <c r="AO72" s="16"/>
      <c r="AP72" s="16"/>
      <c r="AQ72" s="61"/>
    </row>
    <row r="73" ht="13.5" customHeight="1">
      <c r="A73" s="44"/>
      <c r="B73" s="72" t="s">
        <v>12</v>
      </c>
      <c r="C73" s="73" t="s">
        <v>13</v>
      </c>
      <c r="D73" s="74" t="s">
        <v>14</v>
      </c>
      <c r="E73" s="75">
        <f t="array" ref="E73">MAX(Q79:Q83)</f>
        <v>0.1</v>
      </c>
      <c r="F73" s="76" t="str">
        <f t="array" ref="F73">C73</f>
        <v>mV</v>
      </c>
      <c r="G73" s="67"/>
      <c r="H73" s="68" t="s">
        <v>15</v>
      </c>
      <c r="I73" s="77" t="s">
        <v>16</v>
      </c>
      <c r="J73" s="78"/>
      <c r="K73" s="79"/>
      <c r="L73" s="66"/>
      <c r="M73" s="66"/>
      <c r="N73" s="66"/>
      <c r="O73" s="71"/>
      <c r="P73" s="48"/>
      <c r="Q73" s="16"/>
      <c r="R73" s="16"/>
      <c r="S73" s="16"/>
      <c r="T73" s="16"/>
      <c r="U73" s="16"/>
      <c r="V73" s="16"/>
      <c r="W73" s="16"/>
      <c r="X73" s="16"/>
      <c r="Y73" s="16"/>
      <c r="Z73" s="16"/>
      <c r="AA73" s="16"/>
      <c r="AB73" s="16"/>
      <c r="AC73" s="16"/>
      <c r="AD73" s="55"/>
      <c r="AE73" s="56"/>
      <c r="AF73" s="57"/>
      <c r="AG73" s="57"/>
      <c r="AH73" s="57"/>
      <c r="AI73" s="57"/>
      <c r="AJ73" s="58"/>
      <c r="AK73" s="58"/>
      <c r="AL73" s="58"/>
      <c r="AM73" s="59"/>
      <c r="AN73" s="60"/>
      <c r="AO73" s="16"/>
      <c r="AP73" s="16"/>
      <c r="AQ73" s="61"/>
    </row>
    <row r="74" ht="12.75" customHeight="1">
      <c r="A74" s="44"/>
      <c r="B74" s="80"/>
      <c r="C74" s="65"/>
      <c r="D74" s="76" t="s">
        <v>17</v>
      </c>
      <c r="E74" s="81">
        <f t="array" ref="E74">MAX(O79:O83)</f>
        <v>0.0584693652</v>
      </c>
      <c r="F74" s="76" t="str">
        <f t="array" ref="F74">C73</f>
        <v>mV</v>
      </c>
      <c r="G74" s="67"/>
      <c r="H74" s="82"/>
      <c r="I74" s="68" t="s">
        <v>18</v>
      </c>
      <c r="J74" s="82"/>
      <c r="K74" s="79"/>
      <c r="L74" s="66"/>
      <c r="M74" s="66"/>
      <c r="N74" s="66"/>
      <c r="O74" s="71"/>
      <c r="P74" s="48"/>
      <c r="Q74" s="16"/>
      <c r="R74" s="16"/>
      <c r="S74" s="16"/>
      <c r="T74" s="16"/>
      <c r="U74" s="16"/>
      <c r="V74" s="16"/>
      <c r="W74" s="16"/>
      <c r="X74" s="16"/>
      <c r="Y74" s="16"/>
      <c r="Z74" s="16"/>
      <c r="AA74" s="16"/>
      <c r="AB74" s="16"/>
      <c r="AC74" s="16"/>
      <c r="AD74" s="55"/>
      <c r="AE74" s="56"/>
      <c r="AF74" s="57"/>
      <c r="AG74" s="57"/>
      <c r="AH74" s="57"/>
      <c r="AI74" s="57"/>
      <c r="AJ74" s="58"/>
      <c r="AK74" s="58"/>
      <c r="AL74" s="58"/>
      <c r="AM74" s="59"/>
      <c r="AN74" s="60"/>
      <c r="AO74" s="16"/>
      <c r="AP74" s="16"/>
      <c r="AQ74" s="61"/>
    </row>
    <row r="75" ht="12.75" customHeight="1">
      <c r="A75" s="44"/>
      <c r="B75" s="83"/>
      <c r="C75" s="66"/>
      <c r="D75" s="66"/>
      <c r="E75" s="66"/>
      <c r="F75" s="66"/>
      <c r="G75" s="67"/>
      <c r="H75" s="82"/>
      <c r="I75" s="68" t="s">
        <v>19</v>
      </c>
      <c r="J75" s="82"/>
      <c r="K75" s="79"/>
      <c r="L75" s="66"/>
      <c r="M75" s="66"/>
      <c r="N75" s="66"/>
      <c r="O75" s="84"/>
      <c r="P75" s="48"/>
      <c r="Q75" s="16"/>
      <c r="R75" s="16"/>
      <c r="S75" s="16"/>
      <c r="T75" s="16"/>
      <c r="U75" s="16"/>
      <c r="V75" s="16"/>
      <c r="W75" s="16"/>
      <c r="X75" s="16"/>
      <c r="Y75" s="16"/>
      <c r="Z75" s="16"/>
      <c r="AA75" s="16"/>
      <c r="AB75" s="16"/>
      <c r="AC75" s="16"/>
      <c r="AD75" s="55"/>
      <c r="AE75" s="56"/>
      <c r="AF75" s="57"/>
      <c r="AG75" s="57"/>
      <c r="AH75" s="57"/>
      <c r="AI75" s="57"/>
      <c r="AJ75" s="58"/>
      <c r="AK75" s="58"/>
      <c r="AL75" s="58"/>
      <c r="AM75" s="59"/>
      <c r="AN75" s="60"/>
      <c r="AO75" s="16"/>
      <c r="AP75" s="16"/>
      <c r="AQ75" s="61"/>
    </row>
    <row r="76" ht="12.75" customHeight="1">
      <c r="A76" s="44"/>
      <c r="B76" s="85" t="s">
        <v>20</v>
      </c>
      <c r="C76" s="69"/>
      <c r="D76" s="70"/>
      <c r="E76" s="70"/>
      <c r="F76" s="70"/>
      <c r="G76" s="86"/>
      <c r="H76" s="87" t="s">
        <v>21</v>
      </c>
      <c r="I76" s="88">
        <v>5502.0</v>
      </c>
      <c r="J76" s="88"/>
      <c r="K76" s="69"/>
      <c r="L76" s="70"/>
      <c r="M76" s="70"/>
      <c r="N76" s="86"/>
      <c r="O76" s="89" t="s">
        <v>22</v>
      </c>
      <c r="P76" s="48"/>
      <c r="Q76" s="16"/>
      <c r="R76" s="16"/>
      <c r="S76" s="16"/>
      <c r="T76" s="16"/>
      <c r="U76" s="16"/>
      <c r="V76" s="16"/>
      <c r="W76" s="16"/>
      <c r="X76" s="16"/>
      <c r="Y76" s="16"/>
      <c r="Z76" s="16"/>
      <c r="AA76" s="16"/>
      <c r="AB76" s="16"/>
      <c r="AC76" s="16"/>
      <c r="AD76" s="55"/>
      <c r="AE76" s="56"/>
      <c r="AF76" s="57"/>
      <c r="AG76" s="57"/>
      <c r="AH76" s="57"/>
      <c r="AI76" s="57"/>
      <c r="AJ76" s="58"/>
      <c r="AK76" s="58"/>
      <c r="AL76" s="58"/>
      <c r="AM76" s="59"/>
      <c r="AN76" s="60"/>
      <c r="AO76" s="16"/>
      <c r="AP76" s="16"/>
      <c r="AQ76" s="61"/>
    </row>
    <row r="77" ht="12.75" customHeight="1">
      <c r="A77" s="44"/>
      <c r="B77" s="90" t="s">
        <v>23</v>
      </c>
      <c r="C77" s="77" t="s">
        <v>24</v>
      </c>
      <c r="D77" s="77" t="s">
        <v>25</v>
      </c>
      <c r="E77" s="77" t="s">
        <v>26</v>
      </c>
      <c r="F77" s="77" t="s">
        <v>27</v>
      </c>
      <c r="G77" s="77" t="s">
        <v>28</v>
      </c>
      <c r="H77" s="77" t="s">
        <v>29</v>
      </c>
      <c r="I77" s="77" t="s">
        <v>30</v>
      </c>
      <c r="J77" s="77" t="s">
        <v>31</v>
      </c>
      <c r="K77" s="77" t="s">
        <v>32</v>
      </c>
      <c r="L77" s="77" t="s">
        <v>33</v>
      </c>
      <c r="M77" s="77" t="s">
        <v>34</v>
      </c>
      <c r="N77" s="91"/>
      <c r="O77" s="92" t="s">
        <v>35</v>
      </c>
      <c r="P77" s="48"/>
      <c r="Q77" s="16"/>
      <c r="R77" s="16"/>
      <c r="S77" s="16"/>
      <c r="T77" s="16"/>
      <c r="U77" s="16"/>
      <c r="V77" s="16"/>
      <c r="W77" s="16"/>
      <c r="X77" s="16"/>
      <c r="Y77" s="16"/>
      <c r="Z77" s="16"/>
      <c r="AA77" s="16"/>
      <c r="AB77" s="16"/>
      <c r="AC77" s="16"/>
      <c r="AD77" s="55"/>
      <c r="AE77" s="56"/>
      <c r="AF77" s="57"/>
      <c r="AG77" s="57"/>
      <c r="AH77" s="57"/>
      <c r="AI77" s="57"/>
      <c r="AJ77" s="58"/>
      <c r="AK77" s="58"/>
      <c r="AL77" s="58"/>
      <c r="AM77" s="59"/>
      <c r="AN77" s="60"/>
      <c r="AO77" s="16"/>
      <c r="AP77" s="16"/>
      <c r="AQ77" s="61"/>
    </row>
    <row r="78" ht="12.75" customHeight="1">
      <c r="A78" s="44"/>
      <c r="B78" s="93" t="str">
        <f t="array" ref="B78">C73</f>
        <v>mV</v>
      </c>
      <c r="C78" s="87" t="str">
        <f t="array" ref="C78">$B78</f>
        <v>mV</v>
      </c>
      <c r="D78" s="87" t="str">
        <f t="array" ref="D78">$B78</f>
        <v>mV</v>
      </c>
      <c r="E78" s="87" t="str">
        <f t="array" ref="E78">$B78</f>
        <v>mV</v>
      </c>
      <c r="F78" s="87" t="str">
        <f t="array" ref="F78">$B78</f>
        <v>mV</v>
      </c>
      <c r="G78" s="87" t="str">
        <f t="array" ref="G78">$B78</f>
        <v>mV</v>
      </c>
      <c r="H78" s="87" t="str">
        <f t="array" ref="H78">$B78</f>
        <v>mV</v>
      </c>
      <c r="I78" s="87" t="str">
        <f t="array" ref="I78">$B78</f>
        <v>mV</v>
      </c>
      <c r="J78" s="87" t="str">
        <f t="array" ref="J78">$B78</f>
        <v>mV</v>
      </c>
      <c r="K78" s="87" t="str">
        <f t="array" ref="K78">$B78</f>
        <v>mV</v>
      </c>
      <c r="L78" s="87" t="str">
        <f t="array" ref="L78">$B78</f>
        <v>mV</v>
      </c>
      <c r="M78" s="94" t="s">
        <v>36</v>
      </c>
      <c r="N78" s="87" t="s">
        <v>37</v>
      </c>
      <c r="O78" s="95" t="str">
        <f t="array" ref="O78">$B78</f>
        <v>mV</v>
      </c>
      <c r="P78" s="48"/>
      <c r="Q78" s="96" t="s">
        <v>38</v>
      </c>
      <c r="R78" s="96" t="s">
        <v>39</v>
      </c>
      <c r="S78" s="96" t="s">
        <v>40</v>
      </c>
      <c r="T78" s="97" t="s">
        <v>41</v>
      </c>
      <c r="U78" s="16"/>
      <c r="V78" s="16"/>
      <c r="W78" s="16"/>
      <c r="X78" s="16"/>
      <c r="Y78" s="16"/>
      <c r="Z78" s="16"/>
      <c r="AA78" s="16"/>
      <c r="AB78" s="16"/>
      <c r="AC78" s="16"/>
      <c r="AD78" s="55"/>
      <c r="AE78" s="56"/>
      <c r="AF78" s="57"/>
      <c r="AG78" s="57"/>
      <c r="AH78" s="57"/>
      <c r="AI78" s="57"/>
      <c r="AJ78" s="58"/>
      <c r="AK78" s="58"/>
      <c r="AL78" s="58"/>
      <c r="AM78" s="59"/>
      <c r="AN78" s="60"/>
      <c r="AO78" s="16"/>
      <c r="AP78" s="16"/>
      <c r="AQ78" s="61"/>
    </row>
    <row r="79" ht="12.75" customHeight="1">
      <c r="A79" s="98"/>
      <c r="B79" s="99">
        <f t="array" ref="B79">E71*0.1</f>
        <v>60</v>
      </c>
      <c r="C79" s="100">
        <v>59.9</v>
      </c>
      <c r="D79" s="101">
        <v>59.9</v>
      </c>
      <c r="E79" s="101">
        <v>59.9</v>
      </c>
      <c r="F79" s="101">
        <v>59.9</v>
      </c>
      <c r="G79" s="102">
        <v>59.9</v>
      </c>
      <c r="H79" s="103">
        <f t="array" ref="H79">STDEV(C79:G79)*1.4</f>
        <v>0</v>
      </c>
      <c r="I79" s="103">
        <f t="array" ref="I79">0.016/2</f>
        <v>0.008</v>
      </c>
      <c r="J79" s="103">
        <f t="array" ref="J79">I79/SQRT(3)</f>
        <v>0.004618802154</v>
      </c>
      <c r="K79" s="103">
        <f t="array" ref="K79">(C$72)/SQRT(12)</f>
        <v>0.02886751346</v>
      </c>
      <c r="L79" s="105">
        <f t="array" ref="L79">SQRT(H79^2+J79^2+(K79)^2)</f>
        <v>0.0292346826</v>
      </c>
      <c r="M79" s="91" t="str">
        <f t="array" ref="M79">IF(ISERROR((L79^4)/(H79^4/4))=TRUE,"∞",((L79^4)/(H79^4/4)))</f>
        <v>∞</v>
      </c>
      <c r="N79" s="91">
        <f t="array" ref="N79">IF(ISERROR(TINV(0.05,M79))=TRUE,2,TINV(0.05,M79))</f>
        <v>2</v>
      </c>
      <c r="O79" s="106">
        <f t="array" ref="O79">L79*N79</f>
        <v>0.0584693652</v>
      </c>
      <c r="P79" s="48"/>
      <c r="Q79" s="107">
        <f t="array" ref="Q79">AVERAGE(C79:G79)-B79</f>
        <v>-0.1</v>
      </c>
      <c r="R79" s="107">
        <f t="array" ref="R79">Q79+O79</f>
        <v>-0.0415306348</v>
      </c>
      <c r="S79" s="107">
        <f t="array" ref="S79">Q79-O79</f>
        <v>-0.1584693652</v>
      </c>
      <c r="T79" s="107">
        <f t="array" ref="T79">ABS(Q79)</f>
        <v>0.1</v>
      </c>
      <c r="U79" s="16"/>
      <c r="V79" s="16"/>
      <c r="W79" s="16"/>
      <c r="X79" s="16"/>
      <c r="Y79" s="16"/>
      <c r="Z79" s="16"/>
      <c r="AA79" s="16"/>
      <c r="AB79" s="16"/>
      <c r="AC79" s="16"/>
      <c r="AD79" s="55"/>
      <c r="AE79" s="56"/>
      <c r="AF79" s="57"/>
      <c r="AG79" s="57"/>
      <c r="AH79" s="57"/>
      <c r="AI79" s="57"/>
      <c r="AJ79" s="58"/>
      <c r="AK79" s="58"/>
      <c r="AL79" s="58"/>
      <c r="AM79" s="59"/>
      <c r="AN79" s="60"/>
      <c r="AO79" s="16"/>
      <c r="AP79" s="16"/>
      <c r="AQ79" s="61"/>
    </row>
    <row r="80" ht="12.75" customHeight="1">
      <c r="A80" s="98"/>
      <c r="B80" s="108">
        <f t="array" ref="B80">E71*0.25</f>
        <v>150</v>
      </c>
      <c r="C80" s="109">
        <v>149.8</v>
      </c>
      <c r="D80" s="110">
        <v>149.8</v>
      </c>
      <c r="E80" s="110">
        <v>149.8</v>
      </c>
      <c r="F80" s="110">
        <v>149.8</v>
      </c>
      <c r="G80" s="111">
        <v>149.8</v>
      </c>
      <c r="H80" s="112">
        <f t="array" ref="H80">STDEV(C80:G80)*1.4</f>
        <v>0</v>
      </c>
      <c r="I80" s="112">
        <f t="array" ref="I80">0.016/2</f>
        <v>0.008</v>
      </c>
      <c r="J80" s="112">
        <f t="array" ref="J80">I80/SQRT(3)</f>
        <v>0.004618802154</v>
      </c>
      <c r="K80" s="112">
        <v>0.0288675134594813</v>
      </c>
      <c r="L80" s="113">
        <f t="array" ref="L80">SQRT(H80^2+J80^2+(K80)^2)</f>
        <v>0.0292346826</v>
      </c>
      <c r="M80" s="114" t="str">
        <f t="array" ref="M80">IF(ISERROR((L80^4)/(H80^4/4))=TRUE,"∞",((L80^4)/(H80^4/4)))</f>
        <v>∞</v>
      </c>
      <c r="N80" s="114">
        <f t="array" ref="N80">IF(ISERROR(TINV(0.05,M80))=TRUE,2,TINV(0.05,M80))</f>
        <v>2</v>
      </c>
      <c r="O80" s="115">
        <f t="array" ref="O80">L80*N80</f>
        <v>0.0584693652</v>
      </c>
      <c r="P80" s="48"/>
      <c r="Q80" s="107">
        <f t="array" ref="Q80">AVERAGE(C80:G80)-B80</f>
        <v>-0.2</v>
      </c>
      <c r="R80" s="107">
        <f t="array" ref="R80">Q80+O80</f>
        <v>-0.1415306348</v>
      </c>
      <c r="S80" s="107">
        <f t="array" ref="S80">Q80-O80</f>
        <v>-0.2584693652</v>
      </c>
      <c r="T80" s="107">
        <f t="array" ref="T80">ABS(Q80)</f>
        <v>0.2</v>
      </c>
      <c r="U80" s="16"/>
      <c r="V80" s="16"/>
      <c r="W80" s="16"/>
      <c r="X80" s="16"/>
      <c r="Y80" s="16"/>
      <c r="Z80" s="16"/>
      <c r="AA80" s="16"/>
      <c r="AB80" s="16"/>
      <c r="AC80" s="16"/>
      <c r="AD80" s="55"/>
      <c r="AE80" s="56"/>
      <c r="AF80" s="57"/>
      <c r="AG80" s="57"/>
      <c r="AH80" s="57"/>
      <c r="AI80" s="57"/>
      <c r="AJ80" s="58"/>
      <c r="AK80" s="58"/>
      <c r="AL80" s="58"/>
      <c r="AM80" s="59"/>
      <c r="AN80" s="60"/>
      <c r="AO80" s="16"/>
      <c r="AP80" s="16"/>
      <c r="AQ80" s="61"/>
    </row>
    <row r="81" ht="12.75" customHeight="1">
      <c r="A81" s="98"/>
      <c r="B81" s="108">
        <f t="array" ref="B81">E71*0.5</f>
        <v>300</v>
      </c>
      <c r="C81" s="109">
        <v>300.0</v>
      </c>
      <c r="D81" s="110">
        <v>300.0</v>
      </c>
      <c r="E81" s="110">
        <v>300.0</v>
      </c>
      <c r="F81" s="110">
        <v>300.0</v>
      </c>
      <c r="G81" s="111">
        <v>300.0</v>
      </c>
      <c r="H81" s="112">
        <f t="array" ref="H81">STDEV(C81:G81)*1.4</f>
        <v>0</v>
      </c>
      <c r="I81" s="112">
        <v>0.008</v>
      </c>
      <c r="J81" s="112">
        <f t="array" ref="J81">I81/SQRT(3)</f>
        <v>0.004618802154</v>
      </c>
      <c r="K81" s="112">
        <v>0.0288675134594813</v>
      </c>
      <c r="L81" s="113">
        <f t="array" ref="L81">SQRT(H81^2+J81^2+(K81)^2)</f>
        <v>0.0292346826</v>
      </c>
      <c r="M81" s="114" t="str">
        <f t="array" ref="M81">IF(ISERROR((L81^4)/(H81^4/4))=TRUE,"∞",((L81^4)/(H81^4/4)))</f>
        <v>∞</v>
      </c>
      <c r="N81" s="114">
        <f t="array" ref="N81">IF(ISERROR(TINV(0.05,M81))=TRUE,2,TINV(0.05,M81))</f>
        <v>2</v>
      </c>
      <c r="O81" s="115">
        <f t="array" ref="O81">L81*N81</f>
        <v>0.0584693652</v>
      </c>
      <c r="P81" s="48"/>
      <c r="Q81" s="107">
        <f t="array" ref="Q81">AVERAGE(C81:G81)-B81</f>
        <v>0</v>
      </c>
      <c r="R81" s="107">
        <f t="array" ref="R81">Q81+O81</f>
        <v>0.0584693652</v>
      </c>
      <c r="S81" s="107">
        <f t="array" ref="S81">Q81-O81</f>
        <v>-0.0584693652</v>
      </c>
      <c r="T81" s="107">
        <f t="array" ref="T81">ABS(Q81)</f>
        <v>0</v>
      </c>
      <c r="U81" s="16"/>
      <c r="V81" s="16"/>
      <c r="W81" s="16"/>
      <c r="X81" s="16"/>
      <c r="Y81" s="16"/>
      <c r="Z81" s="16"/>
      <c r="AA81" s="16"/>
      <c r="AB81" s="16"/>
      <c r="AC81" s="16"/>
      <c r="AD81" s="55"/>
      <c r="AE81" s="56"/>
      <c r="AF81" s="57"/>
      <c r="AG81" s="57"/>
      <c r="AH81" s="57"/>
      <c r="AI81" s="57"/>
      <c r="AJ81" s="58"/>
      <c r="AK81" s="58"/>
      <c r="AL81" s="58"/>
      <c r="AM81" s="59"/>
      <c r="AN81" s="60"/>
      <c r="AO81" s="16"/>
      <c r="AP81" s="16"/>
      <c r="AQ81" s="61"/>
    </row>
    <row r="82" ht="12.75" customHeight="1">
      <c r="A82" s="98"/>
      <c r="B82" s="108">
        <f t="array" ref="B82">E71*0.75</f>
        <v>450</v>
      </c>
      <c r="C82" s="109">
        <v>450.0</v>
      </c>
      <c r="D82" s="110">
        <v>450.0</v>
      </c>
      <c r="E82" s="110">
        <v>450.0</v>
      </c>
      <c r="F82" s="110">
        <v>450.0</v>
      </c>
      <c r="G82" s="111">
        <v>450.0</v>
      </c>
      <c r="H82" s="112">
        <f t="array" ref="H82">STDEV(C82:G82)*1.4</f>
        <v>0</v>
      </c>
      <c r="I82" s="112">
        <f t="array" ref="I82">0.016/2</f>
        <v>0.008</v>
      </c>
      <c r="J82" s="112">
        <f t="array" ref="J82">I82/SQRT(3)</f>
        <v>0.004618802154</v>
      </c>
      <c r="K82" s="112">
        <v>0.0288675134594813</v>
      </c>
      <c r="L82" s="113">
        <f t="array" ref="L82">SQRT(H82^2+J82^2+(K82)^2)</f>
        <v>0.0292346826</v>
      </c>
      <c r="M82" s="114" t="str">
        <f t="array" ref="M82">IF(ISERROR((L82^4)/(H82^4/4))=TRUE,"∞",((L82^4)/(H82^4/4)))</f>
        <v>∞</v>
      </c>
      <c r="N82" s="114">
        <f t="array" ref="N82">IF(ISERROR(TINV(0.05,M82))=TRUE,2,TINV(0.05,M82))</f>
        <v>2</v>
      </c>
      <c r="O82" s="115">
        <f t="array" ref="O82">L82*N82</f>
        <v>0.0584693652</v>
      </c>
      <c r="P82" s="48"/>
      <c r="Q82" s="107">
        <f t="array" ref="Q82">AVERAGE(C82:G82)-B82</f>
        <v>0</v>
      </c>
      <c r="R82" s="107">
        <f t="array" ref="R82">Q82+O82</f>
        <v>0.0584693652</v>
      </c>
      <c r="S82" s="107">
        <f t="array" ref="S82">Q82-O82</f>
        <v>-0.0584693652</v>
      </c>
      <c r="T82" s="107">
        <f t="array" ref="T82">ABS(Q82)</f>
        <v>0</v>
      </c>
      <c r="U82" s="16"/>
      <c r="V82" s="16"/>
      <c r="W82" s="16"/>
      <c r="X82" s="16"/>
      <c r="Y82" s="16"/>
      <c r="Z82" s="16"/>
      <c r="AA82" s="16"/>
      <c r="AB82" s="16"/>
      <c r="AC82" s="16"/>
      <c r="AD82" s="55"/>
      <c r="AE82" s="56"/>
      <c r="AF82" s="57"/>
      <c r="AG82" s="57"/>
      <c r="AH82" s="57"/>
      <c r="AI82" s="57"/>
      <c r="AJ82" s="58"/>
      <c r="AK82" s="58"/>
      <c r="AL82" s="58"/>
      <c r="AM82" s="59"/>
      <c r="AN82" s="60"/>
      <c r="AO82" s="16"/>
      <c r="AP82" s="16"/>
      <c r="AQ82" s="61"/>
    </row>
    <row r="83" ht="12.75" customHeight="1">
      <c r="A83" s="98"/>
      <c r="B83" s="116">
        <f t="array" ref="B83">E71*0.9</f>
        <v>540</v>
      </c>
      <c r="C83" s="117">
        <v>540.1</v>
      </c>
      <c r="D83" s="118">
        <v>540.1</v>
      </c>
      <c r="E83" s="118">
        <v>540.1</v>
      </c>
      <c r="F83" s="118">
        <v>540.1</v>
      </c>
      <c r="G83" s="119">
        <v>540.1</v>
      </c>
      <c r="H83" s="120">
        <f t="array" ref="H83">STDEV(C83:G83)*1.4</f>
        <v>0</v>
      </c>
      <c r="I83" s="112">
        <f t="array" ref="I83">0.016/2</f>
        <v>0.008</v>
      </c>
      <c r="J83" s="120">
        <f t="array" ref="J83">I83/SQRT(3)</f>
        <v>0.004618802154</v>
      </c>
      <c r="K83" s="120">
        <v>0.0288675134594813</v>
      </c>
      <c r="L83" s="121">
        <f t="array" ref="L83">SQRT(H83^2+J83^2+(K83)^2)</f>
        <v>0.0292346826</v>
      </c>
      <c r="M83" s="122" t="str">
        <f t="array" ref="M83">IF(ISERROR((L83^4)/(H83^4/4))=TRUE,"∞",((L83^4)/(H83^4/4)))</f>
        <v>∞</v>
      </c>
      <c r="N83" s="122">
        <f t="array" ref="N83">IF(ISERROR(TINV(0.05,M83))=TRUE,2,TINV(0.05,M83))</f>
        <v>2</v>
      </c>
      <c r="O83" s="123">
        <f t="array" ref="O83">L83*N83</f>
        <v>0.0584693652</v>
      </c>
      <c r="P83" s="48"/>
      <c r="Q83" s="107">
        <f t="array" ref="Q83">AVERAGE(C83:G83)-B83</f>
        <v>0.1</v>
      </c>
      <c r="R83" s="107">
        <f t="array" ref="R83">Q83+O83</f>
        <v>0.1584693652</v>
      </c>
      <c r="S83" s="107">
        <f t="array" ref="S83">Q83-O83</f>
        <v>0.0415306348</v>
      </c>
      <c r="T83" s="107">
        <f t="array" ref="T83">ABS(Q83)</f>
        <v>0.1</v>
      </c>
      <c r="U83" s="16"/>
      <c r="V83" s="16"/>
      <c r="W83" s="16"/>
      <c r="X83" s="16"/>
      <c r="Y83" s="16"/>
      <c r="Z83" s="16"/>
      <c r="AA83" s="16"/>
      <c r="AB83" s="16"/>
      <c r="AC83" s="16"/>
      <c r="AD83" s="55"/>
      <c r="AE83" s="56"/>
      <c r="AF83" s="57"/>
      <c r="AG83" s="57"/>
      <c r="AH83" s="57"/>
      <c r="AI83" s="57"/>
      <c r="AJ83" s="58"/>
      <c r="AK83" s="58"/>
      <c r="AL83" s="58"/>
      <c r="AM83" s="59"/>
      <c r="AN83" s="60"/>
      <c r="AO83" s="16"/>
      <c r="AP83" s="16"/>
      <c r="AQ83" s="61"/>
    </row>
    <row r="84" ht="13.5" customHeight="1">
      <c r="A84" s="15"/>
      <c r="B84" s="124"/>
      <c r="C84" s="124"/>
      <c r="D84" s="124"/>
      <c r="E84" s="124"/>
      <c r="F84" s="124"/>
      <c r="G84" s="124"/>
      <c r="H84" s="125"/>
      <c r="I84" s="126"/>
      <c r="J84" s="125"/>
      <c r="K84" s="125"/>
      <c r="L84" s="127"/>
      <c r="M84" s="128"/>
      <c r="N84" s="128"/>
      <c r="O84" s="129"/>
      <c r="P84" s="48"/>
      <c r="Q84" s="107"/>
      <c r="R84" s="107"/>
      <c r="S84" s="107"/>
      <c r="T84" s="107"/>
      <c r="U84" s="16"/>
      <c r="V84" s="16"/>
      <c r="W84" s="16"/>
      <c r="X84" s="16"/>
      <c r="Y84" s="16"/>
      <c r="Z84" s="16"/>
      <c r="AA84" s="16"/>
      <c r="AB84" s="16"/>
      <c r="AC84" s="16"/>
      <c r="AD84" s="55"/>
      <c r="AE84" s="56"/>
      <c r="AF84" s="57"/>
      <c r="AG84" s="57"/>
      <c r="AH84" s="57"/>
      <c r="AI84" s="57"/>
      <c r="AJ84" s="58"/>
      <c r="AK84" s="58"/>
      <c r="AL84" s="58"/>
      <c r="AM84" s="59"/>
      <c r="AN84" s="60"/>
      <c r="AO84" s="16"/>
      <c r="AP84" s="16"/>
      <c r="AQ84" s="61"/>
    </row>
    <row r="85" ht="27.0" customHeight="1">
      <c r="A85" s="44"/>
      <c r="B85" s="45" t="s">
        <v>43</v>
      </c>
      <c r="C85" s="46"/>
      <c r="D85" s="46"/>
      <c r="E85" s="46"/>
      <c r="F85" s="46"/>
      <c r="G85" s="46"/>
      <c r="H85" s="46"/>
      <c r="I85" s="46"/>
      <c r="J85" s="46"/>
      <c r="K85" s="46"/>
      <c r="L85" s="46"/>
      <c r="M85" s="46"/>
      <c r="N85" s="46"/>
      <c r="O85" s="47"/>
      <c r="P85" s="48"/>
      <c r="Q85" s="16"/>
      <c r="R85" s="16"/>
      <c r="S85" s="16"/>
      <c r="T85" s="16"/>
      <c r="U85" s="16"/>
      <c r="V85" s="16"/>
      <c r="W85" s="16"/>
      <c r="X85" s="16"/>
      <c r="Y85" s="16"/>
      <c r="Z85" s="16"/>
      <c r="AA85" s="16"/>
      <c r="AB85" s="16"/>
      <c r="AC85" s="16"/>
      <c r="AD85" s="55"/>
      <c r="AE85" s="56"/>
      <c r="AF85" s="57"/>
      <c r="AG85" s="57"/>
      <c r="AH85" s="57"/>
      <c r="AI85" s="57"/>
      <c r="AJ85" s="58"/>
      <c r="AK85" s="58"/>
      <c r="AL85" s="58"/>
      <c r="AM85" s="59"/>
      <c r="AN85" s="60"/>
      <c r="AO85" s="16"/>
      <c r="AP85" s="16"/>
      <c r="AQ85" s="61"/>
    </row>
    <row r="86" ht="13.5" customHeight="1">
      <c r="A86" s="44"/>
      <c r="B86" s="49" t="s">
        <v>8</v>
      </c>
      <c r="C86" s="50">
        <v>0.0</v>
      </c>
      <c r="D86" s="51" t="s">
        <v>9</v>
      </c>
      <c r="E86" s="50">
        <v>6.0</v>
      </c>
      <c r="F86" s="52"/>
      <c r="G86" s="53"/>
      <c r="H86" s="53"/>
      <c r="I86" s="53"/>
      <c r="J86" s="53"/>
      <c r="K86" s="53"/>
      <c r="L86" s="53"/>
      <c r="M86" s="53"/>
      <c r="N86" s="53"/>
      <c r="O86" s="54"/>
      <c r="P86" s="48"/>
      <c r="Q86" s="16"/>
      <c r="R86" s="16"/>
      <c r="S86" s="16"/>
      <c r="T86" s="16"/>
      <c r="U86" s="16"/>
      <c r="V86" s="16"/>
      <c r="W86" s="16"/>
      <c r="X86" s="16"/>
      <c r="Y86" s="16"/>
      <c r="Z86" s="16"/>
      <c r="AA86" s="16"/>
      <c r="AB86" s="16"/>
      <c r="AC86" s="16"/>
      <c r="AD86" s="55"/>
      <c r="AE86" s="56"/>
      <c r="AF86" s="57"/>
      <c r="AG86" s="57"/>
      <c r="AH86" s="57"/>
      <c r="AI86" s="57"/>
      <c r="AJ86" s="58"/>
      <c r="AK86" s="58"/>
      <c r="AL86" s="58"/>
      <c r="AM86" s="59"/>
      <c r="AN86" s="60"/>
      <c r="AO86" s="16"/>
      <c r="AP86" s="16"/>
      <c r="AQ86" s="61"/>
    </row>
    <row r="87" ht="13.5" customHeight="1">
      <c r="A87" s="44"/>
      <c r="B87" s="62" t="s">
        <v>10</v>
      </c>
      <c r="C87" s="63">
        <v>0.001</v>
      </c>
      <c r="D87" s="64"/>
      <c r="E87" s="65"/>
      <c r="F87" s="66"/>
      <c r="G87" s="67"/>
      <c r="H87" s="68" t="s">
        <v>11</v>
      </c>
      <c r="I87" s="69"/>
      <c r="J87" s="70"/>
      <c r="K87" s="66"/>
      <c r="L87" s="66"/>
      <c r="M87" s="66"/>
      <c r="N87" s="66"/>
      <c r="O87" s="71"/>
      <c r="P87" s="48"/>
      <c r="Q87" s="16"/>
      <c r="R87" s="16"/>
      <c r="S87" s="16"/>
      <c r="T87" s="16"/>
      <c r="U87" s="16"/>
      <c r="V87" s="16"/>
      <c r="W87" s="16"/>
      <c r="X87" s="16"/>
      <c r="Y87" s="16"/>
      <c r="Z87" s="16"/>
      <c r="AA87" s="16"/>
      <c r="AB87" s="16"/>
      <c r="AC87" s="16"/>
      <c r="AD87" s="55"/>
      <c r="AE87" s="56"/>
      <c r="AF87" s="57"/>
      <c r="AG87" s="57"/>
      <c r="AH87" s="57"/>
      <c r="AI87" s="57"/>
      <c r="AJ87" s="58"/>
      <c r="AK87" s="58"/>
      <c r="AL87" s="58"/>
      <c r="AM87" s="59"/>
      <c r="AN87" s="60"/>
      <c r="AO87" s="16"/>
      <c r="AP87" s="16"/>
      <c r="AQ87" s="61"/>
    </row>
    <row r="88" ht="13.5" customHeight="1">
      <c r="A88" s="44"/>
      <c r="B88" s="72" t="s">
        <v>12</v>
      </c>
      <c r="C88" s="73" t="s">
        <v>42</v>
      </c>
      <c r="D88" s="74" t="s">
        <v>14</v>
      </c>
      <c r="E88" s="75">
        <f t="array" ref="E88">MAX(Q94:Q98)</f>
        <v>-0.0016</v>
      </c>
      <c r="F88" s="76" t="str">
        <f t="array" ref="F88">C88</f>
        <v>V</v>
      </c>
      <c r="G88" s="67"/>
      <c r="H88" s="68" t="s">
        <v>15</v>
      </c>
      <c r="I88" s="77" t="s">
        <v>16</v>
      </c>
      <c r="J88" s="78"/>
      <c r="K88" s="79"/>
      <c r="L88" s="66"/>
      <c r="M88" s="66"/>
      <c r="N88" s="66"/>
      <c r="O88" s="71"/>
      <c r="P88" s="48"/>
      <c r="Q88" s="16"/>
      <c r="R88" s="16"/>
      <c r="S88" s="16"/>
      <c r="T88" s="16"/>
      <c r="U88" s="16"/>
      <c r="V88" s="16"/>
      <c r="W88" s="16"/>
      <c r="X88" s="16"/>
      <c r="Y88" s="16"/>
      <c r="Z88" s="16"/>
      <c r="AA88" s="16"/>
      <c r="AB88" s="16"/>
      <c r="AC88" s="16"/>
      <c r="AD88" s="55"/>
      <c r="AE88" s="56"/>
      <c r="AF88" s="57"/>
      <c r="AG88" s="57"/>
      <c r="AH88" s="57"/>
      <c r="AI88" s="57"/>
      <c r="AJ88" s="58"/>
      <c r="AK88" s="58"/>
      <c r="AL88" s="58"/>
      <c r="AM88" s="59"/>
      <c r="AN88" s="60"/>
      <c r="AO88" s="16"/>
      <c r="AP88" s="16"/>
      <c r="AQ88" s="61"/>
    </row>
    <row r="89" ht="12.75" customHeight="1">
      <c r="A89" s="44"/>
      <c r="B89" s="80"/>
      <c r="C89" s="65"/>
      <c r="D89" s="76" t="s">
        <v>17</v>
      </c>
      <c r="E89" s="81">
        <f t="array" ref="E89">MAX(O94:O98)</f>
        <v>0.00933886937</v>
      </c>
      <c r="F89" s="76" t="str">
        <f t="array" ref="F89">C88</f>
        <v>V</v>
      </c>
      <c r="G89" s="67"/>
      <c r="H89" s="82"/>
      <c r="I89" s="68" t="s">
        <v>18</v>
      </c>
      <c r="J89" s="82"/>
      <c r="K89" s="79"/>
      <c r="L89" s="66"/>
      <c r="M89" s="66"/>
      <c r="N89" s="66"/>
      <c r="O89" s="71"/>
      <c r="P89" s="48"/>
      <c r="Q89" s="16"/>
      <c r="R89" s="16"/>
      <c r="S89" s="16"/>
      <c r="T89" s="16"/>
      <c r="U89" s="16"/>
      <c r="V89" s="16"/>
      <c r="W89" s="16"/>
      <c r="X89" s="16"/>
      <c r="Y89" s="16"/>
      <c r="Z89" s="16"/>
      <c r="AA89" s="16"/>
      <c r="AB89" s="16"/>
      <c r="AC89" s="16"/>
      <c r="AD89" s="55"/>
      <c r="AE89" s="56"/>
      <c r="AF89" s="57"/>
      <c r="AG89" s="57"/>
      <c r="AH89" s="57"/>
      <c r="AI89" s="57"/>
      <c r="AJ89" s="58"/>
      <c r="AK89" s="58"/>
      <c r="AL89" s="58"/>
      <c r="AM89" s="59"/>
      <c r="AN89" s="60"/>
      <c r="AO89" s="16"/>
      <c r="AP89" s="16"/>
      <c r="AQ89" s="61"/>
    </row>
    <row r="90" ht="12.75" customHeight="1">
      <c r="A90" s="44"/>
      <c r="B90" s="83"/>
      <c r="C90" s="66"/>
      <c r="D90" s="66"/>
      <c r="E90" s="66"/>
      <c r="F90" s="66"/>
      <c r="G90" s="67"/>
      <c r="H90" s="82"/>
      <c r="I90" s="68" t="s">
        <v>19</v>
      </c>
      <c r="J90" s="82"/>
      <c r="K90" s="79"/>
      <c r="L90" s="66"/>
      <c r="M90" s="66"/>
      <c r="N90" s="66"/>
      <c r="O90" s="84"/>
      <c r="P90" s="48"/>
      <c r="Q90" s="16"/>
      <c r="R90" s="16"/>
      <c r="S90" s="16"/>
      <c r="T90" s="16"/>
      <c r="U90" s="16"/>
      <c r="V90" s="16"/>
      <c r="W90" s="16"/>
      <c r="X90" s="16"/>
      <c r="Y90" s="16"/>
      <c r="Z90" s="16"/>
      <c r="AA90" s="16"/>
      <c r="AB90" s="16"/>
      <c r="AC90" s="16"/>
      <c r="AD90" s="55"/>
      <c r="AE90" s="56"/>
      <c r="AF90" s="57"/>
      <c r="AG90" s="57"/>
      <c r="AH90" s="57"/>
      <c r="AI90" s="57"/>
      <c r="AJ90" s="58"/>
      <c r="AK90" s="58"/>
      <c r="AL90" s="58"/>
      <c r="AM90" s="59"/>
      <c r="AN90" s="60"/>
      <c r="AO90" s="16"/>
      <c r="AP90" s="16"/>
      <c r="AQ90" s="61"/>
    </row>
    <row r="91" ht="12.75" customHeight="1">
      <c r="A91" s="44"/>
      <c r="B91" s="85" t="s">
        <v>20</v>
      </c>
      <c r="C91" s="69"/>
      <c r="D91" s="70"/>
      <c r="E91" s="70"/>
      <c r="F91" s="70"/>
      <c r="G91" s="86"/>
      <c r="H91" s="87" t="s">
        <v>21</v>
      </c>
      <c r="I91" s="88">
        <v>5502.0</v>
      </c>
      <c r="J91" s="88"/>
      <c r="K91" s="69"/>
      <c r="L91" s="70"/>
      <c r="M91" s="70"/>
      <c r="N91" s="86"/>
      <c r="O91" s="89" t="s">
        <v>22</v>
      </c>
      <c r="P91" s="48"/>
      <c r="Q91" s="16"/>
      <c r="R91" s="16"/>
      <c r="S91" s="16"/>
      <c r="T91" s="16"/>
      <c r="U91" s="16"/>
      <c r="V91" s="16"/>
      <c r="W91" s="16"/>
      <c r="X91" s="16"/>
      <c r="Y91" s="16"/>
      <c r="Z91" s="16"/>
      <c r="AA91" s="16"/>
      <c r="AB91" s="16"/>
      <c r="AC91" s="16"/>
      <c r="AD91" s="55"/>
      <c r="AE91" s="56"/>
      <c r="AF91" s="57"/>
      <c r="AG91" s="57"/>
      <c r="AH91" s="57"/>
      <c r="AI91" s="57"/>
      <c r="AJ91" s="58"/>
      <c r="AK91" s="58"/>
      <c r="AL91" s="58"/>
      <c r="AM91" s="59"/>
      <c r="AN91" s="60"/>
      <c r="AO91" s="16"/>
      <c r="AP91" s="16"/>
      <c r="AQ91" s="61"/>
    </row>
    <row r="92" ht="12.75" customHeight="1">
      <c r="A92" s="44"/>
      <c r="B92" s="90" t="s">
        <v>23</v>
      </c>
      <c r="C92" s="77" t="s">
        <v>24</v>
      </c>
      <c r="D92" s="77" t="s">
        <v>25</v>
      </c>
      <c r="E92" s="77" t="s">
        <v>26</v>
      </c>
      <c r="F92" s="77" t="s">
        <v>27</v>
      </c>
      <c r="G92" s="77" t="s">
        <v>28</v>
      </c>
      <c r="H92" s="77" t="s">
        <v>29</v>
      </c>
      <c r="I92" s="77" t="s">
        <v>30</v>
      </c>
      <c r="J92" s="77" t="s">
        <v>31</v>
      </c>
      <c r="K92" s="77" t="s">
        <v>32</v>
      </c>
      <c r="L92" s="77" t="s">
        <v>33</v>
      </c>
      <c r="M92" s="77" t="s">
        <v>34</v>
      </c>
      <c r="N92" s="91"/>
      <c r="O92" s="92" t="s">
        <v>35</v>
      </c>
      <c r="P92" s="48"/>
      <c r="Q92" s="16"/>
      <c r="R92" s="16"/>
      <c r="S92" s="16"/>
      <c r="T92" s="16"/>
      <c r="U92" s="16"/>
      <c r="V92" s="16"/>
      <c r="W92" s="16"/>
      <c r="X92" s="16"/>
      <c r="Y92" s="16"/>
      <c r="Z92" s="16"/>
      <c r="AA92" s="16"/>
      <c r="AB92" s="16"/>
      <c r="AC92" s="16"/>
      <c r="AD92" s="55"/>
      <c r="AE92" s="56"/>
      <c r="AF92" s="57"/>
      <c r="AG92" s="57"/>
      <c r="AH92" s="57"/>
      <c r="AI92" s="57"/>
      <c r="AJ92" s="58"/>
      <c r="AK92" s="58"/>
      <c r="AL92" s="58"/>
      <c r="AM92" s="59"/>
      <c r="AN92" s="60"/>
      <c r="AO92" s="16"/>
      <c r="AP92" s="16"/>
      <c r="AQ92" s="61"/>
    </row>
    <row r="93" ht="12.75" customHeight="1">
      <c r="A93" s="44"/>
      <c r="B93" s="93" t="str">
        <f t="array" ref="B93">C88</f>
        <v>V</v>
      </c>
      <c r="C93" s="87" t="str">
        <f t="array" ref="C93">$B93</f>
        <v>V</v>
      </c>
      <c r="D93" s="87" t="str">
        <f t="array" ref="D93">$B93</f>
        <v>V</v>
      </c>
      <c r="E93" s="87" t="str">
        <f t="array" ref="E93">$B93</f>
        <v>V</v>
      </c>
      <c r="F93" s="87" t="str">
        <f t="array" ref="F93">$B93</f>
        <v>V</v>
      </c>
      <c r="G93" s="87" t="str">
        <f t="array" ref="G93">$B93</f>
        <v>V</v>
      </c>
      <c r="H93" s="87" t="str">
        <f t="array" ref="H93">$B93</f>
        <v>V</v>
      </c>
      <c r="I93" s="87" t="str">
        <f t="array" ref="I93">$B93</f>
        <v>V</v>
      </c>
      <c r="J93" s="87" t="str">
        <f t="array" ref="J93">$B93</f>
        <v>V</v>
      </c>
      <c r="K93" s="87" t="str">
        <f t="array" ref="K93">$B93</f>
        <v>V</v>
      </c>
      <c r="L93" s="87" t="str">
        <f t="array" ref="L93">$B93</f>
        <v>V</v>
      </c>
      <c r="M93" s="94" t="s">
        <v>36</v>
      </c>
      <c r="N93" s="87" t="s">
        <v>37</v>
      </c>
      <c r="O93" s="95" t="str">
        <f t="array" ref="O93">$B93</f>
        <v>V</v>
      </c>
      <c r="P93" s="48"/>
      <c r="Q93" s="96" t="s">
        <v>38</v>
      </c>
      <c r="R93" s="96" t="s">
        <v>39</v>
      </c>
      <c r="S93" s="96" t="s">
        <v>40</v>
      </c>
      <c r="T93" s="97" t="s">
        <v>41</v>
      </c>
      <c r="U93" s="16"/>
      <c r="V93" s="16"/>
      <c r="W93" s="16"/>
      <c r="X93" s="16"/>
      <c r="Y93" s="16"/>
      <c r="Z93" s="16"/>
      <c r="AA93" s="16"/>
      <c r="AB93" s="16"/>
      <c r="AC93" s="16"/>
      <c r="AD93" s="55"/>
      <c r="AE93" s="56"/>
      <c r="AF93" s="57"/>
      <c r="AG93" s="57"/>
      <c r="AH93" s="57"/>
      <c r="AI93" s="57"/>
      <c r="AJ93" s="58"/>
      <c r="AK93" s="58"/>
      <c r="AL93" s="58"/>
      <c r="AM93" s="59"/>
      <c r="AN93" s="60"/>
      <c r="AO93" s="16"/>
      <c r="AP93" s="16"/>
      <c r="AQ93" s="61"/>
    </row>
    <row r="94" ht="12.75" customHeight="1">
      <c r="A94" s="98"/>
      <c r="B94" s="99">
        <f t="array" ref="B94">E86*0.1</f>
        <v>0.6</v>
      </c>
      <c r="C94" s="130">
        <v>0.6</v>
      </c>
      <c r="D94" s="131">
        <v>0.598</v>
      </c>
      <c r="E94" s="131">
        <v>0.598</v>
      </c>
      <c r="F94" s="131">
        <v>0.598</v>
      </c>
      <c r="G94" s="132">
        <v>0.598</v>
      </c>
      <c r="H94" s="103">
        <f t="array" ref="H94">STDEV(C94:G94)*1.4</f>
        <v>0.001252198067</v>
      </c>
      <c r="I94" s="103">
        <f t="array" ref="I94">0.0061/2</f>
        <v>0.00305</v>
      </c>
      <c r="J94" s="103">
        <f t="array" ref="J94">I94/SQRT(3)</f>
        <v>0.001760918321</v>
      </c>
      <c r="K94" s="103">
        <f t="array" ref="K94">(C$87)/SQRT(12)</f>
        <v>0.0002886751346</v>
      </c>
      <c r="L94" s="105">
        <f t="array" ref="L94">SQRT(H94^2+J94^2+(K94)^2)</f>
        <v>0.002179946483</v>
      </c>
      <c r="M94" s="91">
        <f t="array" ref="M94">IF(ISERROR((L94^4)/(H94^4/4))=TRUE,"∞",((L94^4)/(H94^4/4)))</f>
        <v>36.74101941</v>
      </c>
      <c r="N94" s="91">
        <f t="array" ref="N94">IF(ISERROR(TINV(0.05,M94))=TRUE,2,TINV(0.05,M94))</f>
        <v>2.028094001</v>
      </c>
      <c r="O94" s="106">
        <f t="array" ref="O94">L94*N94</f>
        <v>0.004421136384</v>
      </c>
      <c r="P94" s="48"/>
      <c r="Q94" s="107">
        <f t="array" ref="Q94">AVERAGE(C94:G94)-B94</f>
        <v>-0.0016</v>
      </c>
      <c r="R94" s="107">
        <f t="array" ref="R94">Q94+O94</f>
        <v>0.002821136384</v>
      </c>
      <c r="S94" s="107">
        <f t="array" ref="S94">Q94-O94</f>
        <v>-0.006021136384</v>
      </c>
      <c r="T94" s="107">
        <f t="array" ref="T94">ABS(Q94)</f>
        <v>0.0016</v>
      </c>
      <c r="U94" s="16"/>
      <c r="V94" s="16"/>
      <c r="W94" s="16"/>
      <c r="X94" s="16"/>
      <c r="Y94" s="16"/>
      <c r="Z94" s="16"/>
      <c r="AA94" s="16"/>
      <c r="AB94" s="16"/>
      <c r="AC94" s="16"/>
      <c r="AD94" s="55"/>
      <c r="AE94" s="56"/>
      <c r="AF94" s="57"/>
      <c r="AG94" s="57"/>
      <c r="AH94" s="57"/>
      <c r="AI94" s="57"/>
      <c r="AJ94" s="58"/>
      <c r="AK94" s="58"/>
      <c r="AL94" s="58"/>
      <c r="AM94" s="59"/>
      <c r="AN94" s="60"/>
      <c r="AO94" s="16"/>
      <c r="AP94" s="16"/>
      <c r="AQ94" s="61"/>
    </row>
    <row r="95" ht="12.75" customHeight="1">
      <c r="A95" s="98"/>
      <c r="B95" s="108">
        <f t="array" ref="B95">E86*0.25</f>
        <v>1.5</v>
      </c>
      <c r="C95" s="133">
        <v>1.496</v>
      </c>
      <c r="D95" s="134">
        <v>1.497</v>
      </c>
      <c r="E95" s="134">
        <v>1.497</v>
      </c>
      <c r="F95" s="134">
        <v>1.497</v>
      </c>
      <c r="G95" s="135">
        <v>1.497</v>
      </c>
      <c r="H95" s="112">
        <f t="array" ref="H95">STDEV(C95:G95)*1.4</f>
        <v>0.0006260990337</v>
      </c>
      <c r="I95" s="112">
        <f t="array" ref="I95">0.015/2</f>
        <v>0.0075</v>
      </c>
      <c r="J95" s="112">
        <f t="array" ref="J95">I95/SQRT(3)</f>
        <v>0.004330127019</v>
      </c>
      <c r="K95" s="112">
        <f t="array" ref="K95">(C$87)/SQRT(12)</f>
        <v>0.0002886751346</v>
      </c>
      <c r="L95" s="113">
        <f t="array" ref="L95">SQRT(H95^2+J95^2+(K95)^2)</f>
        <v>0.004384670265</v>
      </c>
      <c r="M95" s="114">
        <f t="array" ref="M95">IF(ISERROR((L95^4)/(H95^4/4))=TRUE,"∞",((L95^4)/(H95^4/4)))</f>
        <v>9621.341154</v>
      </c>
      <c r="N95" s="114">
        <f t="array" ref="N95">IF(ISERROR(TINV(0.05,M95))=TRUE,2,TINV(0.05,M95))</f>
        <v>1.960210587</v>
      </c>
      <c r="O95" s="115">
        <f t="array" ref="O95">L95*N95</f>
        <v>0.008594877075</v>
      </c>
      <c r="P95" s="48"/>
      <c r="Q95" s="107">
        <f t="array" ref="Q95">AVERAGE(C95:G95)-B95</f>
        <v>-0.0032</v>
      </c>
      <c r="R95" s="107">
        <f t="array" ref="R95">Q95+O95</f>
        <v>0.005394877075</v>
      </c>
      <c r="S95" s="107">
        <f t="array" ref="S95">Q95-O95</f>
        <v>-0.01179487708</v>
      </c>
      <c r="T95" s="107">
        <f t="array" ref="T95">ABS(Q95)</f>
        <v>0.0032</v>
      </c>
      <c r="U95" s="16"/>
      <c r="V95" s="16"/>
      <c r="W95" s="16"/>
      <c r="X95" s="16"/>
      <c r="Y95" s="16"/>
      <c r="Z95" s="16"/>
      <c r="AA95" s="16"/>
      <c r="AB95" s="16"/>
      <c r="AC95" s="16"/>
      <c r="AD95" s="55"/>
      <c r="AE95" s="56"/>
      <c r="AF95" s="57"/>
      <c r="AG95" s="57"/>
      <c r="AH95" s="57"/>
      <c r="AI95" s="57"/>
      <c r="AJ95" s="58"/>
      <c r="AK95" s="58"/>
      <c r="AL95" s="58"/>
      <c r="AM95" s="59"/>
      <c r="AN95" s="60"/>
      <c r="AO95" s="16"/>
      <c r="AP95" s="16"/>
      <c r="AQ95" s="61"/>
    </row>
    <row r="96" ht="12.75" customHeight="1">
      <c r="A96" s="98"/>
      <c r="B96" s="108">
        <f t="array" ref="B96">E86*0.5</f>
        <v>3</v>
      </c>
      <c r="C96" s="133">
        <v>2.997</v>
      </c>
      <c r="D96" s="134">
        <v>2.998</v>
      </c>
      <c r="E96" s="134">
        <v>2.998</v>
      </c>
      <c r="F96" s="134">
        <v>2.998</v>
      </c>
      <c r="G96" s="135">
        <v>2.998</v>
      </c>
      <c r="H96" s="112">
        <f t="array" ref="H96">STDEV(C96:G96)*1.4</f>
        <v>0.0006260990337</v>
      </c>
      <c r="I96" s="112">
        <f t="array" ref="I96">0.015/2</f>
        <v>0.0075</v>
      </c>
      <c r="J96" s="112">
        <f t="array" ref="J96">I96/SQRT(3)</f>
        <v>0.004330127019</v>
      </c>
      <c r="K96" s="112">
        <f t="array" ref="K96">(C$87)/SQRT(12)</f>
        <v>0.0002886751346</v>
      </c>
      <c r="L96" s="113">
        <f t="array" ref="L96">SQRT(H96^2+J96^2+(K96)^2)</f>
        <v>0.004384670265</v>
      </c>
      <c r="M96" s="114">
        <f t="array" ref="M96">IF(ISERROR((L96^4)/(H96^4/4))=TRUE,"∞",((L96^4)/(H96^4/4)))</f>
        <v>9621.341154</v>
      </c>
      <c r="N96" s="114">
        <f t="array" ref="N96">IF(ISERROR(TINV(0.05,M96))=TRUE,2,TINV(0.05,M96))</f>
        <v>1.960210587</v>
      </c>
      <c r="O96" s="115">
        <f t="array" ref="O96">L96*N96</f>
        <v>0.008594877075</v>
      </c>
      <c r="P96" s="48"/>
      <c r="Q96" s="107">
        <f t="array" ref="Q96">AVERAGE(C96:G96)-B96</f>
        <v>-0.0022</v>
      </c>
      <c r="R96" s="107">
        <f t="array" ref="R96">Q96+O96</f>
        <v>0.006394877075</v>
      </c>
      <c r="S96" s="107">
        <f t="array" ref="S96">Q96-O96</f>
        <v>-0.01079487708</v>
      </c>
      <c r="T96" s="107">
        <f t="array" ref="T96">ABS(Q96)</f>
        <v>0.0022</v>
      </c>
      <c r="U96" s="16"/>
      <c r="V96" s="16"/>
      <c r="W96" s="16"/>
      <c r="X96" s="16"/>
      <c r="Y96" s="16"/>
      <c r="Z96" s="16"/>
      <c r="AA96" s="16"/>
      <c r="AB96" s="16"/>
      <c r="AC96" s="16"/>
      <c r="AD96" s="55"/>
      <c r="AE96" s="56"/>
      <c r="AF96" s="57"/>
      <c r="AG96" s="57"/>
      <c r="AH96" s="57"/>
      <c r="AI96" s="57"/>
      <c r="AJ96" s="58"/>
      <c r="AK96" s="58"/>
      <c r="AL96" s="58"/>
      <c r="AM96" s="59"/>
      <c r="AN96" s="60"/>
      <c r="AO96" s="16"/>
      <c r="AP96" s="16"/>
      <c r="AQ96" s="61"/>
    </row>
    <row r="97" ht="12.75" customHeight="1">
      <c r="A97" s="98"/>
      <c r="B97" s="108">
        <f t="array" ref="B97">E86*0.75</f>
        <v>4.5</v>
      </c>
      <c r="C97" s="133">
        <v>4.496</v>
      </c>
      <c r="D97" s="134">
        <v>4.495</v>
      </c>
      <c r="E97" s="134">
        <v>4.495</v>
      </c>
      <c r="F97" s="134">
        <v>4.495</v>
      </c>
      <c r="G97" s="135">
        <v>4.495</v>
      </c>
      <c r="H97" s="112">
        <f t="array" ref="H97">STDEV(C97:G97)*1.4</f>
        <v>0.0006260990337</v>
      </c>
      <c r="I97" s="112">
        <f t="array" ref="I97">0.015/2</f>
        <v>0.0075</v>
      </c>
      <c r="J97" s="112">
        <f t="array" ref="J97">I97/SQRT(3)</f>
        <v>0.004330127019</v>
      </c>
      <c r="K97" s="112">
        <f t="array" ref="K97">(C$87)/SQRT(12)</f>
        <v>0.0002886751346</v>
      </c>
      <c r="L97" s="113">
        <f t="array" ref="L97">SQRT(H97^2+J97^2+(K97)^2)</f>
        <v>0.004384670265</v>
      </c>
      <c r="M97" s="114">
        <f t="array" ref="M97">IF(ISERROR((L97^4)/(H97^4/4))=TRUE,"∞",((L97^4)/(H97^4/4)))</f>
        <v>9621.341154</v>
      </c>
      <c r="N97" s="114">
        <f t="array" ref="N97">IF(ISERROR(TINV(0.05,M97))=TRUE,2,TINV(0.05,M97))</f>
        <v>1.960210587</v>
      </c>
      <c r="O97" s="115">
        <f t="array" ref="O97">L97*N97</f>
        <v>0.008594877075</v>
      </c>
      <c r="P97" s="48"/>
      <c r="Q97" s="107">
        <f t="array" ref="Q97">AVERAGE(C97:G97)-B97</f>
        <v>-0.0048</v>
      </c>
      <c r="R97" s="107">
        <f t="array" ref="R97">Q97+O97</f>
        <v>0.003794877075</v>
      </c>
      <c r="S97" s="107">
        <f t="array" ref="S97">Q97-O97</f>
        <v>-0.01339487708</v>
      </c>
      <c r="T97" s="107">
        <f t="array" ref="T97">ABS(Q97)</f>
        <v>0.0048</v>
      </c>
      <c r="U97" s="16"/>
      <c r="V97" s="16"/>
      <c r="W97" s="16"/>
      <c r="X97" s="16"/>
      <c r="Y97" s="16"/>
      <c r="Z97" s="16"/>
      <c r="AA97" s="16"/>
      <c r="AB97" s="16"/>
      <c r="AC97" s="16"/>
      <c r="AD97" s="55"/>
      <c r="AE97" s="56"/>
      <c r="AF97" s="57"/>
      <c r="AG97" s="57"/>
      <c r="AH97" s="57"/>
      <c r="AI97" s="57"/>
      <c r="AJ97" s="58"/>
      <c r="AK97" s="58"/>
      <c r="AL97" s="58"/>
      <c r="AM97" s="59"/>
      <c r="AN97" s="60"/>
      <c r="AO97" s="16"/>
      <c r="AP97" s="16"/>
      <c r="AQ97" s="61"/>
    </row>
    <row r="98" ht="12.75" customHeight="1">
      <c r="A98" s="98"/>
      <c r="B98" s="116">
        <f t="array" ref="B98">E86*0.9</f>
        <v>5.4</v>
      </c>
      <c r="C98" s="136">
        <v>5.398</v>
      </c>
      <c r="D98" s="137">
        <v>5.395</v>
      </c>
      <c r="E98" s="137">
        <v>5.395</v>
      </c>
      <c r="F98" s="137">
        <v>5.395</v>
      </c>
      <c r="G98" s="138">
        <v>5.395</v>
      </c>
      <c r="H98" s="120">
        <f t="array" ref="H98">STDEV(C98:G98)*1.4</f>
        <v>0.001878297101</v>
      </c>
      <c r="I98" s="112">
        <f t="array" ref="I98">0.015/2</f>
        <v>0.0075</v>
      </c>
      <c r="J98" s="120">
        <f t="array" ref="J98">I98/SQRT(3)</f>
        <v>0.004330127019</v>
      </c>
      <c r="K98" s="120">
        <f t="array" ref="K98">(C$87)/SQRT(12)</f>
        <v>0.0002886751346</v>
      </c>
      <c r="L98" s="121">
        <f t="array" ref="L98">SQRT(H98^2+J98^2+(K98)^2)</f>
        <v>0.00472877715</v>
      </c>
      <c r="M98" s="122">
        <f t="array" ref="M98">IF(ISERROR((L98^4)/(H98^4/4))=TRUE,"∞",((L98^4)/(H98^4/4)))</f>
        <v>160.6934702</v>
      </c>
      <c r="N98" s="122">
        <f t="array" ref="N98">IF(ISERROR(TINV(0.05,M98))=TRUE,2,TINV(0.05,M98))</f>
        <v>1.97490156</v>
      </c>
      <c r="O98" s="123">
        <f t="array" ref="O98">L98*N98</f>
        <v>0.00933886937</v>
      </c>
      <c r="P98" s="48"/>
      <c r="Q98" s="107">
        <f t="array" ref="Q98">AVERAGE(C98:G98)-B98</f>
        <v>-0.0044</v>
      </c>
      <c r="R98" s="107">
        <f t="array" ref="R98">Q98+O98</f>
        <v>0.00493886937</v>
      </c>
      <c r="S98" s="107">
        <f t="array" ref="S98">Q98-O98</f>
        <v>-0.01373886937</v>
      </c>
      <c r="T98" s="107">
        <f t="array" ref="T98">ABS(Q98)</f>
        <v>0.0044</v>
      </c>
      <c r="U98" s="16"/>
      <c r="V98" s="16"/>
      <c r="W98" s="16"/>
      <c r="X98" s="16"/>
      <c r="Y98" s="16"/>
      <c r="Z98" s="16"/>
      <c r="AA98" s="16"/>
      <c r="AB98" s="16"/>
      <c r="AC98" s="16"/>
      <c r="AD98" s="55"/>
      <c r="AE98" s="56"/>
      <c r="AF98" s="57"/>
      <c r="AG98" s="57"/>
      <c r="AH98" s="57"/>
      <c r="AI98" s="57"/>
      <c r="AJ98" s="58"/>
      <c r="AK98" s="58"/>
      <c r="AL98" s="58"/>
      <c r="AM98" s="59"/>
      <c r="AN98" s="60"/>
      <c r="AO98" s="16"/>
      <c r="AP98" s="16"/>
      <c r="AQ98" s="61"/>
    </row>
    <row r="99" ht="13.5" customHeight="1">
      <c r="A99" s="15"/>
      <c r="B99" s="124"/>
      <c r="C99" s="124"/>
      <c r="D99" s="124"/>
      <c r="E99" s="124"/>
      <c r="F99" s="124"/>
      <c r="G99" s="124"/>
      <c r="H99" s="125"/>
      <c r="I99" s="126"/>
      <c r="J99" s="125"/>
      <c r="K99" s="125"/>
      <c r="L99" s="127"/>
      <c r="M99" s="128"/>
      <c r="N99" s="128"/>
      <c r="O99" s="129"/>
      <c r="P99" s="48"/>
      <c r="Q99" s="107"/>
      <c r="R99" s="107"/>
      <c r="S99" s="107"/>
      <c r="T99" s="107"/>
      <c r="U99" s="16"/>
      <c r="V99" s="16"/>
      <c r="W99" s="16"/>
      <c r="X99" s="16"/>
      <c r="Y99" s="16"/>
      <c r="Z99" s="16"/>
      <c r="AA99" s="16"/>
      <c r="AB99" s="16"/>
      <c r="AC99" s="16"/>
      <c r="AD99" s="55"/>
      <c r="AE99" s="56"/>
      <c r="AF99" s="57"/>
      <c r="AG99" s="57"/>
      <c r="AH99" s="57"/>
      <c r="AI99" s="57"/>
      <c r="AJ99" s="58"/>
      <c r="AK99" s="58"/>
      <c r="AL99" s="58"/>
      <c r="AM99" s="59"/>
      <c r="AN99" s="60"/>
      <c r="AO99" s="16"/>
      <c r="AP99" s="16"/>
      <c r="AQ99" s="61"/>
    </row>
    <row r="100" ht="27.0" customHeight="1">
      <c r="A100" s="44"/>
      <c r="B100" s="45" t="s">
        <v>43</v>
      </c>
      <c r="C100" s="46"/>
      <c r="D100" s="46"/>
      <c r="E100" s="46"/>
      <c r="F100" s="46"/>
      <c r="G100" s="46"/>
      <c r="H100" s="46"/>
      <c r="I100" s="46"/>
      <c r="J100" s="46"/>
      <c r="K100" s="46"/>
      <c r="L100" s="46"/>
      <c r="M100" s="46"/>
      <c r="N100" s="46"/>
      <c r="O100" s="47"/>
      <c r="P100" s="48"/>
      <c r="Q100" s="16"/>
      <c r="R100" s="16"/>
      <c r="S100" s="16"/>
      <c r="T100" s="16"/>
      <c r="U100" s="16"/>
      <c r="V100" s="16"/>
      <c r="W100" s="16"/>
      <c r="X100" s="16"/>
      <c r="Y100" s="16"/>
      <c r="Z100" s="16"/>
      <c r="AA100" s="16"/>
      <c r="AB100" s="16"/>
      <c r="AC100" s="16"/>
      <c r="AD100" s="55"/>
      <c r="AE100" s="56"/>
      <c r="AF100" s="57"/>
      <c r="AG100" s="57"/>
      <c r="AH100" s="57"/>
      <c r="AI100" s="57"/>
      <c r="AJ100" s="58"/>
      <c r="AK100" s="58"/>
      <c r="AL100" s="58"/>
      <c r="AM100" s="59"/>
      <c r="AN100" s="60"/>
      <c r="AO100" s="16"/>
      <c r="AP100" s="16"/>
      <c r="AQ100" s="61"/>
    </row>
    <row r="101" ht="13.5" customHeight="1">
      <c r="A101" s="44"/>
      <c r="B101" s="49" t="s">
        <v>8</v>
      </c>
      <c r="C101" s="50">
        <v>0.0</v>
      </c>
      <c r="D101" s="51" t="s">
        <v>9</v>
      </c>
      <c r="E101" s="50">
        <v>60.0</v>
      </c>
      <c r="F101" s="52"/>
      <c r="G101" s="53"/>
      <c r="H101" s="53"/>
      <c r="I101" s="53"/>
      <c r="J101" s="53"/>
      <c r="K101" s="53"/>
      <c r="L101" s="53"/>
      <c r="M101" s="53"/>
      <c r="N101" s="53"/>
      <c r="O101" s="54"/>
      <c r="P101" s="48"/>
      <c r="Q101" s="16"/>
      <c r="R101" s="16"/>
      <c r="S101" s="16"/>
      <c r="T101" s="16"/>
      <c r="U101" s="16"/>
      <c r="V101" s="16"/>
      <c r="W101" s="16"/>
      <c r="X101" s="16"/>
      <c r="Y101" s="16"/>
      <c r="Z101" s="16"/>
      <c r="AA101" s="16"/>
      <c r="AB101" s="16"/>
      <c r="AC101" s="16"/>
      <c r="AD101" s="55"/>
      <c r="AE101" s="56"/>
      <c r="AF101" s="57"/>
      <c r="AG101" s="57"/>
      <c r="AH101" s="57"/>
      <c r="AI101" s="57"/>
      <c r="AJ101" s="58"/>
      <c r="AK101" s="58"/>
      <c r="AL101" s="58"/>
      <c r="AM101" s="59"/>
      <c r="AN101" s="60"/>
      <c r="AO101" s="16"/>
      <c r="AP101" s="16"/>
      <c r="AQ101" s="61"/>
    </row>
    <row r="102" ht="13.5" customHeight="1">
      <c r="A102" s="44"/>
      <c r="B102" s="62" t="s">
        <v>10</v>
      </c>
      <c r="C102" s="63">
        <v>0.01</v>
      </c>
      <c r="D102" s="64"/>
      <c r="E102" s="65"/>
      <c r="F102" s="66"/>
      <c r="G102" s="67"/>
      <c r="H102" s="68" t="s">
        <v>11</v>
      </c>
      <c r="I102" s="69"/>
      <c r="J102" s="70"/>
      <c r="K102" s="66"/>
      <c r="L102" s="66"/>
      <c r="M102" s="66"/>
      <c r="N102" s="66"/>
      <c r="O102" s="71"/>
      <c r="P102" s="48"/>
      <c r="Q102" s="16"/>
      <c r="R102" s="16"/>
      <c r="S102" s="16"/>
      <c r="T102" s="16"/>
      <c r="U102" s="16"/>
      <c r="V102" s="16"/>
      <c r="W102" s="16"/>
      <c r="X102" s="16"/>
      <c r="Y102" s="16"/>
      <c r="Z102" s="16"/>
      <c r="AA102" s="16"/>
      <c r="AB102" s="16"/>
      <c r="AC102" s="16"/>
      <c r="AD102" s="55"/>
      <c r="AE102" s="56"/>
      <c r="AF102" s="57"/>
      <c r="AG102" s="57"/>
      <c r="AH102" s="57"/>
      <c r="AI102" s="57"/>
      <c r="AJ102" s="58"/>
      <c r="AK102" s="58"/>
      <c r="AL102" s="58"/>
      <c r="AM102" s="59"/>
      <c r="AN102" s="60"/>
      <c r="AO102" s="16"/>
      <c r="AP102" s="16"/>
      <c r="AQ102" s="61"/>
    </row>
    <row r="103" ht="13.5" customHeight="1">
      <c r="A103" s="44"/>
      <c r="B103" s="72" t="s">
        <v>12</v>
      </c>
      <c r="C103" s="73" t="s">
        <v>42</v>
      </c>
      <c r="D103" s="74" t="s">
        <v>14</v>
      </c>
      <c r="E103" s="75">
        <f t="array" ref="E103">MAX(Q109:Q113)</f>
        <v>0.02</v>
      </c>
      <c r="F103" s="76" t="str">
        <f t="array" ref="F103">C103</f>
        <v>V</v>
      </c>
      <c r="G103" s="67"/>
      <c r="H103" s="68" t="s">
        <v>15</v>
      </c>
      <c r="I103" s="77" t="s">
        <v>16</v>
      </c>
      <c r="J103" s="78"/>
      <c r="K103" s="79"/>
      <c r="L103" s="66"/>
      <c r="M103" s="66"/>
      <c r="N103" s="66"/>
      <c r="O103" s="71"/>
      <c r="P103" s="48"/>
      <c r="Q103" s="16"/>
      <c r="R103" s="16"/>
      <c r="S103" s="16"/>
      <c r="T103" s="16"/>
      <c r="U103" s="16"/>
      <c r="V103" s="16"/>
      <c r="W103" s="16"/>
      <c r="X103" s="16"/>
      <c r="Y103" s="16"/>
      <c r="Z103" s="16"/>
      <c r="AA103" s="16"/>
      <c r="AB103" s="16"/>
      <c r="AC103" s="16"/>
      <c r="AD103" s="55"/>
      <c r="AE103" s="56"/>
      <c r="AF103" s="57"/>
      <c r="AG103" s="57"/>
      <c r="AH103" s="57"/>
      <c r="AI103" s="57"/>
      <c r="AJ103" s="58"/>
      <c r="AK103" s="58"/>
      <c r="AL103" s="58"/>
      <c r="AM103" s="59"/>
      <c r="AN103" s="60"/>
      <c r="AO103" s="16"/>
      <c r="AP103" s="16"/>
      <c r="AQ103" s="61"/>
    </row>
    <row r="104" ht="12.75" customHeight="1">
      <c r="A104" s="44"/>
      <c r="B104" s="80"/>
      <c r="C104" s="65"/>
      <c r="D104" s="76" t="s">
        <v>17</v>
      </c>
      <c r="E104" s="81">
        <f t="array" ref="E104">MAX(O109:O113)</f>
        <v>0.01138712724</v>
      </c>
      <c r="F104" s="76" t="str">
        <f t="array" ref="F104">C103</f>
        <v>V</v>
      </c>
      <c r="G104" s="67"/>
      <c r="H104" s="82"/>
      <c r="I104" s="68" t="s">
        <v>18</v>
      </c>
      <c r="J104" s="82"/>
      <c r="K104" s="79"/>
      <c r="L104" s="66"/>
      <c r="M104" s="66"/>
      <c r="N104" s="66"/>
      <c r="O104" s="71"/>
      <c r="P104" s="48"/>
      <c r="Q104" s="16"/>
      <c r="R104" s="16"/>
      <c r="S104" s="16"/>
      <c r="T104" s="16"/>
      <c r="U104" s="16"/>
      <c r="V104" s="16"/>
      <c r="W104" s="16"/>
      <c r="X104" s="16"/>
      <c r="Y104" s="16"/>
      <c r="Z104" s="16"/>
      <c r="AA104" s="16"/>
      <c r="AB104" s="16"/>
      <c r="AC104" s="16"/>
      <c r="AD104" s="55"/>
      <c r="AE104" s="56"/>
      <c r="AF104" s="57"/>
      <c r="AG104" s="57"/>
      <c r="AH104" s="57"/>
      <c r="AI104" s="57"/>
      <c r="AJ104" s="58"/>
      <c r="AK104" s="58"/>
      <c r="AL104" s="58"/>
      <c r="AM104" s="59"/>
      <c r="AN104" s="60"/>
      <c r="AO104" s="16"/>
      <c r="AP104" s="16"/>
      <c r="AQ104" s="61"/>
    </row>
    <row r="105" ht="12.75" customHeight="1">
      <c r="A105" s="44"/>
      <c r="B105" s="83"/>
      <c r="C105" s="66"/>
      <c r="D105" s="66"/>
      <c r="E105" s="66"/>
      <c r="F105" s="66"/>
      <c r="G105" s="67"/>
      <c r="H105" s="82"/>
      <c r="I105" s="68" t="s">
        <v>19</v>
      </c>
      <c r="J105" s="82"/>
      <c r="K105" s="79"/>
      <c r="L105" s="66"/>
      <c r="M105" s="66"/>
      <c r="N105" s="66"/>
      <c r="O105" s="84"/>
      <c r="P105" s="48"/>
      <c r="Q105" s="16"/>
      <c r="R105" s="16"/>
      <c r="S105" s="16"/>
      <c r="T105" s="16"/>
      <c r="U105" s="16"/>
      <c r="V105" s="16"/>
      <c r="W105" s="16"/>
      <c r="X105" s="16"/>
      <c r="Y105" s="16"/>
      <c r="Z105" s="16"/>
      <c r="AA105" s="16"/>
      <c r="AB105" s="16"/>
      <c r="AC105" s="16"/>
      <c r="AD105" s="55"/>
      <c r="AE105" s="56"/>
      <c r="AF105" s="57"/>
      <c r="AG105" s="57"/>
      <c r="AH105" s="57"/>
      <c r="AI105" s="57"/>
      <c r="AJ105" s="58"/>
      <c r="AK105" s="58"/>
      <c r="AL105" s="58"/>
      <c r="AM105" s="59"/>
      <c r="AN105" s="60"/>
      <c r="AO105" s="16"/>
      <c r="AP105" s="16"/>
      <c r="AQ105" s="61"/>
    </row>
    <row r="106" ht="12.75" customHeight="1">
      <c r="A106" s="44"/>
      <c r="B106" s="85" t="s">
        <v>20</v>
      </c>
      <c r="C106" s="69"/>
      <c r="D106" s="70"/>
      <c r="E106" s="70"/>
      <c r="F106" s="70"/>
      <c r="G106" s="86"/>
      <c r="H106" s="87" t="s">
        <v>21</v>
      </c>
      <c r="I106" s="88">
        <v>5502.0</v>
      </c>
      <c r="J106" s="88"/>
      <c r="K106" s="69"/>
      <c r="L106" s="70"/>
      <c r="M106" s="70"/>
      <c r="N106" s="86"/>
      <c r="O106" s="89" t="s">
        <v>22</v>
      </c>
      <c r="P106" s="48"/>
      <c r="Q106" s="16"/>
      <c r="R106" s="16"/>
      <c r="S106" s="16"/>
      <c r="T106" s="16"/>
      <c r="U106" s="16"/>
      <c r="V106" s="16"/>
      <c r="W106" s="16"/>
      <c r="X106" s="16"/>
      <c r="Y106" s="16"/>
      <c r="Z106" s="16"/>
      <c r="AA106" s="16"/>
      <c r="AB106" s="16"/>
      <c r="AC106" s="16"/>
      <c r="AD106" s="55"/>
      <c r="AE106" s="56"/>
      <c r="AF106" s="57"/>
      <c r="AG106" s="57"/>
      <c r="AH106" s="57"/>
      <c r="AI106" s="57"/>
      <c r="AJ106" s="58"/>
      <c r="AK106" s="58"/>
      <c r="AL106" s="58"/>
      <c r="AM106" s="59"/>
      <c r="AN106" s="60"/>
      <c r="AO106" s="16"/>
      <c r="AP106" s="16"/>
      <c r="AQ106" s="61"/>
    </row>
    <row r="107" ht="12.75" customHeight="1">
      <c r="A107" s="44"/>
      <c r="B107" s="90" t="s">
        <v>23</v>
      </c>
      <c r="C107" s="77" t="s">
        <v>24</v>
      </c>
      <c r="D107" s="77" t="s">
        <v>25</v>
      </c>
      <c r="E107" s="77" t="s">
        <v>26</v>
      </c>
      <c r="F107" s="77" t="s">
        <v>27</v>
      </c>
      <c r="G107" s="77" t="s">
        <v>28</v>
      </c>
      <c r="H107" s="77" t="s">
        <v>29</v>
      </c>
      <c r="I107" s="77" t="s">
        <v>30</v>
      </c>
      <c r="J107" s="77" t="s">
        <v>31</v>
      </c>
      <c r="K107" s="77" t="s">
        <v>32</v>
      </c>
      <c r="L107" s="77" t="s">
        <v>33</v>
      </c>
      <c r="M107" s="77" t="s">
        <v>34</v>
      </c>
      <c r="N107" s="91"/>
      <c r="O107" s="92" t="s">
        <v>35</v>
      </c>
      <c r="P107" s="48"/>
      <c r="Q107" s="16"/>
      <c r="R107" s="16"/>
      <c r="S107" s="16"/>
      <c r="T107" s="16"/>
      <c r="U107" s="16"/>
      <c r="V107" s="16"/>
      <c r="W107" s="16"/>
      <c r="X107" s="16"/>
      <c r="Y107" s="16"/>
      <c r="Z107" s="16"/>
      <c r="AA107" s="16"/>
      <c r="AB107" s="16"/>
      <c r="AC107" s="16"/>
      <c r="AD107" s="55"/>
      <c r="AE107" s="56"/>
      <c r="AF107" s="57"/>
      <c r="AG107" s="57"/>
      <c r="AH107" s="57"/>
      <c r="AI107" s="57"/>
      <c r="AJ107" s="58"/>
      <c r="AK107" s="58"/>
      <c r="AL107" s="58"/>
      <c r="AM107" s="59"/>
      <c r="AN107" s="60"/>
      <c r="AO107" s="16"/>
      <c r="AP107" s="16"/>
      <c r="AQ107" s="61"/>
    </row>
    <row r="108" ht="12.75" customHeight="1">
      <c r="A108" s="44"/>
      <c r="B108" s="93" t="str">
        <f t="array" ref="B108">C103</f>
        <v>V</v>
      </c>
      <c r="C108" s="87" t="str">
        <f t="array" ref="C108">$B108</f>
        <v>V</v>
      </c>
      <c r="D108" s="87" t="str">
        <f t="array" ref="D108">$B108</f>
        <v>V</v>
      </c>
      <c r="E108" s="87" t="str">
        <f t="array" ref="E108">$B108</f>
        <v>V</v>
      </c>
      <c r="F108" s="87" t="str">
        <f t="array" ref="F108">$B108</f>
        <v>V</v>
      </c>
      <c r="G108" s="87" t="str">
        <f t="array" ref="G108">$B108</f>
        <v>V</v>
      </c>
      <c r="H108" s="87" t="str">
        <f t="array" ref="H108">$B108</f>
        <v>V</v>
      </c>
      <c r="I108" s="87" t="str">
        <f t="array" ref="I108">$B108</f>
        <v>V</v>
      </c>
      <c r="J108" s="87" t="str">
        <f t="array" ref="J108">$B108</f>
        <v>V</v>
      </c>
      <c r="K108" s="87" t="str">
        <f t="array" ref="K108">$B108</f>
        <v>V</v>
      </c>
      <c r="L108" s="87" t="str">
        <f t="array" ref="L108">$B108</f>
        <v>V</v>
      </c>
      <c r="M108" s="94" t="s">
        <v>36</v>
      </c>
      <c r="N108" s="87" t="s">
        <v>37</v>
      </c>
      <c r="O108" s="95" t="str">
        <f t="array" ref="O108">$B108</f>
        <v>V</v>
      </c>
      <c r="P108" s="48"/>
      <c r="Q108" s="96" t="s">
        <v>38</v>
      </c>
      <c r="R108" s="96" t="s">
        <v>39</v>
      </c>
      <c r="S108" s="96" t="s">
        <v>40</v>
      </c>
      <c r="T108" s="97" t="s">
        <v>41</v>
      </c>
      <c r="U108" s="16"/>
      <c r="V108" s="16"/>
      <c r="W108" s="16"/>
      <c r="X108" s="16"/>
      <c r="Y108" s="16"/>
      <c r="Z108" s="16"/>
      <c r="AA108" s="16"/>
      <c r="AB108" s="16"/>
      <c r="AC108" s="16"/>
      <c r="AD108" s="55"/>
      <c r="AE108" s="56"/>
      <c r="AF108" s="57"/>
      <c r="AG108" s="57"/>
      <c r="AH108" s="57"/>
      <c r="AI108" s="57"/>
      <c r="AJ108" s="58"/>
      <c r="AK108" s="58"/>
      <c r="AL108" s="58"/>
      <c r="AM108" s="59"/>
      <c r="AN108" s="60"/>
      <c r="AO108" s="16"/>
      <c r="AP108" s="16"/>
      <c r="AQ108" s="61"/>
    </row>
    <row r="109" ht="12.75" customHeight="1">
      <c r="A109" s="98"/>
      <c r="B109" s="99">
        <f t="array" ref="B109">E101*0.1</f>
        <v>6</v>
      </c>
      <c r="C109" s="139">
        <v>5.998</v>
      </c>
      <c r="D109" s="140">
        <v>5.998</v>
      </c>
      <c r="E109" s="140">
        <v>5.998</v>
      </c>
      <c r="F109" s="140">
        <v>5.998</v>
      </c>
      <c r="G109" s="141">
        <v>5.998</v>
      </c>
      <c r="H109" s="103">
        <f t="array" ref="H109">STDEV(C109:G109)*1.4</f>
        <v>0</v>
      </c>
      <c r="I109" s="103">
        <f t="array" ref="I109">0.015/2</f>
        <v>0.0075</v>
      </c>
      <c r="J109" s="103">
        <f t="array" ref="J109">I109/SQRT(3)</f>
        <v>0.004330127019</v>
      </c>
      <c r="K109" s="103">
        <f t="array" ref="K109">(C$102)/SQRT(12)</f>
        <v>0.002886751346</v>
      </c>
      <c r="L109" s="105">
        <f t="array" ref="L109">SQRT(H109^2+J109^2+(K109)^2)</f>
        <v>0.005204164999</v>
      </c>
      <c r="M109" s="91" t="str">
        <f t="array" ref="M109">IF(ISERROR((L109^4)/(H109^4/4))=TRUE,"∞",((L109^4)/(H109^4/4)))</f>
        <v>∞</v>
      </c>
      <c r="N109" s="91">
        <f t="array" ref="N109">IF(ISERROR(TINV(0.05,M109))=TRUE,2,TINV(0.05,M109))</f>
        <v>2</v>
      </c>
      <c r="O109" s="106">
        <f t="array" ref="O109">L109*N109</f>
        <v>0.01040833</v>
      </c>
      <c r="P109" s="48"/>
      <c r="Q109" s="107">
        <f t="array" ref="Q109">AVERAGE(C109:G109)-B109</f>
        <v>-0.002</v>
      </c>
      <c r="R109" s="107">
        <f t="array" ref="R109">Q109+O109</f>
        <v>0.008408329997</v>
      </c>
      <c r="S109" s="107">
        <f t="array" ref="S109">Q109-O109</f>
        <v>-0.01240833</v>
      </c>
      <c r="T109" s="107">
        <f t="array" ref="T109">ABS(Q109)</f>
        <v>0.002</v>
      </c>
      <c r="U109" s="16"/>
      <c r="V109" s="16"/>
      <c r="W109" s="16"/>
      <c r="X109" s="16"/>
      <c r="Y109" s="16"/>
      <c r="Z109" s="16"/>
      <c r="AA109" s="16"/>
      <c r="AB109" s="16"/>
      <c r="AC109" s="16"/>
      <c r="AD109" s="55"/>
      <c r="AE109" s="56"/>
      <c r="AF109" s="57"/>
      <c r="AG109" s="57"/>
      <c r="AH109" s="57"/>
      <c r="AI109" s="57"/>
      <c r="AJ109" s="58"/>
      <c r="AK109" s="58"/>
      <c r="AL109" s="58"/>
      <c r="AM109" s="59"/>
      <c r="AN109" s="60"/>
      <c r="AO109" s="16"/>
      <c r="AP109" s="16"/>
      <c r="AQ109" s="61"/>
    </row>
    <row r="110" ht="12.75" customHeight="1">
      <c r="A110" s="98"/>
      <c r="B110" s="108">
        <f t="array" ref="B110">E101*0.25</f>
        <v>15</v>
      </c>
      <c r="C110" s="142">
        <v>15.01</v>
      </c>
      <c r="D110" s="143">
        <v>15.01</v>
      </c>
      <c r="E110" s="143">
        <v>15.01</v>
      </c>
      <c r="F110" s="143">
        <v>15.01</v>
      </c>
      <c r="G110" s="144">
        <v>15.01</v>
      </c>
      <c r="H110" s="112">
        <f t="array" ref="H110">STDEV(C110:G110)*1.4</f>
        <v>0</v>
      </c>
      <c r="I110" s="112">
        <f t="array" ref="I110">0.016/2</f>
        <v>0.008</v>
      </c>
      <c r="J110" s="112">
        <f t="array" ref="J110">I110/SQRT(3)</f>
        <v>0.004618802154</v>
      </c>
      <c r="K110" s="112">
        <v>0.00288675134594813</v>
      </c>
      <c r="L110" s="113">
        <f t="array" ref="L110">SQRT(H110^2+J110^2+(K110)^2)</f>
        <v>0.005446711546</v>
      </c>
      <c r="M110" s="114" t="str">
        <f t="array" ref="M110">IF(ISERROR((L110^4)/(H110^4/4))=TRUE,"∞",((L110^4)/(H110^4/4)))</f>
        <v>∞</v>
      </c>
      <c r="N110" s="114">
        <f t="array" ref="N110">IF(ISERROR(TINV(0.05,M110))=TRUE,2,TINV(0.05,M110))</f>
        <v>2</v>
      </c>
      <c r="O110" s="115">
        <f t="array" ref="O110">L110*N110</f>
        <v>0.01089342309</v>
      </c>
      <c r="P110" s="48"/>
      <c r="Q110" s="107">
        <f t="array" ref="Q110">AVERAGE(C110:G110)-B110</f>
        <v>0.01</v>
      </c>
      <c r="R110" s="107">
        <f t="array" ref="R110">Q110+O110</f>
        <v>0.02089342309</v>
      </c>
      <c r="S110" s="107">
        <f t="array" ref="S110">Q110-O110</f>
        <v>-0.0008934230922</v>
      </c>
      <c r="T110" s="107">
        <f t="array" ref="T110">ABS(Q110)</f>
        <v>0.01</v>
      </c>
      <c r="U110" s="16"/>
      <c r="V110" s="16"/>
      <c r="W110" s="16"/>
      <c r="X110" s="16"/>
      <c r="Y110" s="16"/>
      <c r="Z110" s="16"/>
      <c r="AA110" s="16"/>
      <c r="AB110" s="16"/>
      <c r="AC110" s="16"/>
      <c r="AD110" s="55"/>
      <c r="AE110" s="56"/>
      <c r="AF110" s="57"/>
      <c r="AG110" s="57"/>
      <c r="AH110" s="57"/>
      <c r="AI110" s="57"/>
      <c r="AJ110" s="58"/>
      <c r="AK110" s="58"/>
      <c r="AL110" s="58"/>
      <c r="AM110" s="59"/>
      <c r="AN110" s="60"/>
      <c r="AO110" s="16"/>
      <c r="AP110" s="16"/>
      <c r="AQ110" s="61"/>
    </row>
    <row r="111" ht="12.75" customHeight="1">
      <c r="A111" s="98"/>
      <c r="B111" s="108">
        <f t="array" ref="B111">E101*0.5</f>
        <v>30</v>
      </c>
      <c r="C111" s="142">
        <v>30.01</v>
      </c>
      <c r="D111" s="143">
        <v>30.01</v>
      </c>
      <c r="E111" s="143">
        <v>30.01</v>
      </c>
      <c r="F111" s="143">
        <v>30.01</v>
      </c>
      <c r="G111" s="144">
        <v>30.01</v>
      </c>
      <c r="H111" s="112">
        <f t="array" ref="H111">STDEV(C111:G111)*1.4</f>
        <v>0</v>
      </c>
      <c r="I111" s="112">
        <f t="array" ref="I111">0.017/2</f>
        <v>0.0085</v>
      </c>
      <c r="J111" s="112">
        <f t="array" ref="J111">I111/SQRT(3)</f>
        <v>0.004907477288</v>
      </c>
      <c r="K111" s="112">
        <v>0.00288675134594813</v>
      </c>
      <c r="L111" s="113">
        <f t="array" ref="L111">SQRT(H111^2+J111^2+(K111)^2)</f>
        <v>0.005693563618</v>
      </c>
      <c r="M111" s="114" t="str">
        <f t="array" ref="M111">IF(ISERROR((L111^4)/(H111^4/4))=TRUE,"∞",((L111^4)/(H111^4/4)))</f>
        <v>∞</v>
      </c>
      <c r="N111" s="114">
        <f t="array" ref="N111">IF(ISERROR(TINV(0.05,M111))=TRUE,2,TINV(0.05,M111))</f>
        <v>2</v>
      </c>
      <c r="O111" s="115">
        <f t="array" ref="O111">L111*N111</f>
        <v>0.01138712724</v>
      </c>
      <c r="P111" s="48"/>
      <c r="Q111" s="107">
        <f t="array" ref="Q111">AVERAGE(C111:G111)-B111</f>
        <v>0.01</v>
      </c>
      <c r="R111" s="107">
        <f t="array" ref="R111">Q111+O111</f>
        <v>0.02138712724</v>
      </c>
      <c r="S111" s="107">
        <f t="array" ref="S111">Q111-O111</f>
        <v>-0.001387127235</v>
      </c>
      <c r="T111" s="107">
        <f t="array" ref="T111">ABS(Q111)</f>
        <v>0.01</v>
      </c>
      <c r="U111" s="16"/>
      <c r="V111" s="16"/>
      <c r="W111" s="16"/>
      <c r="X111" s="16"/>
      <c r="Y111" s="16"/>
      <c r="Z111" s="16"/>
      <c r="AA111" s="16"/>
      <c r="AB111" s="16"/>
      <c r="AC111" s="16"/>
      <c r="AD111" s="55"/>
      <c r="AE111" s="56"/>
      <c r="AF111" s="57"/>
      <c r="AG111" s="57"/>
      <c r="AH111" s="57"/>
      <c r="AI111" s="57"/>
      <c r="AJ111" s="58"/>
      <c r="AK111" s="58"/>
      <c r="AL111" s="58"/>
      <c r="AM111" s="59"/>
      <c r="AN111" s="60"/>
      <c r="AO111" s="16"/>
      <c r="AP111" s="16"/>
      <c r="AQ111" s="61"/>
    </row>
    <row r="112" ht="12.75" customHeight="1">
      <c r="A112" s="98"/>
      <c r="B112" s="108">
        <f t="array" ref="B112">E101*0.75</f>
        <v>45</v>
      </c>
      <c r="C112" s="142">
        <v>45.01</v>
      </c>
      <c r="D112" s="143">
        <v>45.01</v>
      </c>
      <c r="E112" s="143">
        <v>45.01</v>
      </c>
      <c r="F112" s="143">
        <v>45.01</v>
      </c>
      <c r="G112" s="144">
        <v>45.01</v>
      </c>
      <c r="H112" s="112">
        <f t="array" ref="H112">STDEV(C112:G112)*1.4</f>
        <v>0</v>
      </c>
      <c r="I112" s="112">
        <f t="array" ref="I112">0.017/2</f>
        <v>0.0085</v>
      </c>
      <c r="J112" s="112">
        <f t="array" ref="J112">I112/SQRT(3)</f>
        <v>0.004907477288</v>
      </c>
      <c r="K112" s="112">
        <v>0.00288675134594813</v>
      </c>
      <c r="L112" s="113">
        <f t="array" ref="L112">SQRT(H112^2+J112^2+(K112)^2)</f>
        <v>0.005693563618</v>
      </c>
      <c r="M112" s="114" t="str">
        <f t="array" ref="M112">IF(ISERROR((L112^4)/(H112^4/4))=TRUE,"∞",((L112^4)/(H112^4/4)))</f>
        <v>∞</v>
      </c>
      <c r="N112" s="114">
        <f t="array" ref="N112">IF(ISERROR(TINV(0.05,M112))=TRUE,2,TINV(0.05,M112))</f>
        <v>2</v>
      </c>
      <c r="O112" s="115">
        <f t="array" ref="O112">L112*N112</f>
        <v>0.01138712724</v>
      </c>
      <c r="P112" s="48"/>
      <c r="Q112" s="107">
        <f t="array" ref="Q112">AVERAGE(C112:G112)-B112</f>
        <v>0.01</v>
      </c>
      <c r="R112" s="107">
        <f t="array" ref="R112">Q112+O112</f>
        <v>0.02138712724</v>
      </c>
      <c r="S112" s="107">
        <f t="array" ref="S112">Q112-O112</f>
        <v>-0.001387127235</v>
      </c>
      <c r="T112" s="107">
        <f t="array" ref="T112">ABS(Q112)</f>
        <v>0.01</v>
      </c>
      <c r="U112" s="16"/>
      <c r="V112" s="16"/>
      <c r="W112" s="16"/>
      <c r="X112" s="16"/>
      <c r="Y112" s="16"/>
      <c r="Z112" s="16"/>
      <c r="AA112" s="16"/>
      <c r="AB112" s="16"/>
      <c r="AC112" s="16"/>
      <c r="AD112" s="55"/>
      <c r="AE112" s="56"/>
      <c r="AF112" s="57"/>
      <c r="AG112" s="57"/>
      <c r="AH112" s="57"/>
      <c r="AI112" s="57"/>
      <c r="AJ112" s="58"/>
      <c r="AK112" s="58"/>
      <c r="AL112" s="58"/>
      <c r="AM112" s="59"/>
      <c r="AN112" s="60"/>
      <c r="AO112" s="16"/>
      <c r="AP112" s="16"/>
      <c r="AQ112" s="61"/>
    </row>
    <row r="113" ht="12.75" customHeight="1">
      <c r="A113" s="98"/>
      <c r="B113" s="116">
        <f t="array" ref="B113">E101*0.9</f>
        <v>54</v>
      </c>
      <c r="C113" s="145">
        <v>54.02</v>
      </c>
      <c r="D113" s="146">
        <v>54.02</v>
      </c>
      <c r="E113" s="146">
        <v>54.02</v>
      </c>
      <c r="F113" s="146">
        <v>54.02</v>
      </c>
      <c r="G113" s="147">
        <v>54.02</v>
      </c>
      <c r="H113" s="120">
        <f t="array" ref="H113">STDEV(C113:G113)*1.4</f>
        <v>0</v>
      </c>
      <c r="I113" s="112">
        <f t="array" ref="I113">0.017/2</f>
        <v>0.0085</v>
      </c>
      <c r="J113" s="120">
        <f t="array" ref="J113">I113/SQRT(3)</f>
        <v>0.004907477288</v>
      </c>
      <c r="K113" s="120">
        <v>0.00288675134594813</v>
      </c>
      <c r="L113" s="121">
        <f t="array" ref="L113">SQRT(H113^2+J113^2+(K113)^2)</f>
        <v>0.005693563618</v>
      </c>
      <c r="M113" s="122" t="str">
        <f t="array" ref="M113">IF(ISERROR((L113^4)/(H113^4/4))=TRUE,"∞",((L113^4)/(H113^4/4)))</f>
        <v>∞</v>
      </c>
      <c r="N113" s="122">
        <f t="array" ref="N113">IF(ISERROR(TINV(0.05,M113))=TRUE,2,TINV(0.05,M113))</f>
        <v>2</v>
      </c>
      <c r="O113" s="123">
        <f t="array" ref="O113">L113*N113</f>
        <v>0.01138712724</v>
      </c>
      <c r="P113" s="48"/>
      <c r="Q113" s="107">
        <f t="array" ref="Q113">AVERAGE(C113:G113)-B113</f>
        <v>0.02</v>
      </c>
      <c r="R113" s="107">
        <f t="array" ref="R113">Q113+O113</f>
        <v>0.03138712724</v>
      </c>
      <c r="S113" s="107">
        <f t="array" ref="S113">Q113-O113</f>
        <v>0.008612872765</v>
      </c>
      <c r="T113" s="107">
        <f t="array" ref="T113">ABS(Q113)</f>
        <v>0.02</v>
      </c>
      <c r="U113" s="16"/>
      <c r="V113" s="16"/>
      <c r="W113" s="16"/>
      <c r="X113" s="16"/>
      <c r="Y113" s="16"/>
      <c r="Z113" s="16"/>
      <c r="AA113" s="16"/>
      <c r="AB113" s="16"/>
      <c r="AC113" s="16"/>
      <c r="AD113" s="55"/>
      <c r="AE113" s="56"/>
      <c r="AF113" s="57"/>
      <c r="AG113" s="57"/>
      <c r="AH113" s="57"/>
      <c r="AI113" s="57"/>
      <c r="AJ113" s="58"/>
      <c r="AK113" s="58"/>
      <c r="AL113" s="58"/>
      <c r="AM113" s="59"/>
      <c r="AN113" s="60"/>
      <c r="AO113" s="16"/>
      <c r="AP113" s="16"/>
      <c r="AQ113" s="61"/>
    </row>
    <row r="114" ht="13.5" customHeight="1">
      <c r="A114" s="15"/>
      <c r="B114" s="124"/>
      <c r="C114" s="124"/>
      <c r="D114" s="124"/>
      <c r="E114" s="124"/>
      <c r="F114" s="124"/>
      <c r="G114" s="124"/>
      <c r="H114" s="125"/>
      <c r="I114" s="126"/>
      <c r="J114" s="125"/>
      <c r="K114" s="125"/>
      <c r="L114" s="127"/>
      <c r="M114" s="128"/>
      <c r="N114" s="128"/>
      <c r="O114" s="129"/>
      <c r="P114" s="48"/>
      <c r="Q114" s="107"/>
      <c r="R114" s="107"/>
      <c r="S114" s="107"/>
      <c r="T114" s="107"/>
      <c r="U114" s="16"/>
      <c r="V114" s="16"/>
      <c r="W114" s="16"/>
      <c r="X114" s="16"/>
      <c r="Y114" s="16"/>
      <c r="Z114" s="16"/>
      <c r="AA114" s="16"/>
      <c r="AB114" s="16"/>
      <c r="AC114" s="16"/>
      <c r="AD114" s="55"/>
      <c r="AE114" s="56"/>
      <c r="AF114" s="57"/>
      <c r="AG114" s="57"/>
      <c r="AH114" s="57"/>
      <c r="AI114" s="57"/>
      <c r="AJ114" s="58"/>
      <c r="AK114" s="58"/>
      <c r="AL114" s="58"/>
      <c r="AM114" s="59"/>
      <c r="AN114" s="60"/>
      <c r="AO114" s="16"/>
      <c r="AP114" s="16"/>
      <c r="AQ114" s="61"/>
    </row>
    <row r="115" ht="27.0" customHeight="1">
      <c r="A115" s="44"/>
      <c r="B115" s="45" t="s">
        <v>43</v>
      </c>
      <c r="C115" s="46"/>
      <c r="D115" s="46"/>
      <c r="E115" s="46"/>
      <c r="F115" s="46"/>
      <c r="G115" s="46"/>
      <c r="H115" s="46"/>
      <c r="I115" s="46"/>
      <c r="J115" s="46"/>
      <c r="K115" s="46"/>
      <c r="L115" s="46"/>
      <c r="M115" s="46"/>
      <c r="N115" s="46"/>
      <c r="O115" s="47"/>
      <c r="P115" s="48"/>
      <c r="Q115" s="16"/>
      <c r="R115" s="16"/>
      <c r="S115" s="16"/>
      <c r="T115" s="16"/>
      <c r="U115" s="16"/>
      <c r="V115" s="16"/>
      <c r="W115" s="16"/>
      <c r="X115" s="16"/>
      <c r="Y115" s="16"/>
      <c r="Z115" s="16"/>
      <c r="AA115" s="16"/>
      <c r="AB115" s="16"/>
      <c r="AC115" s="16"/>
      <c r="AD115" s="55"/>
      <c r="AE115" s="56"/>
      <c r="AF115" s="57"/>
      <c r="AG115" s="57"/>
      <c r="AH115" s="57"/>
      <c r="AI115" s="57"/>
      <c r="AJ115" s="58"/>
      <c r="AK115" s="58"/>
      <c r="AL115" s="58"/>
      <c r="AM115" s="59"/>
      <c r="AN115" s="60"/>
      <c r="AO115" s="16"/>
      <c r="AP115" s="16"/>
      <c r="AQ115" s="61"/>
    </row>
    <row r="116" ht="13.5" customHeight="1">
      <c r="A116" s="44"/>
      <c r="B116" s="49" t="s">
        <v>8</v>
      </c>
      <c r="C116" s="50">
        <v>0.0</v>
      </c>
      <c r="D116" s="51" t="s">
        <v>9</v>
      </c>
      <c r="E116" s="50">
        <v>600.0</v>
      </c>
      <c r="F116" s="52"/>
      <c r="G116" s="53"/>
      <c r="H116" s="53"/>
      <c r="I116" s="53"/>
      <c r="J116" s="53"/>
      <c r="K116" s="53"/>
      <c r="L116" s="53"/>
      <c r="M116" s="53"/>
      <c r="N116" s="53"/>
      <c r="O116" s="54"/>
      <c r="P116" s="48"/>
      <c r="Q116" s="16"/>
      <c r="R116" s="16"/>
      <c r="S116" s="16"/>
      <c r="T116" s="16"/>
      <c r="U116" s="16"/>
      <c r="V116" s="16"/>
      <c r="W116" s="16"/>
      <c r="X116" s="16"/>
      <c r="Y116" s="16"/>
      <c r="Z116" s="16"/>
      <c r="AA116" s="16"/>
      <c r="AB116" s="16"/>
      <c r="AC116" s="16"/>
      <c r="AD116" s="55"/>
      <c r="AE116" s="56"/>
      <c r="AF116" s="57"/>
      <c r="AG116" s="57"/>
      <c r="AH116" s="57"/>
      <c r="AI116" s="57"/>
      <c r="AJ116" s="58"/>
      <c r="AK116" s="58"/>
      <c r="AL116" s="58"/>
      <c r="AM116" s="59"/>
      <c r="AN116" s="60"/>
      <c r="AO116" s="16"/>
      <c r="AP116" s="16"/>
      <c r="AQ116" s="61"/>
    </row>
    <row r="117" ht="13.5" customHeight="1">
      <c r="A117" s="44"/>
      <c r="B117" s="62" t="s">
        <v>10</v>
      </c>
      <c r="C117" s="63">
        <v>0.1</v>
      </c>
      <c r="D117" s="64"/>
      <c r="E117" s="65"/>
      <c r="F117" s="66"/>
      <c r="G117" s="67"/>
      <c r="H117" s="68" t="s">
        <v>11</v>
      </c>
      <c r="I117" s="69"/>
      <c r="J117" s="70"/>
      <c r="K117" s="66"/>
      <c r="L117" s="66"/>
      <c r="M117" s="66"/>
      <c r="N117" s="66"/>
      <c r="O117" s="71"/>
      <c r="P117" s="48"/>
      <c r="Q117" s="16"/>
      <c r="R117" s="16"/>
      <c r="S117" s="16"/>
      <c r="T117" s="16"/>
      <c r="U117" s="16"/>
      <c r="V117" s="16"/>
      <c r="W117" s="16"/>
      <c r="X117" s="16"/>
      <c r="Y117" s="16"/>
      <c r="Z117" s="16"/>
      <c r="AA117" s="16"/>
      <c r="AB117" s="16"/>
      <c r="AC117" s="16"/>
      <c r="AD117" s="55"/>
      <c r="AE117" s="56"/>
      <c r="AF117" s="57"/>
      <c r="AG117" s="57"/>
      <c r="AH117" s="57"/>
      <c r="AI117" s="57"/>
      <c r="AJ117" s="58"/>
      <c r="AK117" s="58"/>
      <c r="AL117" s="58"/>
      <c r="AM117" s="59"/>
      <c r="AN117" s="60"/>
      <c r="AO117" s="16"/>
      <c r="AP117" s="16"/>
      <c r="AQ117" s="61"/>
    </row>
    <row r="118" ht="13.5" customHeight="1">
      <c r="A118" s="44"/>
      <c r="B118" s="72" t="s">
        <v>12</v>
      </c>
      <c r="C118" s="73" t="s">
        <v>42</v>
      </c>
      <c r="D118" s="74" t="s">
        <v>14</v>
      </c>
      <c r="E118" s="75">
        <f t="array" ref="E118">MAX(Q124:Q128)</f>
        <v>0</v>
      </c>
      <c r="F118" s="76" t="str">
        <f t="array" ref="F118">C118</f>
        <v>V</v>
      </c>
      <c r="G118" s="67"/>
      <c r="H118" s="68" t="s">
        <v>15</v>
      </c>
      <c r="I118" s="77" t="s">
        <v>16</v>
      </c>
      <c r="J118" s="78"/>
      <c r="K118" s="79"/>
      <c r="L118" s="66"/>
      <c r="M118" s="66"/>
      <c r="N118" s="66"/>
      <c r="O118" s="71"/>
      <c r="P118" s="48"/>
      <c r="Q118" s="16"/>
      <c r="R118" s="16"/>
      <c r="S118" s="16"/>
      <c r="T118" s="16"/>
      <c r="U118" s="16"/>
      <c r="V118" s="16"/>
      <c r="W118" s="16"/>
      <c r="X118" s="16"/>
      <c r="Y118" s="16"/>
      <c r="Z118" s="16"/>
      <c r="AA118" s="16"/>
      <c r="AB118" s="16"/>
      <c r="AC118" s="16"/>
      <c r="AD118" s="55"/>
      <c r="AE118" s="56"/>
      <c r="AF118" s="57"/>
      <c r="AG118" s="57"/>
      <c r="AH118" s="57"/>
      <c r="AI118" s="57"/>
      <c r="AJ118" s="58"/>
      <c r="AK118" s="58"/>
      <c r="AL118" s="58"/>
      <c r="AM118" s="59"/>
      <c r="AN118" s="60"/>
      <c r="AO118" s="16"/>
      <c r="AP118" s="16"/>
      <c r="AQ118" s="61"/>
    </row>
    <row r="119" ht="12.75" customHeight="1">
      <c r="A119" s="44"/>
      <c r="B119" s="80"/>
      <c r="C119" s="65"/>
      <c r="D119" s="76" t="s">
        <v>17</v>
      </c>
      <c r="E119" s="81">
        <f t="array" ref="E119">MAX(O124:O128)</f>
        <v>0.05856335601</v>
      </c>
      <c r="F119" s="76" t="str">
        <f t="array" ref="F119">C118</f>
        <v>V</v>
      </c>
      <c r="G119" s="67"/>
      <c r="H119" s="82"/>
      <c r="I119" s="68" t="s">
        <v>18</v>
      </c>
      <c r="J119" s="82"/>
      <c r="K119" s="79"/>
      <c r="L119" s="66"/>
      <c r="M119" s="66"/>
      <c r="N119" s="66"/>
      <c r="O119" s="71"/>
      <c r="P119" s="48"/>
      <c r="Q119" s="16"/>
      <c r="R119" s="16"/>
      <c r="S119" s="16"/>
      <c r="T119" s="16"/>
      <c r="U119" s="16"/>
      <c r="V119" s="16"/>
      <c r="W119" s="16"/>
      <c r="X119" s="16"/>
      <c r="Y119" s="16"/>
      <c r="Z119" s="16"/>
      <c r="AA119" s="16"/>
      <c r="AB119" s="16"/>
      <c r="AC119" s="16"/>
      <c r="AD119" s="55"/>
      <c r="AE119" s="56"/>
      <c r="AF119" s="57"/>
      <c r="AG119" s="57"/>
      <c r="AH119" s="57"/>
      <c r="AI119" s="57"/>
      <c r="AJ119" s="58"/>
      <c r="AK119" s="58"/>
      <c r="AL119" s="58"/>
      <c r="AM119" s="59"/>
      <c r="AN119" s="60"/>
      <c r="AO119" s="16"/>
      <c r="AP119" s="16"/>
      <c r="AQ119" s="61"/>
    </row>
    <row r="120" ht="12.75" customHeight="1">
      <c r="A120" s="44"/>
      <c r="B120" s="83"/>
      <c r="C120" s="66"/>
      <c r="D120" s="66"/>
      <c r="E120" s="66"/>
      <c r="F120" s="66"/>
      <c r="G120" s="67"/>
      <c r="H120" s="82"/>
      <c r="I120" s="68" t="s">
        <v>19</v>
      </c>
      <c r="J120" s="82"/>
      <c r="K120" s="79"/>
      <c r="L120" s="66"/>
      <c r="M120" s="66"/>
      <c r="N120" s="66"/>
      <c r="O120" s="84"/>
      <c r="P120" s="48"/>
      <c r="Q120" s="16"/>
      <c r="R120" s="16"/>
      <c r="S120" s="16"/>
      <c r="T120" s="16"/>
      <c r="U120" s="16"/>
      <c r="V120" s="16"/>
      <c r="W120" s="16"/>
      <c r="X120" s="16"/>
      <c r="Y120" s="16"/>
      <c r="Z120" s="16"/>
      <c r="AA120" s="16"/>
      <c r="AB120" s="16"/>
      <c r="AC120" s="16"/>
      <c r="AD120" s="55"/>
      <c r="AE120" s="56"/>
      <c r="AF120" s="57"/>
      <c r="AG120" s="57"/>
      <c r="AH120" s="57"/>
      <c r="AI120" s="57"/>
      <c r="AJ120" s="58"/>
      <c r="AK120" s="58"/>
      <c r="AL120" s="58"/>
      <c r="AM120" s="59"/>
      <c r="AN120" s="60"/>
      <c r="AO120" s="16"/>
      <c r="AP120" s="16"/>
      <c r="AQ120" s="61"/>
    </row>
    <row r="121" ht="12.75" customHeight="1">
      <c r="A121" s="44"/>
      <c r="B121" s="85" t="s">
        <v>20</v>
      </c>
      <c r="C121" s="69"/>
      <c r="D121" s="70"/>
      <c r="E121" s="70"/>
      <c r="F121" s="70"/>
      <c r="G121" s="86"/>
      <c r="H121" s="87" t="s">
        <v>21</v>
      </c>
      <c r="I121" s="88">
        <v>5502.0</v>
      </c>
      <c r="J121" s="88"/>
      <c r="K121" s="69"/>
      <c r="L121" s="70"/>
      <c r="M121" s="70"/>
      <c r="N121" s="86"/>
      <c r="O121" s="89" t="s">
        <v>22</v>
      </c>
      <c r="P121" s="48"/>
      <c r="Q121" s="16"/>
      <c r="R121" s="16"/>
      <c r="S121" s="16"/>
      <c r="T121" s="16"/>
      <c r="U121" s="16"/>
      <c r="V121" s="16"/>
      <c r="W121" s="16"/>
      <c r="X121" s="16"/>
      <c r="Y121" s="16"/>
      <c r="Z121" s="16"/>
      <c r="AA121" s="16"/>
      <c r="AB121" s="16"/>
      <c r="AC121" s="16"/>
      <c r="AD121" s="55"/>
      <c r="AE121" s="56"/>
      <c r="AF121" s="57"/>
      <c r="AG121" s="57"/>
      <c r="AH121" s="57"/>
      <c r="AI121" s="57"/>
      <c r="AJ121" s="58"/>
      <c r="AK121" s="58"/>
      <c r="AL121" s="58"/>
      <c r="AM121" s="59"/>
      <c r="AN121" s="60"/>
      <c r="AO121" s="16"/>
      <c r="AP121" s="16"/>
      <c r="AQ121" s="61"/>
    </row>
    <row r="122" ht="12.75" customHeight="1">
      <c r="A122" s="44"/>
      <c r="B122" s="90" t="s">
        <v>23</v>
      </c>
      <c r="C122" s="77" t="s">
        <v>24</v>
      </c>
      <c r="D122" s="77" t="s">
        <v>25</v>
      </c>
      <c r="E122" s="77" t="s">
        <v>26</v>
      </c>
      <c r="F122" s="77" t="s">
        <v>27</v>
      </c>
      <c r="G122" s="77" t="s">
        <v>28</v>
      </c>
      <c r="H122" s="77" t="s">
        <v>29</v>
      </c>
      <c r="I122" s="77" t="s">
        <v>30</v>
      </c>
      <c r="J122" s="77" t="s">
        <v>31</v>
      </c>
      <c r="K122" s="77" t="s">
        <v>32</v>
      </c>
      <c r="L122" s="77" t="s">
        <v>33</v>
      </c>
      <c r="M122" s="77" t="s">
        <v>34</v>
      </c>
      <c r="N122" s="91"/>
      <c r="O122" s="92" t="s">
        <v>35</v>
      </c>
      <c r="P122" s="48"/>
      <c r="Q122" s="16"/>
      <c r="R122" s="16"/>
      <c r="S122" s="16"/>
      <c r="T122" s="16"/>
      <c r="U122" s="16"/>
      <c r="V122" s="16"/>
      <c r="W122" s="16"/>
      <c r="X122" s="16"/>
      <c r="Y122" s="16"/>
      <c r="Z122" s="16"/>
      <c r="AA122" s="16"/>
      <c r="AB122" s="16"/>
      <c r="AC122" s="16"/>
      <c r="AD122" s="55"/>
      <c r="AE122" s="56"/>
      <c r="AF122" s="57"/>
      <c r="AG122" s="57"/>
      <c r="AH122" s="57"/>
      <c r="AI122" s="57"/>
      <c r="AJ122" s="58"/>
      <c r="AK122" s="58"/>
      <c r="AL122" s="58"/>
      <c r="AM122" s="59"/>
      <c r="AN122" s="60"/>
      <c r="AO122" s="16"/>
      <c r="AP122" s="16"/>
      <c r="AQ122" s="61"/>
    </row>
    <row r="123" ht="12.75" customHeight="1">
      <c r="A123" s="44"/>
      <c r="B123" s="93" t="str">
        <f t="array" ref="B123">C118</f>
        <v>V</v>
      </c>
      <c r="C123" s="87" t="str">
        <f t="array" ref="C123">$B123</f>
        <v>V</v>
      </c>
      <c r="D123" s="87" t="str">
        <f t="array" ref="D123">$B123</f>
        <v>V</v>
      </c>
      <c r="E123" s="87" t="str">
        <f t="array" ref="E123">$B123</f>
        <v>V</v>
      </c>
      <c r="F123" s="87" t="str">
        <f t="array" ref="F123">$B123</f>
        <v>V</v>
      </c>
      <c r="G123" s="87" t="str">
        <f t="array" ref="G123">$B123</f>
        <v>V</v>
      </c>
      <c r="H123" s="87" t="str">
        <f t="array" ref="H123">$B123</f>
        <v>V</v>
      </c>
      <c r="I123" s="87" t="str">
        <f t="array" ref="I123">$B123</f>
        <v>V</v>
      </c>
      <c r="J123" s="87" t="str">
        <f t="array" ref="J123">$B123</f>
        <v>V</v>
      </c>
      <c r="K123" s="87" t="str">
        <f t="array" ref="K123">$B123</f>
        <v>V</v>
      </c>
      <c r="L123" s="87" t="str">
        <f t="array" ref="L123">$B123</f>
        <v>V</v>
      </c>
      <c r="M123" s="94" t="s">
        <v>36</v>
      </c>
      <c r="N123" s="87" t="s">
        <v>37</v>
      </c>
      <c r="O123" s="95" t="str">
        <f t="array" ref="O123">$B123</f>
        <v>V</v>
      </c>
      <c r="P123" s="48"/>
      <c r="Q123" s="96" t="s">
        <v>38</v>
      </c>
      <c r="R123" s="96" t="s">
        <v>39</v>
      </c>
      <c r="S123" s="96" t="s">
        <v>40</v>
      </c>
      <c r="T123" s="97" t="s">
        <v>41</v>
      </c>
      <c r="U123" s="16"/>
      <c r="V123" s="16"/>
      <c r="W123" s="16"/>
      <c r="X123" s="16"/>
      <c r="Y123" s="16"/>
      <c r="Z123" s="16"/>
      <c r="AA123" s="16"/>
      <c r="AB123" s="16"/>
      <c r="AC123" s="16"/>
      <c r="AD123" s="55"/>
      <c r="AE123" s="56"/>
      <c r="AF123" s="57"/>
      <c r="AG123" s="57"/>
      <c r="AH123" s="57"/>
      <c r="AI123" s="57"/>
      <c r="AJ123" s="58"/>
      <c r="AK123" s="58"/>
      <c r="AL123" s="58"/>
      <c r="AM123" s="59"/>
      <c r="AN123" s="60"/>
      <c r="AO123" s="16"/>
      <c r="AP123" s="16"/>
      <c r="AQ123" s="61"/>
    </row>
    <row r="124" ht="12.75" customHeight="1">
      <c r="A124" s="98"/>
      <c r="B124" s="99">
        <f t="array" ref="B124">E116*0.1</f>
        <v>60</v>
      </c>
      <c r="C124" s="100">
        <v>59.9</v>
      </c>
      <c r="D124" s="101">
        <v>59.9</v>
      </c>
      <c r="E124" s="101">
        <v>59.9</v>
      </c>
      <c r="F124" s="101">
        <v>59.9</v>
      </c>
      <c r="G124" s="102">
        <v>59.9</v>
      </c>
      <c r="H124" s="103">
        <f t="array" ref="H124">STDEV(C124:G124)*1.4</f>
        <v>0</v>
      </c>
      <c r="I124" s="103">
        <f t="array" ref="I124">0.017/2</f>
        <v>0.0085</v>
      </c>
      <c r="J124" s="103">
        <f t="array" ref="J124">I124/SQRT(3)</f>
        <v>0.004907477288</v>
      </c>
      <c r="K124" s="103">
        <f t="array" ref="K124">(C$117)/SQRT(12)</f>
        <v>0.02886751346</v>
      </c>
      <c r="L124" s="105">
        <f t="array" ref="L124">SQRT(H124^2+J124^2+(K124)^2)</f>
        <v>0.029281678</v>
      </c>
      <c r="M124" s="91" t="str">
        <f t="array" ref="M124">IF(ISERROR((L124^4)/(H124^4/4))=TRUE,"∞",((L124^4)/(H124^4/4)))</f>
        <v>∞</v>
      </c>
      <c r="N124" s="91">
        <f t="array" ref="N124">IF(ISERROR(TINV(0.05,M124))=TRUE,2,TINV(0.05,M124))</f>
        <v>2</v>
      </c>
      <c r="O124" s="106">
        <f t="array" ref="O124">L124*N124</f>
        <v>0.05856335601</v>
      </c>
      <c r="P124" s="48"/>
      <c r="Q124" s="107">
        <f t="array" ref="Q124">AVERAGE(C124:G124)-B124</f>
        <v>-0.1</v>
      </c>
      <c r="R124" s="107">
        <f t="array" ref="R124">Q124+O124</f>
        <v>-0.04143664399</v>
      </c>
      <c r="S124" s="107">
        <f t="array" ref="S124">Q124-O124</f>
        <v>-0.158563356</v>
      </c>
      <c r="T124" s="107">
        <f t="array" ref="T124">ABS(Q124)</f>
        <v>0.1</v>
      </c>
      <c r="U124" s="16"/>
      <c r="V124" s="16"/>
      <c r="W124" s="16"/>
      <c r="X124" s="16"/>
      <c r="Y124" s="16"/>
      <c r="Z124" s="16"/>
      <c r="AA124" s="16"/>
      <c r="AB124" s="16"/>
      <c r="AC124" s="16"/>
      <c r="AD124" s="55"/>
      <c r="AE124" s="56"/>
      <c r="AF124" s="57"/>
      <c r="AG124" s="57"/>
      <c r="AH124" s="57"/>
      <c r="AI124" s="57"/>
      <c r="AJ124" s="58"/>
      <c r="AK124" s="58"/>
      <c r="AL124" s="58"/>
      <c r="AM124" s="59"/>
      <c r="AN124" s="60"/>
      <c r="AO124" s="16"/>
      <c r="AP124" s="16"/>
      <c r="AQ124" s="61"/>
    </row>
    <row r="125" ht="12.75" customHeight="1">
      <c r="A125" s="98"/>
      <c r="B125" s="108">
        <f t="array" ref="B125">E116*0.25</f>
        <v>150</v>
      </c>
      <c r="C125" s="109">
        <v>149.8</v>
      </c>
      <c r="D125" s="110">
        <v>149.8</v>
      </c>
      <c r="E125" s="110">
        <v>149.8</v>
      </c>
      <c r="F125" s="110">
        <v>149.8</v>
      </c>
      <c r="G125" s="111">
        <v>149.8</v>
      </c>
      <c r="H125" s="112">
        <f t="array" ref="H125">STDEV(C125:G125)*1.4</f>
        <v>0</v>
      </c>
      <c r="I125" s="112">
        <f t="array" ref="I125">0.0071/2</f>
        <v>0.00355</v>
      </c>
      <c r="J125" s="112">
        <f t="array" ref="J125">I125/SQRT(3)</f>
        <v>0.002049593456</v>
      </c>
      <c r="K125" s="112">
        <f t="array" ref="K125">(C$117)/SQRT(12)</f>
        <v>0.02886751346</v>
      </c>
      <c r="L125" s="113">
        <f t="array" ref="L125">SQRT(H125^2+J125^2+(K125)^2)</f>
        <v>0.02894018256</v>
      </c>
      <c r="M125" s="114" t="str">
        <f t="array" ref="M125">IF(ISERROR((L125^4)/(H125^4/4))=TRUE,"∞",((L125^4)/(H125^4/4)))</f>
        <v>∞</v>
      </c>
      <c r="N125" s="114">
        <f t="array" ref="N125">IF(ISERROR(TINV(0.05,M125))=TRUE,2,TINV(0.05,M125))</f>
        <v>2</v>
      </c>
      <c r="O125" s="115">
        <f t="array" ref="O125">L125*N125</f>
        <v>0.05788036512</v>
      </c>
      <c r="P125" s="48"/>
      <c r="Q125" s="107">
        <f t="array" ref="Q125">AVERAGE(C125:G125)-B125</f>
        <v>-0.2</v>
      </c>
      <c r="R125" s="107">
        <f t="array" ref="R125">Q125+O125</f>
        <v>-0.1421196349</v>
      </c>
      <c r="S125" s="107">
        <f t="array" ref="S125">Q125-O125</f>
        <v>-0.2578803651</v>
      </c>
      <c r="T125" s="107">
        <f t="array" ref="T125">ABS(Q125)</f>
        <v>0.2</v>
      </c>
      <c r="U125" s="16"/>
      <c r="V125" s="16"/>
      <c r="W125" s="16"/>
      <c r="X125" s="16"/>
      <c r="Y125" s="16"/>
      <c r="Z125" s="16"/>
      <c r="AA125" s="16"/>
      <c r="AB125" s="16"/>
      <c r="AC125" s="16"/>
      <c r="AD125" s="55"/>
      <c r="AE125" s="56"/>
      <c r="AF125" s="57"/>
      <c r="AG125" s="57"/>
      <c r="AH125" s="57"/>
      <c r="AI125" s="57"/>
      <c r="AJ125" s="58"/>
      <c r="AK125" s="58"/>
      <c r="AL125" s="58"/>
      <c r="AM125" s="59"/>
      <c r="AN125" s="60"/>
      <c r="AO125" s="16"/>
      <c r="AP125" s="16"/>
      <c r="AQ125" s="61"/>
    </row>
    <row r="126" ht="12.75" customHeight="1">
      <c r="A126" s="98"/>
      <c r="B126" s="108">
        <f t="array" ref="B126">E116*0.5</f>
        <v>300</v>
      </c>
      <c r="C126" s="109">
        <v>299.9</v>
      </c>
      <c r="D126" s="110">
        <v>299.9</v>
      </c>
      <c r="E126" s="110">
        <v>299.9</v>
      </c>
      <c r="F126" s="110">
        <v>299.9</v>
      </c>
      <c r="G126" s="111">
        <v>299.9</v>
      </c>
      <c r="H126" s="112">
        <f t="array" ref="H126">STDEV(C126:G126)*1.4</f>
        <v>0</v>
      </c>
      <c r="I126" s="112">
        <f t="array" ref="I126">0.017/2</f>
        <v>0.0085</v>
      </c>
      <c r="J126" s="112">
        <f t="array" ref="J126">I126/SQRT(3)</f>
        <v>0.004907477288</v>
      </c>
      <c r="K126" s="112">
        <f t="array" ref="K126">(C$117)/SQRT(12)</f>
        <v>0.02886751346</v>
      </c>
      <c r="L126" s="113">
        <f t="array" ref="L126">SQRT(H126^2+J126^2+(K126)^2)</f>
        <v>0.029281678</v>
      </c>
      <c r="M126" s="114" t="str">
        <f t="array" ref="M126">IF(ISERROR((L126^4)/(H126^4/4))=TRUE,"∞",((L126^4)/(H126^4/4)))</f>
        <v>∞</v>
      </c>
      <c r="N126" s="114">
        <f t="array" ref="N126">IF(ISERROR(TINV(0.05,M126))=TRUE,2,TINV(0.05,M126))</f>
        <v>2</v>
      </c>
      <c r="O126" s="115">
        <f t="array" ref="O126">L126*N126</f>
        <v>0.05856335601</v>
      </c>
      <c r="P126" s="48"/>
      <c r="Q126" s="107">
        <f t="array" ref="Q126">AVERAGE(C126:G126)-B126</f>
        <v>-0.1</v>
      </c>
      <c r="R126" s="107">
        <f t="array" ref="R126">Q126+O126</f>
        <v>-0.04143664399</v>
      </c>
      <c r="S126" s="107">
        <f t="array" ref="S126">Q126-O126</f>
        <v>-0.158563356</v>
      </c>
      <c r="T126" s="107">
        <f t="array" ref="T126">ABS(Q126)</f>
        <v>0.1</v>
      </c>
      <c r="U126" s="16"/>
      <c r="V126" s="16"/>
      <c r="W126" s="16"/>
      <c r="X126" s="16"/>
      <c r="Y126" s="16"/>
      <c r="Z126" s="16"/>
      <c r="AA126" s="16"/>
      <c r="AB126" s="16"/>
      <c r="AC126" s="16"/>
      <c r="AD126" s="55"/>
      <c r="AE126" s="56"/>
      <c r="AF126" s="57"/>
      <c r="AG126" s="57"/>
      <c r="AH126" s="57"/>
      <c r="AI126" s="57"/>
      <c r="AJ126" s="58"/>
      <c r="AK126" s="58"/>
      <c r="AL126" s="58"/>
      <c r="AM126" s="59"/>
      <c r="AN126" s="60"/>
      <c r="AO126" s="16"/>
      <c r="AP126" s="16"/>
      <c r="AQ126" s="61"/>
    </row>
    <row r="127" ht="12.75" customHeight="1">
      <c r="A127" s="98"/>
      <c r="B127" s="108">
        <f t="array" ref="B127">E116*0.75</f>
        <v>450</v>
      </c>
      <c r="C127" s="109">
        <v>450.0</v>
      </c>
      <c r="D127" s="110">
        <v>450.0</v>
      </c>
      <c r="E127" s="110">
        <v>450.0</v>
      </c>
      <c r="F127" s="110">
        <v>450.0</v>
      </c>
      <c r="G127" s="111">
        <v>450.0</v>
      </c>
      <c r="H127" s="112">
        <f t="array" ref="H127">STDEV(C127:G127)*1.4</f>
        <v>0</v>
      </c>
      <c r="I127" s="112">
        <f t="array" ref="I127">0.016/2</f>
        <v>0.008</v>
      </c>
      <c r="J127" s="112">
        <f t="array" ref="J127">I127/SQRT(3)</f>
        <v>0.004618802154</v>
      </c>
      <c r="K127" s="112">
        <f t="array" ref="K127">(C$117)/SQRT(12)</f>
        <v>0.02886751346</v>
      </c>
      <c r="L127" s="113">
        <f t="array" ref="L127">SQRT(H127^2+J127^2+(K127)^2)</f>
        <v>0.0292346826</v>
      </c>
      <c r="M127" s="114" t="str">
        <f t="array" ref="M127">IF(ISERROR((L127^4)/(H127^4/4))=TRUE,"∞",((L127^4)/(H127^4/4)))</f>
        <v>∞</v>
      </c>
      <c r="N127" s="114">
        <f t="array" ref="N127">IF(ISERROR(TINV(0.05,M127))=TRUE,2,TINV(0.05,M127))</f>
        <v>2</v>
      </c>
      <c r="O127" s="115">
        <f t="array" ref="O127">L127*N127</f>
        <v>0.0584693652</v>
      </c>
      <c r="P127" s="48"/>
      <c r="Q127" s="107">
        <f t="array" ref="Q127">AVERAGE(C127:G127)-B127</f>
        <v>0</v>
      </c>
      <c r="R127" s="107">
        <f t="array" ref="R127">Q127+O127</f>
        <v>0.0584693652</v>
      </c>
      <c r="S127" s="107">
        <f t="array" ref="S127">Q127-O127</f>
        <v>-0.0584693652</v>
      </c>
      <c r="T127" s="107">
        <f t="array" ref="T127">ABS(Q127)</f>
        <v>0</v>
      </c>
      <c r="U127" s="16"/>
      <c r="V127" s="16"/>
      <c r="W127" s="16"/>
      <c r="X127" s="16"/>
      <c r="Y127" s="16"/>
      <c r="Z127" s="16"/>
      <c r="AA127" s="16"/>
      <c r="AB127" s="16"/>
      <c r="AC127" s="16"/>
      <c r="AD127" s="55"/>
      <c r="AE127" s="56"/>
      <c r="AF127" s="57"/>
      <c r="AG127" s="57"/>
      <c r="AH127" s="57"/>
      <c r="AI127" s="57"/>
      <c r="AJ127" s="58"/>
      <c r="AK127" s="58"/>
      <c r="AL127" s="58"/>
      <c r="AM127" s="59"/>
      <c r="AN127" s="60"/>
      <c r="AO127" s="16"/>
      <c r="AP127" s="16"/>
      <c r="AQ127" s="61"/>
    </row>
    <row r="128" ht="12.75" customHeight="1">
      <c r="A128" s="98"/>
      <c r="B128" s="116">
        <f t="array" ref="B128">E116*0.9</f>
        <v>540</v>
      </c>
      <c r="C128" s="117">
        <v>540.0</v>
      </c>
      <c r="D128" s="118">
        <v>540.0</v>
      </c>
      <c r="E128" s="118">
        <v>540.0</v>
      </c>
      <c r="F128" s="118">
        <v>540.0</v>
      </c>
      <c r="G128" s="119">
        <v>540.0</v>
      </c>
      <c r="H128" s="120">
        <f t="array" ref="H128">STDEV(C128:G128)*1.4</f>
        <v>0</v>
      </c>
      <c r="I128" s="112">
        <f t="array" ref="I128">0.016/2</f>
        <v>0.008</v>
      </c>
      <c r="J128" s="120">
        <f t="array" ref="J128">I128/SQRT(3)</f>
        <v>0.004618802154</v>
      </c>
      <c r="K128" s="120">
        <f t="array" ref="K128">(C$117)/SQRT(12)</f>
        <v>0.02886751346</v>
      </c>
      <c r="L128" s="121">
        <f t="array" ref="L128">SQRT(H128^2+J128^2+(K128)^2)</f>
        <v>0.0292346826</v>
      </c>
      <c r="M128" s="122" t="str">
        <f t="array" ref="M128">IF(ISERROR((L128^4)/(H128^4/4))=TRUE,"∞",((L128^4)/(H128^4/4)))</f>
        <v>∞</v>
      </c>
      <c r="N128" s="122">
        <f t="array" ref="N128">IF(ISERROR(TINV(0.05,M128))=TRUE,2,TINV(0.05,M128))</f>
        <v>2</v>
      </c>
      <c r="O128" s="123">
        <f t="array" ref="O128">L128*N128</f>
        <v>0.0584693652</v>
      </c>
      <c r="P128" s="48"/>
      <c r="Q128" s="107">
        <f t="array" ref="Q128">AVERAGE(C128:G128)-B128</f>
        <v>0</v>
      </c>
      <c r="R128" s="107">
        <f t="array" ref="R128">Q128+O128</f>
        <v>0.0584693652</v>
      </c>
      <c r="S128" s="107">
        <f t="array" ref="S128">Q128-O128</f>
        <v>-0.0584693652</v>
      </c>
      <c r="T128" s="107">
        <f t="array" ref="T128">ABS(Q128)</f>
        <v>0</v>
      </c>
      <c r="U128" s="16"/>
      <c r="V128" s="16"/>
      <c r="W128" s="16"/>
      <c r="X128" s="16"/>
      <c r="Y128" s="16"/>
      <c r="Z128" s="16"/>
      <c r="AA128" s="16"/>
      <c r="AB128" s="16"/>
      <c r="AC128" s="16"/>
      <c r="AD128" s="55"/>
      <c r="AE128" s="56"/>
      <c r="AF128" s="57"/>
      <c r="AG128" s="57"/>
      <c r="AH128" s="57"/>
      <c r="AI128" s="57"/>
      <c r="AJ128" s="58"/>
      <c r="AK128" s="58"/>
      <c r="AL128" s="58"/>
      <c r="AM128" s="59"/>
      <c r="AN128" s="60"/>
      <c r="AO128" s="16"/>
      <c r="AP128" s="16"/>
      <c r="AQ128" s="61"/>
    </row>
    <row r="129" ht="12.75" customHeight="1">
      <c r="A129" s="15"/>
      <c r="B129" s="149"/>
      <c r="C129" s="149"/>
      <c r="D129" s="149"/>
      <c r="E129" s="149"/>
      <c r="F129" s="149"/>
      <c r="G129" s="149"/>
      <c r="H129" s="150"/>
      <c r="I129" s="151"/>
      <c r="J129" s="150"/>
      <c r="K129" s="150"/>
      <c r="L129" s="152"/>
      <c r="M129" s="153"/>
      <c r="N129" s="153"/>
      <c r="O129" s="154"/>
      <c r="P129" s="48"/>
      <c r="Q129" s="107"/>
      <c r="R129" s="107"/>
      <c r="S129" s="107"/>
      <c r="T129" s="107"/>
      <c r="U129" s="16"/>
      <c r="V129" s="16"/>
      <c r="W129" s="16"/>
      <c r="X129" s="16"/>
      <c r="Y129" s="16"/>
      <c r="Z129" s="16"/>
      <c r="AA129" s="16"/>
      <c r="AB129" s="16"/>
      <c r="AC129" s="16"/>
      <c r="AD129" s="55"/>
      <c r="AE129" s="56"/>
      <c r="AF129" s="57"/>
      <c r="AG129" s="57"/>
      <c r="AH129" s="57"/>
      <c r="AI129" s="57"/>
      <c r="AJ129" s="58"/>
      <c r="AK129" s="58"/>
      <c r="AL129" s="58"/>
      <c r="AM129" s="59"/>
      <c r="AN129" s="60"/>
      <c r="AO129" s="16"/>
      <c r="AP129" s="16"/>
      <c r="AQ129" s="61"/>
    </row>
    <row r="130" ht="13.5" customHeight="1">
      <c r="A130" s="15"/>
      <c r="B130" s="155"/>
      <c r="C130" s="155"/>
      <c r="D130" s="155"/>
      <c r="E130" s="155"/>
      <c r="F130" s="155"/>
      <c r="G130" s="155"/>
      <c r="H130" s="126"/>
      <c r="I130" s="126"/>
      <c r="J130" s="126"/>
      <c r="K130" s="126"/>
      <c r="L130" s="156"/>
      <c r="M130" s="157"/>
      <c r="N130" s="157"/>
      <c r="O130" s="158"/>
      <c r="P130" s="48"/>
      <c r="Q130" s="107"/>
      <c r="R130" s="107"/>
      <c r="S130" s="107"/>
      <c r="T130" s="107"/>
      <c r="U130" s="16"/>
      <c r="V130" s="16"/>
      <c r="W130" s="16"/>
      <c r="X130" s="16"/>
      <c r="Y130" s="16"/>
      <c r="Z130" s="16"/>
      <c r="AA130" s="16"/>
      <c r="AB130" s="16"/>
      <c r="AC130" s="16"/>
      <c r="AD130" s="55"/>
      <c r="AE130" s="56"/>
      <c r="AF130" s="57"/>
      <c r="AG130" s="57"/>
      <c r="AH130" s="57"/>
      <c r="AI130" s="57"/>
      <c r="AJ130" s="58"/>
      <c r="AK130" s="58"/>
      <c r="AL130" s="58"/>
      <c r="AM130" s="59"/>
      <c r="AN130" s="60"/>
      <c r="AO130" s="16"/>
      <c r="AP130" s="16"/>
      <c r="AQ130" s="61"/>
    </row>
    <row r="131" ht="27.0" customHeight="1">
      <c r="A131" s="44"/>
      <c r="B131" s="45" t="s">
        <v>44</v>
      </c>
      <c r="C131" s="46"/>
      <c r="D131" s="46"/>
      <c r="E131" s="46"/>
      <c r="F131" s="46"/>
      <c r="G131" s="46"/>
      <c r="H131" s="46"/>
      <c r="I131" s="46"/>
      <c r="J131" s="46"/>
      <c r="K131" s="46"/>
      <c r="L131" s="46"/>
      <c r="M131" s="46"/>
      <c r="N131" s="46"/>
      <c r="O131" s="47"/>
      <c r="P131" s="48"/>
      <c r="Q131" s="16"/>
      <c r="R131" s="16"/>
      <c r="S131" s="16"/>
      <c r="T131" s="16"/>
      <c r="U131" s="16"/>
      <c r="V131" s="16"/>
      <c r="W131" s="16"/>
      <c r="X131" s="16"/>
      <c r="Y131" s="16"/>
      <c r="Z131" s="16"/>
      <c r="AA131" s="16"/>
      <c r="AB131" s="16"/>
      <c r="AC131" s="16"/>
      <c r="AD131" s="55"/>
      <c r="AE131" s="56"/>
      <c r="AF131" s="57"/>
      <c r="AG131" s="57"/>
      <c r="AH131" s="57"/>
      <c r="AI131" s="57"/>
      <c r="AJ131" s="58"/>
      <c r="AK131" s="58"/>
      <c r="AL131" s="58"/>
      <c r="AM131" s="59"/>
      <c r="AN131" s="60"/>
      <c r="AO131" s="16"/>
      <c r="AP131" s="16"/>
      <c r="AQ131" s="61"/>
    </row>
    <row r="132" ht="13.5" customHeight="1">
      <c r="A132" s="44"/>
      <c r="B132" s="49" t="s">
        <v>8</v>
      </c>
      <c r="C132" s="50">
        <v>0.0</v>
      </c>
      <c r="D132" s="51" t="s">
        <v>9</v>
      </c>
      <c r="E132" s="50">
        <v>60.0</v>
      </c>
      <c r="F132" s="52"/>
      <c r="G132" s="53"/>
      <c r="H132" s="53"/>
      <c r="I132" s="53"/>
      <c r="J132" s="53"/>
      <c r="K132" s="53"/>
      <c r="L132" s="53"/>
      <c r="M132" s="53"/>
      <c r="N132" s="53"/>
      <c r="O132" s="54"/>
      <c r="P132" s="48"/>
      <c r="Q132" s="16"/>
      <c r="R132" s="16"/>
      <c r="S132" s="16"/>
      <c r="T132" s="16"/>
      <c r="U132" s="16"/>
      <c r="V132" s="16"/>
      <c r="W132" s="16"/>
      <c r="X132" s="16"/>
      <c r="Y132" s="16"/>
      <c r="Z132" s="16"/>
      <c r="AA132" s="16"/>
      <c r="AB132" s="16"/>
      <c r="AC132" s="16"/>
      <c r="AD132" s="55"/>
      <c r="AE132" s="56"/>
      <c r="AF132" s="57"/>
      <c r="AG132" s="57"/>
      <c r="AH132" s="57"/>
      <c r="AI132" s="57"/>
      <c r="AJ132" s="58"/>
      <c r="AK132" s="58"/>
      <c r="AL132" s="58"/>
      <c r="AM132" s="59"/>
      <c r="AN132" s="60"/>
      <c r="AO132" s="16"/>
      <c r="AP132" s="16"/>
      <c r="AQ132" s="61"/>
    </row>
    <row r="133" ht="13.5" customHeight="1">
      <c r="A133" s="44"/>
      <c r="B133" s="62" t="s">
        <v>10</v>
      </c>
      <c r="C133" s="63">
        <v>0.1</v>
      </c>
      <c r="D133" s="64"/>
      <c r="E133" s="65"/>
      <c r="F133" s="66"/>
      <c r="G133" s="67"/>
      <c r="H133" s="68" t="s">
        <v>11</v>
      </c>
      <c r="I133" s="69"/>
      <c r="J133" s="70"/>
      <c r="K133" s="66"/>
      <c r="L133" s="66"/>
      <c r="M133" s="66"/>
      <c r="N133" s="66"/>
      <c r="O133" s="71"/>
      <c r="P133" s="48"/>
      <c r="Q133" s="16"/>
      <c r="R133" s="16"/>
      <c r="S133" s="16"/>
      <c r="T133" s="16"/>
      <c r="U133" s="16"/>
      <c r="V133" s="16"/>
      <c r="W133" s="16"/>
      <c r="X133" s="16"/>
      <c r="Y133" s="16"/>
      <c r="Z133" s="16"/>
      <c r="AA133" s="16"/>
      <c r="AB133" s="16"/>
      <c r="AC133" s="16"/>
      <c r="AD133" s="55"/>
      <c r="AE133" s="56"/>
      <c r="AF133" s="57"/>
      <c r="AG133" s="57"/>
      <c r="AH133" s="57"/>
      <c r="AI133" s="57"/>
      <c r="AJ133" s="58"/>
      <c r="AK133" s="58"/>
      <c r="AL133" s="58"/>
      <c r="AM133" s="59"/>
      <c r="AN133" s="60"/>
      <c r="AO133" s="16"/>
      <c r="AP133" s="16"/>
      <c r="AQ133" s="61"/>
    </row>
    <row r="134" ht="13.5" customHeight="1">
      <c r="A134" s="44"/>
      <c r="B134" s="72" t="s">
        <v>12</v>
      </c>
      <c r="C134" s="73" t="s">
        <v>45</v>
      </c>
      <c r="D134" s="74" t="s">
        <v>14</v>
      </c>
      <c r="E134" s="75">
        <f t="array" ref="E134">MAX(Q140:Q144)</f>
        <v>0</v>
      </c>
      <c r="F134" s="76" t="str">
        <f t="array" ref="F134">C134</f>
        <v>µA</v>
      </c>
      <c r="G134" s="67"/>
      <c r="H134" s="68" t="s">
        <v>15</v>
      </c>
      <c r="I134" s="77" t="s">
        <v>16</v>
      </c>
      <c r="J134" s="78"/>
      <c r="K134" s="79"/>
      <c r="L134" s="66"/>
      <c r="M134" s="66"/>
      <c r="N134" s="66"/>
      <c r="O134" s="71"/>
      <c r="P134" s="48"/>
      <c r="Q134" s="16"/>
      <c r="R134" s="16"/>
      <c r="S134" s="16"/>
      <c r="T134" s="16"/>
      <c r="U134" s="16"/>
      <c r="V134" s="16"/>
      <c r="W134" s="16"/>
      <c r="X134" s="16"/>
      <c r="Y134" s="16"/>
      <c r="Z134" s="16"/>
      <c r="AA134" s="16"/>
      <c r="AB134" s="16"/>
      <c r="AC134" s="16"/>
      <c r="AD134" s="55"/>
      <c r="AE134" s="56"/>
      <c r="AF134" s="57"/>
      <c r="AG134" s="57"/>
      <c r="AH134" s="57"/>
      <c r="AI134" s="57"/>
      <c r="AJ134" s="58"/>
      <c r="AK134" s="58"/>
      <c r="AL134" s="58"/>
      <c r="AM134" s="59"/>
      <c r="AN134" s="60"/>
      <c r="AO134" s="16"/>
      <c r="AP134" s="16"/>
      <c r="AQ134" s="61"/>
    </row>
    <row r="135" ht="12.75" customHeight="1">
      <c r="A135" s="44"/>
      <c r="B135" s="80"/>
      <c r="C135" s="65"/>
      <c r="D135" s="76" t="s">
        <v>17</v>
      </c>
      <c r="E135" s="81">
        <f t="array" ref="E135">MAX(O140:O144)</f>
        <v>0.06885976087</v>
      </c>
      <c r="F135" s="76" t="str">
        <f t="array" ref="F135">C134</f>
        <v>µA</v>
      </c>
      <c r="G135" s="67"/>
      <c r="H135" s="82"/>
      <c r="I135" s="68" t="s">
        <v>18</v>
      </c>
      <c r="J135" s="82"/>
      <c r="K135" s="79"/>
      <c r="L135" s="66"/>
      <c r="M135" s="66"/>
      <c r="N135" s="66"/>
      <c r="O135" s="71"/>
      <c r="P135" s="48"/>
      <c r="Q135" s="16"/>
      <c r="R135" s="16"/>
      <c r="S135" s="16"/>
      <c r="T135" s="16"/>
      <c r="U135" s="16"/>
      <c r="V135" s="16"/>
      <c r="W135" s="16"/>
      <c r="X135" s="16"/>
      <c r="Y135" s="16"/>
      <c r="Z135" s="16"/>
      <c r="AA135" s="16"/>
      <c r="AB135" s="16"/>
      <c r="AC135" s="16"/>
      <c r="AD135" s="55"/>
      <c r="AE135" s="56"/>
      <c r="AF135" s="57"/>
      <c r="AG135" s="57"/>
      <c r="AH135" s="57"/>
      <c r="AI135" s="57"/>
      <c r="AJ135" s="58"/>
      <c r="AK135" s="58"/>
      <c r="AL135" s="58"/>
      <c r="AM135" s="59"/>
      <c r="AN135" s="60"/>
      <c r="AO135" s="16"/>
      <c r="AP135" s="16"/>
      <c r="AQ135" s="61"/>
    </row>
    <row r="136" ht="12.75" customHeight="1">
      <c r="A136" s="44"/>
      <c r="B136" s="83"/>
      <c r="C136" s="66"/>
      <c r="D136" s="66"/>
      <c r="E136" s="66"/>
      <c r="F136" s="66"/>
      <c r="G136" s="67"/>
      <c r="H136" s="82"/>
      <c r="I136" s="68" t="s">
        <v>19</v>
      </c>
      <c r="J136" s="82"/>
      <c r="K136" s="79"/>
      <c r="L136" s="66"/>
      <c r="M136" s="66"/>
      <c r="N136" s="66"/>
      <c r="O136" s="84"/>
      <c r="P136" s="48"/>
      <c r="Q136" s="16"/>
      <c r="R136" s="16"/>
      <c r="S136" s="16"/>
      <c r="T136" s="16"/>
      <c r="U136" s="16"/>
      <c r="V136" s="16"/>
      <c r="W136" s="16"/>
      <c r="X136" s="16"/>
      <c r="Y136" s="16"/>
      <c r="Z136" s="16"/>
      <c r="AA136" s="16"/>
      <c r="AB136" s="16"/>
      <c r="AC136" s="16"/>
      <c r="AD136" s="55"/>
      <c r="AE136" s="56"/>
      <c r="AF136" s="57"/>
      <c r="AG136" s="57"/>
      <c r="AH136" s="57"/>
      <c r="AI136" s="57"/>
      <c r="AJ136" s="58"/>
      <c r="AK136" s="58"/>
      <c r="AL136" s="58"/>
      <c r="AM136" s="59"/>
      <c r="AN136" s="60"/>
      <c r="AO136" s="16"/>
      <c r="AP136" s="16"/>
      <c r="AQ136" s="61"/>
    </row>
    <row r="137" ht="12.75" customHeight="1">
      <c r="A137" s="44"/>
      <c r="B137" s="85" t="s">
        <v>20</v>
      </c>
      <c r="C137" s="69"/>
      <c r="D137" s="70"/>
      <c r="E137" s="70"/>
      <c r="F137" s="70"/>
      <c r="G137" s="86"/>
      <c r="H137" s="87" t="s">
        <v>21</v>
      </c>
      <c r="I137" s="88">
        <v>5502.0</v>
      </c>
      <c r="J137" s="88"/>
      <c r="K137" s="69"/>
      <c r="L137" s="70"/>
      <c r="M137" s="70"/>
      <c r="N137" s="86"/>
      <c r="O137" s="89" t="s">
        <v>22</v>
      </c>
      <c r="P137" s="48"/>
      <c r="Q137" s="16"/>
      <c r="R137" s="16"/>
      <c r="S137" s="16"/>
      <c r="T137" s="16"/>
      <c r="U137" s="16"/>
      <c r="V137" s="16"/>
      <c r="W137" s="16"/>
      <c r="X137" s="16"/>
      <c r="Y137" s="16"/>
      <c r="Z137" s="16"/>
      <c r="AA137" s="16"/>
      <c r="AB137" s="16"/>
      <c r="AC137" s="16"/>
      <c r="AD137" s="55"/>
      <c r="AE137" s="56"/>
      <c r="AF137" s="57"/>
      <c r="AG137" s="57"/>
      <c r="AH137" s="57"/>
      <c r="AI137" s="57"/>
      <c r="AJ137" s="58"/>
      <c r="AK137" s="58"/>
      <c r="AL137" s="58"/>
      <c r="AM137" s="59"/>
      <c r="AN137" s="60"/>
      <c r="AO137" s="16"/>
      <c r="AP137" s="16"/>
      <c r="AQ137" s="61"/>
    </row>
    <row r="138" ht="12.75" customHeight="1">
      <c r="A138" s="44"/>
      <c r="B138" s="90" t="s">
        <v>23</v>
      </c>
      <c r="C138" s="77" t="s">
        <v>24</v>
      </c>
      <c r="D138" s="77" t="s">
        <v>25</v>
      </c>
      <c r="E138" s="77" t="s">
        <v>26</v>
      </c>
      <c r="F138" s="77" t="s">
        <v>27</v>
      </c>
      <c r="G138" s="77" t="s">
        <v>28</v>
      </c>
      <c r="H138" s="77" t="s">
        <v>29</v>
      </c>
      <c r="I138" s="77" t="s">
        <v>30</v>
      </c>
      <c r="J138" s="77" t="s">
        <v>31</v>
      </c>
      <c r="K138" s="77" t="s">
        <v>32</v>
      </c>
      <c r="L138" s="77" t="s">
        <v>33</v>
      </c>
      <c r="M138" s="77" t="s">
        <v>34</v>
      </c>
      <c r="N138" s="91"/>
      <c r="O138" s="92" t="s">
        <v>35</v>
      </c>
      <c r="P138" s="48"/>
      <c r="Q138" s="16"/>
      <c r="R138" s="16"/>
      <c r="S138" s="16"/>
      <c r="T138" s="16"/>
      <c r="U138" s="16"/>
      <c r="V138" s="16"/>
      <c r="W138" s="16"/>
      <c r="X138" s="16"/>
      <c r="Y138" s="16"/>
      <c r="Z138" s="16"/>
      <c r="AA138" s="16"/>
      <c r="AB138" s="16"/>
      <c r="AC138" s="16"/>
      <c r="AD138" s="55"/>
      <c r="AE138" s="56"/>
      <c r="AF138" s="57"/>
      <c r="AG138" s="57"/>
      <c r="AH138" s="57"/>
      <c r="AI138" s="57"/>
      <c r="AJ138" s="58"/>
      <c r="AK138" s="58"/>
      <c r="AL138" s="58"/>
      <c r="AM138" s="59"/>
      <c r="AN138" s="60"/>
      <c r="AO138" s="16"/>
      <c r="AP138" s="16"/>
      <c r="AQ138" s="61"/>
    </row>
    <row r="139" ht="12.75" customHeight="1">
      <c r="A139" s="44"/>
      <c r="B139" s="93" t="str">
        <f t="array" ref="B139">C134</f>
        <v>µA</v>
      </c>
      <c r="C139" s="87" t="str">
        <f t="array" ref="C139">$B139</f>
        <v>µA</v>
      </c>
      <c r="D139" s="87" t="str">
        <f t="array" ref="D139">$B139</f>
        <v>µA</v>
      </c>
      <c r="E139" s="87" t="str">
        <f t="array" ref="E139">$B139</f>
        <v>µA</v>
      </c>
      <c r="F139" s="87" t="str">
        <f t="array" ref="F139">$B139</f>
        <v>µA</v>
      </c>
      <c r="G139" s="87" t="str">
        <f t="array" ref="G139">$B139</f>
        <v>µA</v>
      </c>
      <c r="H139" s="87" t="str">
        <f t="array" ref="H139">$B139</f>
        <v>µA</v>
      </c>
      <c r="I139" s="87" t="str">
        <f t="array" ref="I139">$B139</f>
        <v>µA</v>
      </c>
      <c r="J139" s="87" t="str">
        <f t="array" ref="J139">$B139</f>
        <v>µA</v>
      </c>
      <c r="K139" s="87" t="str">
        <f t="array" ref="K139">$B139</f>
        <v>µA</v>
      </c>
      <c r="L139" s="87" t="str">
        <f t="array" ref="L139">$B139</f>
        <v>µA</v>
      </c>
      <c r="M139" s="94" t="s">
        <v>36</v>
      </c>
      <c r="N139" s="87" t="s">
        <v>37</v>
      </c>
      <c r="O139" s="95" t="str">
        <f t="array" ref="O139">$B139</f>
        <v>µA</v>
      </c>
      <c r="P139" s="48"/>
      <c r="Q139" s="96" t="s">
        <v>38</v>
      </c>
      <c r="R139" s="96" t="s">
        <v>39</v>
      </c>
      <c r="S139" s="96" t="s">
        <v>40</v>
      </c>
      <c r="T139" s="97" t="s">
        <v>41</v>
      </c>
      <c r="U139" s="16"/>
      <c r="V139" s="16"/>
      <c r="W139" s="16"/>
      <c r="X139" s="16"/>
      <c r="Y139" s="16"/>
      <c r="Z139" s="16"/>
      <c r="AA139" s="16"/>
      <c r="AB139" s="16"/>
      <c r="AC139" s="16"/>
      <c r="AD139" s="55"/>
      <c r="AE139" s="56"/>
      <c r="AF139" s="57"/>
      <c r="AG139" s="57"/>
      <c r="AH139" s="57"/>
      <c r="AI139" s="57"/>
      <c r="AJ139" s="58"/>
      <c r="AK139" s="58"/>
      <c r="AL139" s="58"/>
      <c r="AM139" s="59"/>
      <c r="AN139" s="60"/>
      <c r="AO139" s="16"/>
      <c r="AP139" s="16"/>
      <c r="AQ139" s="61"/>
    </row>
    <row r="140" ht="12.75" customHeight="1">
      <c r="A140" s="98"/>
      <c r="B140" s="99">
        <v>6.0</v>
      </c>
      <c r="C140" s="130">
        <v>6.0</v>
      </c>
      <c r="D140" s="131">
        <v>6.0</v>
      </c>
      <c r="E140" s="131">
        <v>6.0</v>
      </c>
      <c r="F140" s="131">
        <v>6.0</v>
      </c>
      <c r="G140" s="132">
        <v>6.0</v>
      </c>
      <c r="H140" s="103">
        <f t="array" ref="H140">STDEV(C140:G140)*1.4</f>
        <v>0</v>
      </c>
      <c r="I140" s="104">
        <f t="array" ref="I140">0.065/2</f>
        <v>0.0325</v>
      </c>
      <c r="J140" s="103">
        <f t="array" ref="J140">I140/SQRT(3)</f>
        <v>0.01876388375</v>
      </c>
      <c r="K140" s="103">
        <f t="array" ref="K140">(C$133)/SQRT(12)</f>
        <v>0.02886751346</v>
      </c>
      <c r="L140" s="105">
        <f t="array" ref="L140">SQRT(H140^2+J140^2+(K140)^2)</f>
        <v>0.03442988043</v>
      </c>
      <c r="M140" s="91" t="str">
        <f t="array" ref="M140">IF(ISERROR((L140^4)/(H140^4/4))=TRUE,"∞",((L140^4)/(H140^4/4)))</f>
        <v>∞</v>
      </c>
      <c r="N140" s="91">
        <f t="array" ref="N140">IF(ISERROR(TINV(0.05,M140))=TRUE,2,TINV(0.05,M140))</f>
        <v>2</v>
      </c>
      <c r="O140" s="106">
        <f t="array" ref="O140">L140*N140</f>
        <v>0.06885976087</v>
      </c>
      <c r="P140" s="48"/>
      <c r="Q140" s="107">
        <f t="array" ref="Q140">AVERAGE(C140:G140)-B140</f>
        <v>0</v>
      </c>
      <c r="R140" s="107">
        <f t="array" ref="R140">Q140+O140</f>
        <v>0.06885976087</v>
      </c>
      <c r="S140" s="107">
        <f t="array" ref="S140">Q140-O140</f>
        <v>-0.06885976087</v>
      </c>
      <c r="T140" s="107">
        <f t="array" ref="T140">ABS(Q140)</f>
        <v>0</v>
      </c>
      <c r="U140" s="16"/>
      <c r="V140" s="16"/>
      <c r="W140" s="16"/>
      <c r="X140" s="16"/>
      <c r="Y140" s="16"/>
      <c r="Z140" s="16"/>
      <c r="AA140" s="16"/>
      <c r="AB140" s="16"/>
      <c r="AC140" s="16"/>
      <c r="AD140" s="55"/>
      <c r="AE140" s="56"/>
      <c r="AF140" s="57"/>
      <c r="AG140" s="57"/>
      <c r="AH140" s="57"/>
      <c r="AI140" s="57"/>
      <c r="AJ140" s="58"/>
      <c r="AK140" s="58"/>
      <c r="AL140" s="58"/>
      <c r="AM140" s="59"/>
      <c r="AN140" s="60"/>
      <c r="AO140" s="16"/>
      <c r="AP140" s="16"/>
      <c r="AQ140" s="61"/>
    </row>
    <row r="141" ht="12.75" customHeight="1">
      <c r="A141" s="98"/>
      <c r="B141" s="108">
        <v>15.0</v>
      </c>
      <c r="C141" s="133">
        <v>15.0</v>
      </c>
      <c r="D141" s="134">
        <v>15.0</v>
      </c>
      <c r="E141" s="134">
        <v>15.0</v>
      </c>
      <c r="F141" s="134">
        <v>15.0</v>
      </c>
      <c r="G141" s="135">
        <v>15.0</v>
      </c>
      <c r="H141" s="112">
        <f t="array" ref="H141">STDEV(C141:G141)*1.4</f>
        <v>0</v>
      </c>
      <c r="I141" s="104">
        <f t="array" ref="I141">0.065/2</f>
        <v>0.0325</v>
      </c>
      <c r="J141" s="112">
        <f t="array" ref="J141">I141/SQRT(3)</f>
        <v>0.01876388375</v>
      </c>
      <c r="K141" s="112">
        <f t="array" ref="K141">(C$133)/SQRT(12)</f>
        <v>0.02886751346</v>
      </c>
      <c r="L141" s="113">
        <f t="array" ref="L141">SQRT(H141^2+J141^2+(K141)^2)</f>
        <v>0.03442988043</v>
      </c>
      <c r="M141" s="114" t="str">
        <f t="array" ref="M141">IF(ISERROR((L141^4)/(H141^4/4))=TRUE,"∞",((L141^4)/(H141^4/4)))</f>
        <v>∞</v>
      </c>
      <c r="N141" s="114">
        <f t="array" ref="N141">IF(ISERROR(TINV(0.05,M141))=TRUE,2,TINV(0.05,M141))</f>
        <v>2</v>
      </c>
      <c r="O141" s="115">
        <f t="array" ref="O141">L141*N141</f>
        <v>0.06885976087</v>
      </c>
      <c r="P141" s="48"/>
      <c r="Q141" s="107">
        <f t="array" ref="Q141">AVERAGE(C141:G141)-B141</f>
        <v>0</v>
      </c>
      <c r="R141" s="107">
        <f t="array" ref="R141">Q141+O141</f>
        <v>0.06885976087</v>
      </c>
      <c r="S141" s="107">
        <f t="array" ref="S141">Q141-O141</f>
        <v>-0.06885976087</v>
      </c>
      <c r="T141" s="107">
        <f t="array" ref="T141">ABS(Q141)</f>
        <v>0</v>
      </c>
      <c r="U141" s="16"/>
      <c r="V141" s="16"/>
      <c r="W141" s="16"/>
      <c r="X141" s="16"/>
      <c r="Y141" s="16"/>
      <c r="Z141" s="16"/>
      <c r="AA141" s="16"/>
      <c r="AB141" s="16"/>
      <c r="AC141" s="16"/>
      <c r="AD141" s="55"/>
      <c r="AE141" s="56"/>
      <c r="AF141" s="57"/>
      <c r="AG141" s="57"/>
      <c r="AH141" s="57"/>
      <c r="AI141" s="57"/>
      <c r="AJ141" s="58"/>
      <c r="AK141" s="58"/>
      <c r="AL141" s="58"/>
      <c r="AM141" s="59"/>
      <c r="AN141" s="60"/>
      <c r="AO141" s="16"/>
      <c r="AP141" s="16"/>
      <c r="AQ141" s="61"/>
    </row>
    <row r="142" ht="12.75" customHeight="1">
      <c r="A142" s="98"/>
      <c r="B142" s="108">
        <v>30.0</v>
      </c>
      <c r="C142" s="133">
        <v>30.0</v>
      </c>
      <c r="D142" s="134">
        <v>30.0</v>
      </c>
      <c r="E142" s="134">
        <v>30.0</v>
      </c>
      <c r="F142" s="134">
        <v>30.0</v>
      </c>
      <c r="G142" s="135">
        <v>30.0</v>
      </c>
      <c r="H142" s="112">
        <f t="array" ref="H142">STDEV(C142:G142)*1.4</f>
        <v>0</v>
      </c>
      <c r="I142" s="104">
        <f t="array" ref="I142">0.065/2</f>
        <v>0.0325</v>
      </c>
      <c r="J142" s="112">
        <f t="array" ref="J142">I142/SQRT(3)</f>
        <v>0.01876388375</v>
      </c>
      <c r="K142" s="112">
        <f t="array" ref="K142">(C$133)/SQRT(12)</f>
        <v>0.02886751346</v>
      </c>
      <c r="L142" s="113">
        <f t="array" ref="L142">SQRT(H142^2+J142^2+(K142)^2)</f>
        <v>0.03442988043</v>
      </c>
      <c r="M142" s="114" t="str">
        <f t="array" ref="M142">IF(ISERROR((L142^4)/(H142^4/4))=TRUE,"∞",((L142^4)/(H142^4/4)))</f>
        <v>∞</v>
      </c>
      <c r="N142" s="114">
        <f t="array" ref="N142">IF(ISERROR(TINV(0.05,M142))=TRUE,2,TINV(0.05,M142))</f>
        <v>2</v>
      </c>
      <c r="O142" s="115">
        <f t="array" ref="O142">L142*N142</f>
        <v>0.06885976087</v>
      </c>
      <c r="P142" s="48"/>
      <c r="Q142" s="107">
        <f t="array" ref="Q142">AVERAGE(C142:G142)-B142</f>
        <v>0</v>
      </c>
      <c r="R142" s="107">
        <f t="array" ref="R142">Q142+O142</f>
        <v>0.06885976087</v>
      </c>
      <c r="S142" s="107">
        <f t="array" ref="S142">Q142-O142</f>
        <v>-0.06885976087</v>
      </c>
      <c r="T142" s="107">
        <f t="array" ref="T142">ABS(Q142)</f>
        <v>0</v>
      </c>
      <c r="U142" s="16"/>
      <c r="V142" s="16"/>
      <c r="W142" s="16"/>
      <c r="X142" s="16"/>
      <c r="Y142" s="16"/>
      <c r="Z142" s="16"/>
      <c r="AA142" s="16"/>
      <c r="AB142" s="16"/>
      <c r="AC142" s="16"/>
      <c r="AD142" s="55"/>
      <c r="AE142" s="56"/>
      <c r="AF142" s="57"/>
      <c r="AG142" s="57"/>
      <c r="AH142" s="57"/>
      <c r="AI142" s="57"/>
      <c r="AJ142" s="58"/>
      <c r="AK142" s="58"/>
      <c r="AL142" s="58"/>
      <c r="AM142" s="59"/>
      <c r="AN142" s="60"/>
      <c r="AO142" s="16"/>
      <c r="AP142" s="16"/>
      <c r="AQ142" s="61"/>
    </row>
    <row r="143" ht="12.75" customHeight="1">
      <c r="A143" s="98"/>
      <c r="B143" s="108">
        <v>45.0</v>
      </c>
      <c r="C143" s="133">
        <v>45.0</v>
      </c>
      <c r="D143" s="134">
        <v>45.0</v>
      </c>
      <c r="E143" s="134">
        <v>45.0</v>
      </c>
      <c r="F143" s="134">
        <v>45.0</v>
      </c>
      <c r="G143" s="135">
        <v>45.0</v>
      </c>
      <c r="H143" s="112">
        <f t="array" ref="H143">STDEV(C143:G143)*1.4</f>
        <v>0</v>
      </c>
      <c r="I143" s="104">
        <f t="array" ref="I143">0.065/2</f>
        <v>0.0325</v>
      </c>
      <c r="J143" s="112">
        <f t="array" ref="J143">I143/SQRT(3)</f>
        <v>0.01876388375</v>
      </c>
      <c r="K143" s="112">
        <f t="array" ref="K143">(C$133)/SQRT(12)</f>
        <v>0.02886751346</v>
      </c>
      <c r="L143" s="113">
        <f t="array" ref="L143">SQRT(H143^2+J143^2+(K143)^2)</f>
        <v>0.03442988043</v>
      </c>
      <c r="M143" s="114" t="str">
        <f t="array" ref="M143">IF(ISERROR((L143^4)/(H143^4/4))=TRUE,"∞",((L143^4)/(H143^4/4)))</f>
        <v>∞</v>
      </c>
      <c r="N143" s="114">
        <f t="array" ref="N143">IF(ISERROR(TINV(0.05,M143))=TRUE,2,TINV(0.05,M143))</f>
        <v>2</v>
      </c>
      <c r="O143" s="115">
        <f t="array" ref="O143">L143*N143</f>
        <v>0.06885976087</v>
      </c>
      <c r="P143" s="48"/>
      <c r="Q143" s="107">
        <f t="array" ref="Q143">AVERAGE(C143:G143)-B143</f>
        <v>0</v>
      </c>
      <c r="R143" s="107">
        <f t="array" ref="R143">Q143+O143</f>
        <v>0.06885976087</v>
      </c>
      <c r="S143" s="107">
        <f t="array" ref="S143">Q143-O143</f>
        <v>-0.06885976087</v>
      </c>
      <c r="T143" s="107">
        <f t="array" ref="T143">ABS(Q143)</f>
        <v>0</v>
      </c>
      <c r="U143" s="16"/>
      <c r="V143" s="16"/>
      <c r="W143" s="16"/>
      <c r="X143" s="16"/>
      <c r="Y143" s="16"/>
      <c r="Z143" s="16"/>
      <c r="AA143" s="16"/>
      <c r="AB143" s="16"/>
      <c r="AC143" s="16"/>
      <c r="AD143" s="55"/>
      <c r="AE143" s="56"/>
      <c r="AF143" s="57"/>
      <c r="AG143" s="57"/>
      <c r="AH143" s="57"/>
      <c r="AI143" s="57"/>
      <c r="AJ143" s="58"/>
      <c r="AK143" s="58"/>
      <c r="AL143" s="58"/>
      <c r="AM143" s="59"/>
      <c r="AN143" s="60"/>
      <c r="AO143" s="16"/>
      <c r="AP143" s="16"/>
      <c r="AQ143" s="61"/>
    </row>
    <row r="144" ht="12.75" customHeight="1">
      <c r="A144" s="98"/>
      <c r="B144" s="116">
        <v>60.0</v>
      </c>
      <c r="C144" s="136">
        <v>60.0</v>
      </c>
      <c r="D144" s="137">
        <v>60.0</v>
      </c>
      <c r="E144" s="137">
        <v>60.0</v>
      </c>
      <c r="F144" s="137">
        <v>60.0</v>
      </c>
      <c r="G144" s="138">
        <v>60.0</v>
      </c>
      <c r="H144" s="120">
        <f t="array" ref="H144">STDEV(C144:G144)*1.4</f>
        <v>0</v>
      </c>
      <c r="I144" s="103">
        <f t="array" ref="I144">0.065/2</f>
        <v>0.0325</v>
      </c>
      <c r="J144" s="120">
        <f t="array" ref="J144">I144/SQRT(3)</f>
        <v>0.01876388375</v>
      </c>
      <c r="K144" s="120">
        <f t="array" ref="K144">(C$133)/SQRT(12)</f>
        <v>0.02886751346</v>
      </c>
      <c r="L144" s="121">
        <f t="array" ref="L144">SQRT(H144^2+J144^2+(K144)^2)</f>
        <v>0.03442988043</v>
      </c>
      <c r="M144" s="122" t="str">
        <f t="array" ref="M144">IF(ISERROR((L144^4)/(H144^4/4))=TRUE,"∞",((L144^4)/(H144^4/4)))</f>
        <v>∞</v>
      </c>
      <c r="N144" s="122">
        <f t="array" ref="N144">IF(ISERROR(TINV(0.05,M144))=TRUE,2,TINV(0.05,M144))</f>
        <v>2</v>
      </c>
      <c r="O144" s="123">
        <f t="array" ref="O144">L144*N144</f>
        <v>0.06885976087</v>
      </c>
      <c r="P144" s="48"/>
      <c r="Q144" s="107">
        <f t="array" ref="Q144">AVERAGE(C144:G144)-B144</f>
        <v>0</v>
      </c>
      <c r="R144" s="107">
        <f t="array" ref="R144">Q144+O144</f>
        <v>0.06885976087</v>
      </c>
      <c r="S144" s="107">
        <f t="array" ref="S144">Q144-O144</f>
        <v>-0.06885976087</v>
      </c>
      <c r="T144" s="107">
        <f t="array" ref="T144">ABS(Q144)</f>
        <v>0</v>
      </c>
      <c r="U144" s="16"/>
      <c r="V144" s="16"/>
      <c r="W144" s="16"/>
      <c r="X144" s="16"/>
      <c r="Y144" s="16"/>
      <c r="Z144" s="16"/>
      <c r="AA144" s="16"/>
      <c r="AB144" s="16"/>
      <c r="AC144" s="16"/>
      <c r="AD144" s="55"/>
      <c r="AE144" s="56"/>
      <c r="AF144" s="57"/>
      <c r="AG144" s="57"/>
      <c r="AH144" s="57"/>
      <c r="AI144" s="57"/>
      <c r="AJ144" s="58"/>
      <c r="AK144" s="58"/>
      <c r="AL144" s="58"/>
      <c r="AM144" s="59"/>
      <c r="AN144" s="60"/>
      <c r="AO144" s="16"/>
      <c r="AP144" s="16"/>
      <c r="AQ144" s="61"/>
    </row>
    <row r="145" ht="13.5" customHeight="1">
      <c r="A145" s="15"/>
      <c r="B145" s="124"/>
      <c r="C145" s="124"/>
      <c r="D145" s="124"/>
      <c r="E145" s="124"/>
      <c r="F145" s="124"/>
      <c r="G145" s="124"/>
      <c r="H145" s="125"/>
      <c r="I145" s="126"/>
      <c r="J145" s="125"/>
      <c r="K145" s="125"/>
      <c r="L145" s="127"/>
      <c r="M145" s="128"/>
      <c r="N145" s="128"/>
      <c r="O145" s="129"/>
      <c r="P145" s="48"/>
      <c r="Q145" s="107"/>
      <c r="R145" s="107"/>
      <c r="S145" s="107"/>
      <c r="T145" s="107"/>
      <c r="U145" s="16"/>
      <c r="V145" s="16"/>
      <c r="W145" s="16"/>
      <c r="X145" s="16"/>
      <c r="Y145" s="16"/>
      <c r="Z145" s="16"/>
      <c r="AA145" s="16"/>
      <c r="AB145" s="16"/>
      <c r="AC145" s="16"/>
      <c r="AD145" s="55"/>
      <c r="AE145" s="56"/>
      <c r="AF145" s="57"/>
      <c r="AG145" s="57"/>
      <c r="AH145" s="57"/>
      <c r="AI145" s="57"/>
      <c r="AJ145" s="58"/>
      <c r="AK145" s="58"/>
      <c r="AL145" s="58"/>
      <c r="AM145" s="59"/>
      <c r="AN145" s="60"/>
      <c r="AO145" s="16"/>
      <c r="AP145" s="16"/>
      <c r="AQ145" s="61"/>
    </row>
    <row r="146" ht="27.0" customHeight="1">
      <c r="A146" s="44"/>
      <c r="B146" s="45" t="s">
        <v>44</v>
      </c>
      <c r="C146" s="46"/>
      <c r="D146" s="46"/>
      <c r="E146" s="46"/>
      <c r="F146" s="46"/>
      <c r="G146" s="46"/>
      <c r="H146" s="46"/>
      <c r="I146" s="46"/>
      <c r="J146" s="46"/>
      <c r="K146" s="46"/>
      <c r="L146" s="46"/>
      <c r="M146" s="46"/>
      <c r="N146" s="46"/>
      <c r="O146" s="47"/>
      <c r="P146" s="48"/>
      <c r="Q146" s="16"/>
      <c r="R146" s="16"/>
      <c r="S146" s="16"/>
      <c r="T146" s="16"/>
      <c r="U146" s="16"/>
      <c r="V146" s="16"/>
      <c r="W146" s="16"/>
      <c r="X146" s="16"/>
      <c r="Y146" s="16"/>
      <c r="Z146" s="16"/>
      <c r="AA146" s="16"/>
      <c r="AB146" s="16"/>
      <c r="AC146" s="16"/>
      <c r="AD146" s="55"/>
      <c r="AE146" s="56"/>
      <c r="AF146" s="57"/>
      <c r="AG146" s="57"/>
      <c r="AH146" s="57"/>
      <c r="AI146" s="57"/>
      <c r="AJ146" s="58"/>
      <c r="AK146" s="58"/>
      <c r="AL146" s="58"/>
      <c r="AM146" s="59"/>
      <c r="AN146" s="60"/>
      <c r="AO146" s="16"/>
      <c r="AP146" s="16"/>
      <c r="AQ146" s="61"/>
    </row>
    <row r="147" ht="13.5" customHeight="1">
      <c r="A147" s="44"/>
      <c r="B147" s="49" t="s">
        <v>8</v>
      </c>
      <c r="C147" s="50">
        <v>0.0</v>
      </c>
      <c r="D147" s="51" t="s">
        <v>9</v>
      </c>
      <c r="E147" s="50">
        <v>600.0</v>
      </c>
      <c r="F147" s="52"/>
      <c r="G147" s="53"/>
      <c r="H147" s="53"/>
      <c r="I147" s="53"/>
      <c r="J147" s="53"/>
      <c r="K147" s="53"/>
      <c r="L147" s="53"/>
      <c r="M147" s="53"/>
      <c r="N147" s="53"/>
      <c r="O147" s="54"/>
      <c r="P147" s="48"/>
      <c r="Q147" s="16"/>
      <c r="R147" s="16"/>
      <c r="S147" s="16"/>
      <c r="T147" s="16"/>
      <c r="U147" s="16"/>
      <c r="V147" s="16"/>
      <c r="W147" s="16"/>
      <c r="X147" s="16"/>
      <c r="Y147" s="16"/>
      <c r="Z147" s="16"/>
      <c r="AA147" s="16"/>
      <c r="AB147" s="16"/>
      <c r="AC147" s="16"/>
      <c r="AD147" s="55"/>
      <c r="AE147" s="56"/>
      <c r="AF147" s="57"/>
      <c r="AG147" s="57"/>
      <c r="AH147" s="57"/>
      <c r="AI147" s="57"/>
      <c r="AJ147" s="58"/>
      <c r="AK147" s="58"/>
      <c r="AL147" s="58"/>
      <c r="AM147" s="59"/>
      <c r="AN147" s="60"/>
      <c r="AO147" s="16"/>
      <c r="AP147" s="16"/>
      <c r="AQ147" s="61"/>
    </row>
    <row r="148" ht="13.5" customHeight="1">
      <c r="A148" s="44"/>
      <c r="B148" s="62" t="s">
        <v>10</v>
      </c>
      <c r="C148" s="63">
        <v>0.1</v>
      </c>
      <c r="D148" s="64"/>
      <c r="E148" s="65"/>
      <c r="F148" s="66"/>
      <c r="G148" s="67"/>
      <c r="H148" s="68" t="s">
        <v>11</v>
      </c>
      <c r="I148" s="69"/>
      <c r="J148" s="70"/>
      <c r="K148" s="66"/>
      <c r="L148" s="66"/>
      <c r="M148" s="66"/>
      <c r="N148" s="66"/>
      <c r="O148" s="71"/>
      <c r="P148" s="48"/>
      <c r="Q148" s="16"/>
      <c r="R148" s="16"/>
      <c r="S148" s="16"/>
      <c r="T148" s="16"/>
      <c r="U148" s="16"/>
      <c r="V148" s="16"/>
      <c r="W148" s="16"/>
      <c r="X148" s="16"/>
      <c r="Y148" s="16"/>
      <c r="Z148" s="16"/>
      <c r="AA148" s="16"/>
      <c r="AB148" s="16"/>
      <c r="AC148" s="16"/>
      <c r="AD148" s="55"/>
      <c r="AE148" s="56"/>
      <c r="AF148" s="57"/>
      <c r="AG148" s="57"/>
      <c r="AH148" s="57"/>
      <c r="AI148" s="57"/>
      <c r="AJ148" s="58"/>
      <c r="AK148" s="58"/>
      <c r="AL148" s="58"/>
      <c r="AM148" s="59"/>
      <c r="AN148" s="60"/>
      <c r="AO148" s="16"/>
      <c r="AP148" s="16"/>
      <c r="AQ148" s="61"/>
    </row>
    <row r="149" ht="13.5" customHeight="1">
      <c r="A149" s="44"/>
      <c r="B149" s="72" t="s">
        <v>12</v>
      </c>
      <c r="C149" s="73" t="s">
        <v>46</v>
      </c>
      <c r="D149" s="74" t="s">
        <v>14</v>
      </c>
      <c r="E149" s="75">
        <f t="array" ref="E149">MAX(Q155:Q159)</f>
        <v>0.1</v>
      </c>
      <c r="F149" s="76" t="str">
        <f t="array" ref="F149">C149</f>
        <v>µA</v>
      </c>
      <c r="G149" s="67"/>
      <c r="H149" s="68" t="s">
        <v>15</v>
      </c>
      <c r="I149" s="77" t="s">
        <v>16</v>
      </c>
      <c r="J149" s="78"/>
      <c r="K149" s="79"/>
      <c r="L149" s="66"/>
      <c r="M149" s="66"/>
      <c r="N149" s="66"/>
      <c r="O149" s="71"/>
      <c r="P149" s="48"/>
      <c r="Q149" s="16"/>
      <c r="R149" s="16"/>
      <c r="S149" s="16"/>
      <c r="T149" s="16"/>
      <c r="U149" s="16"/>
      <c r="V149" s="16"/>
      <c r="W149" s="16"/>
      <c r="X149" s="16"/>
      <c r="Y149" s="16"/>
      <c r="Z149" s="16"/>
      <c r="AA149" s="16"/>
      <c r="AB149" s="16"/>
      <c r="AC149" s="16"/>
      <c r="AD149" s="55"/>
      <c r="AE149" s="56"/>
      <c r="AF149" s="57"/>
      <c r="AG149" s="57"/>
      <c r="AH149" s="57"/>
      <c r="AI149" s="57"/>
      <c r="AJ149" s="58"/>
      <c r="AK149" s="58"/>
      <c r="AL149" s="58"/>
      <c r="AM149" s="59"/>
      <c r="AN149" s="60"/>
      <c r="AO149" s="16"/>
      <c r="AP149" s="16"/>
      <c r="AQ149" s="61"/>
    </row>
    <row r="150" ht="12.75" customHeight="1">
      <c r="A150" s="44"/>
      <c r="B150" s="80"/>
      <c r="C150" s="65"/>
      <c r="D150" s="76" t="s">
        <v>17</v>
      </c>
      <c r="E150" s="81">
        <f t="array" ref="E150">MAX(O155:O159)</f>
        <v>0.06885976087</v>
      </c>
      <c r="F150" s="76" t="str">
        <f t="array" ref="F150">C149</f>
        <v>µA</v>
      </c>
      <c r="G150" s="67"/>
      <c r="H150" s="82"/>
      <c r="I150" s="68" t="s">
        <v>18</v>
      </c>
      <c r="J150" s="82"/>
      <c r="K150" s="79"/>
      <c r="L150" s="66"/>
      <c r="M150" s="66"/>
      <c r="N150" s="66"/>
      <c r="O150" s="71"/>
      <c r="P150" s="48"/>
      <c r="Q150" s="16"/>
      <c r="R150" s="16"/>
      <c r="S150" s="16"/>
      <c r="T150" s="16"/>
      <c r="U150" s="16"/>
      <c r="V150" s="16"/>
      <c r="W150" s="16"/>
      <c r="X150" s="16"/>
      <c r="Y150" s="16"/>
      <c r="Z150" s="16"/>
      <c r="AA150" s="16"/>
      <c r="AB150" s="16"/>
      <c r="AC150" s="16"/>
      <c r="AD150" s="55"/>
      <c r="AE150" s="56"/>
      <c r="AF150" s="57"/>
      <c r="AG150" s="57"/>
      <c r="AH150" s="57"/>
      <c r="AI150" s="57"/>
      <c r="AJ150" s="58"/>
      <c r="AK150" s="58"/>
      <c r="AL150" s="58"/>
      <c r="AM150" s="59"/>
      <c r="AN150" s="60"/>
      <c r="AO150" s="16"/>
      <c r="AP150" s="16"/>
      <c r="AQ150" s="61"/>
    </row>
    <row r="151" ht="12.75" customHeight="1">
      <c r="A151" s="44"/>
      <c r="B151" s="83"/>
      <c r="C151" s="66"/>
      <c r="D151" s="66"/>
      <c r="E151" s="66"/>
      <c r="F151" s="66"/>
      <c r="G151" s="67"/>
      <c r="H151" s="82"/>
      <c r="I151" s="68" t="s">
        <v>19</v>
      </c>
      <c r="J151" s="82"/>
      <c r="K151" s="79"/>
      <c r="L151" s="66"/>
      <c r="M151" s="66"/>
      <c r="N151" s="66"/>
      <c r="O151" s="84"/>
      <c r="P151" s="48"/>
      <c r="Q151" s="16"/>
      <c r="R151" s="16"/>
      <c r="S151" s="16"/>
      <c r="T151" s="16"/>
      <c r="U151" s="16"/>
      <c r="V151" s="16"/>
      <c r="W151" s="16"/>
      <c r="X151" s="16"/>
      <c r="Y151" s="16"/>
      <c r="Z151" s="16"/>
      <c r="AA151" s="16"/>
      <c r="AB151" s="16"/>
      <c r="AC151" s="16"/>
      <c r="AD151" s="55"/>
      <c r="AE151" s="56"/>
      <c r="AF151" s="57"/>
      <c r="AG151" s="57"/>
      <c r="AH151" s="57"/>
      <c r="AI151" s="57"/>
      <c r="AJ151" s="58"/>
      <c r="AK151" s="58"/>
      <c r="AL151" s="58"/>
      <c r="AM151" s="59"/>
      <c r="AN151" s="60"/>
      <c r="AO151" s="16"/>
      <c r="AP151" s="16"/>
      <c r="AQ151" s="61"/>
    </row>
    <row r="152" ht="12.75" customHeight="1">
      <c r="A152" s="44"/>
      <c r="B152" s="85" t="s">
        <v>20</v>
      </c>
      <c r="C152" s="69"/>
      <c r="D152" s="70"/>
      <c r="E152" s="70"/>
      <c r="F152" s="70"/>
      <c r="G152" s="86"/>
      <c r="H152" s="87" t="s">
        <v>21</v>
      </c>
      <c r="I152" s="88">
        <v>5502.0</v>
      </c>
      <c r="J152" s="88"/>
      <c r="K152" s="69"/>
      <c r="L152" s="70"/>
      <c r="M152" s="70"/>
      <c r="N152" s="86"/>
      <c r="O152" s="89" t="s">
        <v>22</v>
      </c>
      <c r="P152" s="48"/>
      <c r="Q152" s="16"/>
      <c r="R152" s="16"/>
      <c r="S152" s="16"/>
      <c r="T152" s="16"/>
      <c r="U152" s="16"/>
      <c r="V152" s="16"/>
      <c r="W152" s="16"/>
      <c r="X152" s="16"/>
      <c r="Y152" s="16"/>
      <c r="Z152" s="16"/>
      <c r="AA152" s="16"/>
      <c r="AB152" s="16"/>
      <c r="AC152" s="16"/>
      <c r="AD152" s="55"/>
      <c r="AE152" s="56"/>
      <c r="AF152" s="57"/>
      <c r="AG152" s="57"/>
      <c r="AH152" s="57"/>
      <c r="AI152" s="57"/>
      <c r="AJ152" s="58"/>
      <c r="AK152" s="58"/>
      <c r="AL152" s="58"/>
      <c r="AM152" s="59"/>
      <c r="AN152" s="60"/>
      <c r="AO152" s="16"/>
      <c r="AP152" s="16"/>
      <c r="AQ152" s="61"/>
    </row>
    <row r="153" ht="12.75" customHeight="1">
      <c r="A153" s="44"/>
      <c r="B153" s="90" t="s">
        <v>23</v>
      </c>
      <c r="C153" s="77" t="s">
        <v>24</v>
      </c>
      <c r="D153" s="77" t="s">
        <v>25</v>
      </c>
      <c r="E153" s="77" t="s">
        <v>26</v>
      </c>
      <c r="F153" s="77" t="s">
        <v>27</v>
      </c>
      <c r="G153" s="77" t="s">
        <v>28</v>
      </c>
      <c r="H153" s="77" t="s">
        <v>29</v>
      </c>
      <c r="I153" s="77" t="s">
        <v>30</v>
      </c>
      <c r="J153" s="77" t="s">
        <v>31</v>
      </c>
      <c r="K153" s="77" t="s">
        <v>32</v>
      </c>
      <c r="L153" s="77" t="s">
        <v>33</v>
      </c>
      <c r="M153" s="77" t="s">
        <v>34</v>
      </c>
      <c r="N153" s="91"/>
      <c r="O153" s="92" t="s">
        <v>35</v>
      </c>
      <c r="P153" s="48"/>
      <c r="Q153" s="16"/>
      <c r="R153" s="16"/>
      <c r="S153" s="16"/>
      <c r="T153" s="16"/>
      <c r="U153" s="16"/>
      <c r="V153" s="16"/>
      <c r="W153" s="16"/>
      <c r="X153" s="16"/>
      <c r="Y153" s="16"/>
      <c r="Z153" s="16"/>
      <c r="AA153" s="16"/>
      <c r="AB153" s="16"/>
      <c r="AC153" s="16"/>
      <c r="AD153" s="55"/>
      <c r="AE153" s="56"/>
      <c r="AF153" s="57"/>
      <c r="AG153" s="57"/>
      <c r="AH153" s="57"/>
      <c r="AI153" s="57"/>
      <c r="AJ153" s="58"/>
      <c r="AK153" s="58"/>
      <c r="AL153" s="58"/>
      <c r="AM153" s="59"/>
      <c r="AN153" s="60"/>
      <c r="AO153" s="16"/>
      <c r="AP153" s="16"/>
      <c r="AQ153" s="61"/>
    </row>
    <row r="154" ht="12.75" customHeight="1">
      <c r="A154" s="44"/>
      <c r="B154" s="93" t="str">
        <f t="array" ref="B154">C149</f>
        <v>µA</v>
      </c>
      <c r="C154" s="87" t="str">
        <f t="array" ref="C154">$B154</f>
        <v>µA</v>
      </c>
      <c r="D154" s="87" t="str">
        <f t="array" ref="D154">$B154</f>
        <v>µA</v>
      </c>
      <c r="E154" s="87" t="str">
        <f t="array" ref="E154">$B154</f>
        <v>µA</v>
      </c>
      <c r="F154" s="87" t="str">
        <f t="array" ref="F154">$B154</f>
        <v>µA</v>
      </c>
      <c r="G154" s="87" t="str">
        <f t="array" ref="G154">$B154</f>
        <v>µA</v>
      </c>
      <c r="H154" s="87" t="str">
        <f t="array" ref="H154">$B154</f>
        <v>µA</v>
      </c>
      <c r="I154" s="87" t="str">
        <f t="array" ref="I154">$B154</f>
        <v>µA</v>
      </c>
      <c r="J154" s="87" t="str">
        <f t="array" ref="J154">$B154</f>
        <v>µA</v>
      </c>
      <c r="K154" s="87" t="str">
        <f t="array" ref="K154">$B154</f>
        <v>µA</v>
      </c>
      <c r="L154" s="87" t="str">
        <f t="array" ref="L154">$B154</f>
        <v>µA</v>
      </c>
      <c r="M154" s="94" t="s">
        <v>36</v>
      </c>
      <c r="N154" s="87" t="s">
        <v>37</v>
      </c>
      <c r="O154" s="95" t="str">
        <f t="array" ref="O154">$B154</f>
        <v>µA</v>
      </c>
      <c r="P154" s="48"/>
      <c r="Q154" s="96" t="s">
        <v>38</v>
      </c>
      <c r="R154" s="96" t="s">
        <v>39</v>
      </c>
      <c r="S154" s="96" t="s">
        <v>40</v>
      </c>
      <c r="T154" s="97" t="s">
        <v>41</v>
      </c>
      <c r="U154" s="16"/>
      <c r="V154" s="16"/>
      <c r="W154" s="16"/>
      <c r="X154" s="16"/>
      <c r="Y154" s="16"/>
      <c r="Z154" s="16"/>
      <c r="AA154" s="16"/>
      <c r="AB154" s="16"/>
      <c r="AC154" s="16"/>
      <c r="AD154" s="55"/>
      <c r="AE154" s="56"/>
      <c r="AF154" s="57"/>
      <c r="AG154" s="57"/>
      <c r="AH154" s="57"/>
      <c r="AI154" s="57"/>
      <c r="AJ154" s="58"/>
      <c r="AK154" s="58"/>
      <c r="AL154" s="58"/>
      <c r="AM154" s="59"/>
      <c r="AN154" s="60"/>
      <c r="AO154" s="16"/>
      <c r="AP154" s="16"/>
      <c r="AQ154" s="61"/>
    </row>
    <row r="155" ht="12.75" customHeight="1">
      <c r="A155" s="98"/>
      <c r="B155" s="99">
        <v>60.0</v>
      </c>
      <c r="C155" s="139">
        <v>60.0</v>
      </c>
      <c r="D155" s="140">
        <v>60.0</v>
      </c>
      <c r="E155" s="140">
        <v>60.0</v>
      </c>
      <c r="F155" s="140">
        <v>60.0</v>
      </c>
      <c r="G155" s="141">
        <v>60.0</v>
      </c>
      <c r="H155" s="103">
        <f t="array" ref="H155">STDEV(C155:G155)*1.4</f>
        <v>0</v>
      </c>
      <c r="I155" s="103">
        <f t="array" ref="I155">0.065/2</f>
        <v>0.0325</v>
      </c>
      <c r="J155" s="103">
        <f t="array" ref="J155">I155/SQRT(3)</f>
        <v>0.01876388375</v>
      </c>
      <c r="K155" s="103">
        <f t="array" ref="K155">(C$148)/SQRT(12)</f>
        <v>0.02886751346</v>
      </c>
      <c r="L155" s="105">
        <f t="array" ref="L155">SQRT(H155^2+J155^2+(K155)^2)</f>
        <v>0.03442988043</v>
      </c>
      <c r="M155" s="91" t="str">
        <f t="array" ref="M155">IF(ISERROR((L155^4)/(H155^4/4))=TRUE,"∞",((L155^4)/(H155^4/4)))</f>
        <v>∞</v>
      </c>
      <c r="N155" s="91">
        <f t="array" ref="N155">IF(ISERROR(TINV(0.05,M155))=TRUE,2,TINV(0.05,M155))</f>
        <v>2</v>
      </c>
      <c r="O155" s="106">
        <f t="array" ref="O155">L155*N155</f>
        <v>0.06885976087</v>
      </c>
      <c r="P155" s="48"/>
      <c r="Q155" s="107">
        <f t="array" ref="Q155">AVERAGE(C155:G155)-B155</f>
        <v>0</v>
      </c>
      <c r="R155" s="107">
        <f t="array" ref="R155">Q155+O155</f>
        <v>0.06885976087</v>
      </c>
      <c r="S155" s="107">
        <f t="array" ref="S155">Q155-O155</f>
        <v>-0.06885976087</v>
      </c>
      <c r="T155" s="107">
        <f t="array" ref="T155">ABS(Q155)</f>
        <v>0</v>
      </c>
      <c r="U155" s="16"/>
      <c r="V155" s="16"/>
      <c r="W155" s="16"/>
      <c r="X155" s="16"/>
      <c r="Y155" s="16"/>
      <c r="Z155" s="16"/>
      <c r="AA155" s="16"/>
      <c r="AB155" s="16"/>
      <c r="AC155" s="16"/>
      <c r="AD155" s="55"/>
      <c r="AE155" s="56"/>
      <c r="AF155" s="57"/>
      <c r="AG155" s="57"/>
      <c r="AH155" s="57"/>
      <c r="AI155" s="57"/>
      <c r="AJ155" s="58"/>
      <c r="AK155" s="58"/>
      <c r="AL155" s="58"/>
      <c r="AM155" s="59"/>
      <c r="AN155" s="60"/>
      <c r="AO155" s="16"/>
      <c r="AP155" s="16"/>
      <c r="AQ155" s="61"/>
    </row>
    <row r="156" ht="12.75" customHeight="1">
      <c r="A156" s="98"/>
      <c r="B156" s="108">
        <v>150.0</v>
      </c>
      <c r="C156" s="142">
        <v>150.0</v>
      </c>
      <c r="D156" s="143">
        <v>150.0</v>
      </c>
      <c r="E156" s="143">
        <v>150.0</v>
      </c>
      <c r="F156" s="143">
        <v>150.0</v>
      </c>
      <c r="G156" s="144">
        <v>150.0</v>
      </c>
      <c r="H156" s="112">
        <f t="array" ref="H156">STDEV(C156:G156)*1.4</f>
        <v>0</v>
      </c>
      <c r="I156" s="112">
        <f t="array" ref="I156">0.048/2</f>
        <v>0.024</v>
      </c>
      <c r="J156" s="112">
        <f t="array" ref="J156">I156/SQRT(3)</f>
        <v>0.01385640646</v>
      </c>
      <c r="K156" s="112">
        <f t="array" ref="K156">(C$148)/SQRT(12)</f>
        <v>0.02886751346</v>
      </c>
      <c r="L156" s="113">
        <f t="array" ref="L156">SQRT(H156^2+J156^2+(K156)^2)</f>
        <v>0.03202082656</v>
      </c>
      <c r="M156" s="114" t="str">
        <f t="array" ref="M156">IF(ISERROR((L156^4)/(H156^4/4))=TRUE,"∞",((L156^4)/(H156^4/4)))</f>
        <v>∞</v>
      </c>
      <c r="N156" s="114">
        <f t="array" ref="N156">IF(ISERROR(TINV(0.05,M156))=TRUE,2,TINV(0.05,M156))</f>
        <v>2</v>
      </c>
      <c r="O156" s="115">
        <f t="array" ref="O156">L156*N156</f>
        <v>0.06404165311</v>
      </c>
      <c r="P156" s="48"/>
      <c r="Q156" s="107">
        <f t="array" ref="Q156">AVERAGE(C156:G156)-B156</f>
        <v>0</v>
      </c>
      <c r="R156" s="107">
        <f t="array" ref="R156">Q156+O156</f>
        <v>0.06404165311</v>
      </c>
      <c r="S156" s="107">
        <f t="array" ref="S156">Q156-O156</f>
        <v>-0.06404165311</v>
      </c>
      <c r="T156" s="107">
        <f t="array" ref="T156">ABS(Q156)</f>
        <v>0</v>
      </c>
      <c r="U156" s="16"/>
      <c r="V156" s="16"/>
      <c r="W156" s="16"/>
      <c r="X156" s="16"/>
      <c r="Y156" s="16"/>
      <c r="Z156" s="16"/>
      <c r="AA156" s="16"/>
      <c r="AB156" s="16"/>
      <c r="AC156" s="16"/>
      <c r="AD156" s="55"/>
      <c r="AE156" s="56"/>
      <c r="AF156" s="57"/>
      <c r="AG156" s="57"/>
      <c r="AH156" s="57"/>
      <c r="AI156" s="57"/>
      <c r="AJ156" s="58"/>
      <c r="AK156" s="58"/>
      <c r="AL156" s="58"/>
      <c r="AM156" s="59"/>
      <c r="AN156" s="60"/>
      <c r="AO156" s="16"/>
      <c r="AP156" s="16"/>
      <c r="AQ156" s="61"/>
    </row>
    <row r="157" ht="12.75" customHeight="1">
      <c r="A157" s="98"/>
      <c r="B157" s="108">
        <v>300.0</v>
      </c>
      <c r="C157" s="142">
        <v>300.0</v>
      </c>
      <c r="D157" s="143">
        <v>300.0</v>
      </c>
      <c r="E157" s="143">
        <v>300.0</v>
      </c>
      <c r="F157" s="143">
        <v>300.0</v>
      </c>
      <c r="G157" s="144">
        <v>300.0</v>
      </c>
      <c r="H157" s="112">
        <f t="array" ref="H157">STDEV(C157:G157)*1.4</f>
        <v>0</v>
      </c>
      <c r="I157" s="112">
        <f t="array" ref="I157">0.039/2</f>
        <v>0.0195</v>
      </c>
      <c r="J157" s="112">
        <f t="array" ref="J157">I157/SQRT(3)</f>
        <v>0.01125833025</v>
      </c>
      <c r="K157" s="112">
        <f t="array" ref="K157">(C$148)/SQRT(12)</f>
        <v>0.02886751346</v>
      </c>
      <c r="L157" s="113">
        <f t="array" ref="L157">SQRT(H157^2+J157^2+(K157)^2)</f>
        <v>0.03098521153</v>
      </c>
      <c r="M157" s="114" t="str">
        <f t="array" ref="M157">IF(ISERROR((L157^4)/(H157^4/4))=TRUE,"∞",((L157^4)/(H157^4/4)))</f>
        <v>∞</v>
      </c>
      <c r="N157" s="114">
        <f t="array" ref="N157">IF(ISERROR(TINV(0.05,M157))=TRUE,2,TINV(0.05,M157))</f>
        <v>2</v>
      </c>
      <c r="O157" s="115">
        <f t="array" ref="O157">L157*N157</f>
        <v>0.06197042305</v>
      </c>
      <c r="P157" s="48"/>
      <c r="Q157" s="107">
        <f t="array" ref="Q157">AVERAGE(C157:G157)-B157</f>
        <v>0</v>
      </c>
      <c r="R157" s="107">
        <f t="array" ref="R157">Q157+O157</f>
        <v>0.06197042305</v>
      </c>
      <c r="S157" s="107">
        <f t="array" ref="S157">Q157-O157</f>
        <v>-0.06197042305</v>
      </c>
      <c r="T157" s="107">
        <f t="array" ref="T157">ABS(Q157)</f>
        <v>0</v>
      </c>
      <c r="U157" s="16"/>
      <c r="V157" s="16"/>
      <c r="W157" s="16"/>
      <c r="X157" s="16"/>
      <c r="Y157" s="16"/>
      <c r="Z157" s="16"/>
      <c r="AA157" s="16"/>
      <c r="AB157" s="16"/>
      <c r="AC157" s="16"/>
      <c r="AD157" s="55"/>
      <c r="AE157" s="56"/>
      <c r="AF157" s="57"/>
      <c r="AG157" s="57"/>
      <c r="AH157" s="57"/>
      <c r="AI157" s="57"/>
      <c r="AJ157" s="58"/>
      <c r="AK157" s="58"/>
      <c r="AL157" s="58"/>
      <c r="AM157" s="59"/>
      <c r="AN157" s="60"/>
      <c r="AO157" s="16"/>
      <c r="AP157" s="16"/>
      <c r="AQ157" s="61"/>
    </row>
    <row r="158" ht="12.75" customHeight="1">
      <c r="A158" s="98"/>
      <c r="B158" s="108">
        <v>450.0</v>
      </c>
      <c r="C158" s="142">
        <v>450.1</v>
      </c>
      <c r="D158" s="143">
        <v>450.1</v>
      </c>
      <c r="E158" s="143">
        <v>450.1</v>
      </c>
      <c r="F158" s="143">
        <v>450.1</v>
      </c>
      <c r="G158" s="144">
        <v>450.1</v>
      </c>
      <c r="H158" s="112">
        <f t="array" ref="H158">STDEV(C158:G158)*1.4</f>
        <v>0</v>
      </c>
      <c r="I158" s="112">
        <f t="array" ref="I158">0.039/2</f>
        <v>0.0195</v>
      </c>
      <c r="J158" s="112">
        <f t="array" ref="J158">I158/SQRT(3)</f>
        <v>0.01125833025</v>
      </c>
      <c r="K158" s="112">
        <f t="array" ref="K158">(C$148)/SQRT(12)</f>
        <v>0.02886751346</v>
      </c>
      <c r="L158" s="113">
        <f t="array" ref="L158">SQRT(H158^2+J158^2+(K158)^2)</f>
        <v>0.03098521153</v>
      </c>
      <c r="M158" s="114" t="str">
        <f t="array" ref="M158">IF(ISERROR((L158^4)/(H158^4/4))=TRUE,"∞",((L158^4)/(H158^4/4)))</f>
        <v>∞</v>
      </c>
      <c r="N158" s="114">
        <f t="array" ref="N158">IF(ISERROR(TINV(0.05,M158))=TRUE,2,TINV(0.05,M158))</f>
        <v>2</v>
      </c>
      <c r="O158" s="115">
        <f t="array" ref="O158">L158*N158</f>
        <v>0.06197042305</v>
      </c>
      <c r="P158" s="48"/>
      <c r="Q158" s="107">
        <f t="array" ref="Q158">AVERAGE(C158:G158)-B158</f>
        <v>0.1</v>
      </c>
      <c r="R158" s="107">
        <f t="array" ref="R158">Q158+O158</f>
        <v>0.1619704231</v>
      </c>
      <c r="S158" s="107">
        <f t="array" ref="S158">Q158-O158</f>
        <v>0.03802957695</v>
      </c>
      <c r="T158" s="107">
        <f t="array" ref="T158">ABS(Q158)</f>
        <v>0.1</v>
      </c>
      <c r="U158" s="16"/>
      <c r="V158" s="16"/>
      <c r="W158" s="16"/>
      <c r="X158" s="16"/>
      <c r="Y158" s="16"/>
      <c r="Z158" s="16"/>
      <c r="AA158" s="16"/>
      <c r="AB158" s="16"/>
      <c r="AC158" s="16"/>
      <c r="AD158" s="55"/>
      <c r="AE158" s="56"/>
      <c r="AF158" s="57"/>
      <c r="AG158" s="57"/>
      <c r="AH158" s="57"/>
      <c r="AI158" s="57"/>
      <c r="AJ158" s="58"/>
      <c r="AK158" s="58"/>
      <c r="AL158" s="58"/>
      <c r="AM158" s="59"/>
      <c r="AN158" s="60"/>
      <c r="AO158" s="16"/>
      <c r="AP158" s="16"/>
      <c r="AQ158" s="61"/>
    </row>
    <row r="159" ht="12.75" customHeight="1">
      <c r="A159" s="98"/>
      <c r="B159" s="116">
        <v>540.0</v>
      </c>
      <c r="C159" s="145">
        <v>540.1</v>
      </c>
      <c r="D159" s="146">
        <v>540.1</v>
      </c>
      <c r="E159" s="146">
        <v>540.1</v>
      </c>
      <c r="F159" s="146">
        <v>540.1</v>
      </c>
      <c r="G159" s="147">
        <v>540.1</v>
      </c>
      <c r="H159" s="120">
        <f t="array" ref="H159">STDEV(C159:G159)*1.4</f>
        <v>0</v>
      </c>
      <c r="I159" s="112">
        <f t="array" ref="I159">0.039/2</f>
        <v>0.0195</v>
      </c>
      <c r="J159" s="120">
        <f t="array" ref="J159">I159/SQRT(3)</f>
        <v>0.01125833025</v>
      </c>
      <c r="K159" s="120">
        <f t="array" ref="K159">(C$148)/SQRT(12)</f>
        <v>0.02886751346</v>
      </c>
      <c r="L159" s="121">
        <f t="array" ref="L159">SQRT(H159^2+J159^2+(K159)^2)</f>
        <v>0.03098521153</v>
      </c>
      <c r="M159" s="122" t="str">
        <f t="array" ref="M159">IF(ISERROR((L159^4)/(H159^4/4))=TRUE,"∞",((L159^4)/(H159^4/4)))</f>
        <v>∞</v>
      </c>
      <c r="N159" s="122">
        <f t="array" ref="N159">IF(ISERROR(TINV(0.05,M159))=TRUE,2,TINV(0.05,M159))</f>
        <v>2</v>
      </c>
      <c r="O159" s="123">
        <f t="array" ref="O159">L159*N159</f>
        <v>0.06197042305</v>
      </c>
      <c r="P159" s="48"/>
      <c r="Q159" s="107">
        <f t="array" ref="Q159">AVERAGE(C159:G159)-B159</f>
        <v>0.1</v>
      </c>
      <c r="R159" s="107">
        <f t="array" ref="R159">Q159+O159</f>
        <v>0.1619704231</v>
      </c>
      <c r="S159" s="107">
        <f t="array" ref="S159">Q159-O159</f>
        <v>0.03802957695</v>
      </c>
      <c r="T159" s="107">
        <f t="array" ref="T159">ABS(Q159)</f>
        <v>0.1</v>
      </c>
      <c r="U159" s="16"/>
      <c r="V159" s="16"/>
      <c r="W159" s="16"/>
      <c r="X159" s="16"/>
      <c r="Y159" s="16"/>
      <c r="Z159" s="16"/>
      <c r="AA159" s="16"/>
      <c r="AB159" s="16"/>
      <c r="AC159" s="16"/>
      <c r="AD159" s="55"/>
      <c r="AE159" s="56"/>
      <c r="AF159" s="57"/>
      <c r="AG159" s="57"/>
      <c r="AH159" s="57"/>
      <c r="AI159" s="57"/>
      <c r="AJ159" s="58"/>
      <c r="AK159" s="58"/>
      <c r="AL159" s="58"/>
      <c r="AM159" s="59"/>
      <c r="AN159" s="60"/>
      <c r="AO159" s="16"/>
      <c r="AP159" s="16"/>
      <c r="AQ159" s="61"/>
    </row>
    <row r="160" ht="13.5" customHeight="1">
      <c r="A160" s="15"/>
      <c r="B160" s="124"/>
      <c r="C160" s="124"/>
      <c r="D160" s="124"/>
      <c r="E160" s="124"/>
      <c r="F160" s="124"/>
      <c r="G160" s="124"/>
      <c r="H160" s="125"/>
      <c r="I160" s="126"/>
      <c r="J160" s="125"/>
      <c r="K160" s="125"/>
      <c r="L160" s="127"/>
      <c r="M160" s="128"/>
      <c r="N160" s="128"/>
      <c r="O160" s="129"/>
      <c r="P160" s="48"/>
      <c r="Q160" s="107"/>
      <c r="R160" s="107"/>
      <c r="S160" s="107"/>
      <c r="T160" s="107"/>
      <c r="U160" s="16"/>
      <c r="V160" s="16"/>
      <c r="W160" s="16"/>
      <c r="X160" s="16"/>
      <c r="Y160" s="16"/>
      <c r="Z160" s="16"/>
      <c r="AA160" s="16"/>
      <c r="AB160" s="16"/>
      <c r="AC160" s="16"/>
      <c r="AD160" s="55"/>
      <c r="AE160" s="56"/>
      <c r="AF160" s="57"/>
      <c r="AG160" s="57"/>
      <c r="AH160" s="57"/>
      <c r="AI160" s="57"/>
      <c r="AJ160" s="58"/>
      <c r="AK160" s="58"/>
      <c r="AL160" s="58"/>
      <c r="AM160" s="59"/>
      <c r="AN160" s="60"/>
      <c r="AO160" s="16"/>
      <c r="AP160" s="16"/>
      <c r="AQ160" s="61"/>
    </row>
    <row r="161" ht="27.0" customHeight="1">
      <c r="A161" s="44"/>
      <c r="B161" s="45" t="s">
        <v>47</v>
      </c>
      <c r="C161" s="46"/>
      <c r="D161" s="46"/>
      <c r="E161" s="46"/>
      <c r="F161" s="46"/>
      <c r="G161" s="46"/>
      <c r="H161" s="46"/>
      <c r="I161" s="46"/>
      <c r="J161" s="46"/>
      <c r="K161" s="46"/>
      <c r="L161" s="46"/>
      <c r="M161" s="46"/>
      <c r="N161" s="46"/>
      <c r="O161" s="47"/>
      <c r="P161" s="48"/>
      <c r="Q161" s="16"/>
      <c r="R161" s="16"/>
      <c r="S161" s="16"/>
      <c r="T161" s="16"/>
      <c r="U161" s="16"/>
      <c r="V161" s="16"/>
      <c r="W161" s="16"/>
      <c r="X161" s="16"/>
      <c r="Y161" s="16"/>
      <c r="Z161" s="16"/>
      <c r="AA161" s="16"/>
      <c r="AB161" s="16"/>
      <c r="AC161" s="16"/>
      <c r="AD161" s="55"/>
      <c r="AE161" s="56"/>
      <c r="AF161" s="57"/>
      <c r="AG161" s="57"/>
      <c r="AH161" s="57"/>
      <c r="AI161" s="57"/>
      <c r="AJ161" s="58"/>
      <c r="AK161" s="58"/>
      <c r="AL161" s="58"/>
      <c r="AM161" s="59"/>
      <c r="AN161" s="60"/>
      <c r="AO161" s="16"/>
      <c r="AP161" s="16"/>
      <c r="AQ161" s="61"/>
    </row>
    <row r="162" ht="13.5" customHeight="1">
      <c r="A162" s="44"/>
      <c r="B162" s="49" t="s">
        <v>8</v>
      </c>
      <c r="C162" s="50">
        <v>0.0</v>
      </c>
      <c r="D162" s="51" t="s">
        <v>9</v>
      </c>
      <c r="E162" s="50">
        <v>60.0</v>
      </c>
      <c r="F162" s="52"/>
      <c r="G162" s="53"/>
      <c r="H162" s="53"/>
      <c r="I162" s="53"/>
      <c r="J162" s="53"/>
      <c r="K162" s="53"/>
      <c r="L162" s="53"/>
      <c r="M162" s="53"/>
      <c r="N162" s="53"/>
      <c r="O162" s="54"/>
      <c r="P162" s="48"/>
      <c r="Q162" s="16"/>
      <c r="R162" s="16"/>
      <c r="S162" s="16"/>
      <c r="T162" s="16"/>
      <c r="U162" s="16"/>
      <c r="V162" s="16"/>
      <c r="W162" s="16"/>
      <c r="X162" s="16"/>
      <c r="Y162" s="16"/>
      <c r="Z162" s="16"/>
      <c r="AA162" s="16"/>
      <c r="AB162" s="16"/>
      <c r="AC162" s="16"/>
      <c r="AD162" s="55"/>
      <c r="AE162" s="56"/>
      <c r="AF162" s="57"/>
      <c r="AG162" s="57"/>
      <c r="AH162" s="57"/>
      <c r="AI162" s="57"/>
      <c r="AJ162" s="58"/>
      <c r="AK162" s="58"/>
      <c r="AL162" s="58"/>
      <c r="AM162" s="59"/>
      <c r="AN162" s="60"/>
      <c r="AO162" s="16"/>
      <c r="AP162" s="16"/>
      <c r="AQ162" s="61"/>
    </row>
    <row r="163" ht="13.5" customHeight="1">
      <c r="A163" s="44"/>
      <c r="B163" s="62" t="s">
        <v>10</v>
      </c>
      <c r="C163" s="63">
        <v>0.1</v>
      </c>
      <c r="D163" s="64"/>
      <c r="E163" s="65"/>
      <c r="F163" s="66"/>
      <c r="G163" s="67"/>
      <c r="H163" s="68" t="s">
        <v>11</v>
      </c>
      <c r="I163" s="69"/>
      <c r="J163" s="70"/>
      <c r="K163" s="66"/>
      <c r="L163" s="66"/>
      <c r="M163" s="66"/>
      <c r="N163" s="66"/>
      <c r="O163" s="71"/>
      <c r="P163" s="48"/>
      <c r="Q163" s="16"/>
      <c r="R163" s="16"/>
      <c r="S163" s="16"/>
      <c r="T163" s="16"/>
      <c r="U163" s="16"/>
      <c r="V163" s="16"/>
      <c r="W163" s="16"/>
      <c r="X163" s="16"/>
      <c r="Y163" s="16"/>
      <c r="Z163" s="16"/>
      <c r="AA163" s="16"/>
      <c r="AB163" s="16"/>
      <c r="AC163" s="16"/>
      <c r="AD163" s="55"/>
      <c r="AE163" s="56"/>
      <c r="AF163" s="57"/>
      <c r="AG163" s="57"/>
      <c r="AH163" s="57"/>
      <c r="AI163" s="57"/>
      <c r="AJ163" s="58"/>
      <c r="AK163" s="58"/>
      <c r="AL163" s="58"/>
      <c r="AM163" s="59"/>
      <c r="AN163" s="60"/>
      <c r="AO163" s="16"/>
      <c r="AP163" s="16"/>
      <c r="AQ163" s="61"/>
    </row>
    <row r="164" ht="13.5" customHeight="1">
      <c r="A164" s="44"/>
      <c r="B164" s="72" t="s">
        <v>12</v>
      </c>
      <c r="C164" s="73" t="s">
        <v>48</v>
      </c>
      <c r="D164" s="74" t="s">
        <v>14</v>
      </c>
      <c r="E164" s="75">
        <f t="array" ref="E164">MAX(Q170:Q174)</f>
        <v>0</v>
      </c>
      <c r="F164" s="76" t="str">
        <f t="array" ref="F164">C164</f>
        <v>µA</v>
      </c>
      <c r="G164" s="67"/>
      <c r="H164" s="68" t="s">
        <v>15</v>
      </c>
      <c r="I164" s="77" t="s">
        <v>16</v>
      </c>
      <c r="J164" s="78"/>
      <c r="K164" s="79"/>
      <c r="L164" s="66"/>
      <c r="M164" s="66"/>
      <c r="N164" s="66"/>
      <c r="O164" s="71"/>
      <c r="P164" s="48"/>
      <c r="Q164" s="16"/>
      <c r="R164" s="16"/>
      <c r="S164" s="16"/>
      <c r="T164" s="16"/>
      <c r="U164" s="16"/>
      <c r="V164" s="16"/>
      <c r="W164" s="16"/>
      <c r="X164" s="16"/>
      <c r="Y164" s="16"/>
      <c r="Z164" s="16"/>
      <c r="AA164" s="16"/>
      <c r="AB164" s="16"/>
      <c r="AC164" s="16"/>
      <c r="AD164" s="55"/>
      <c r="AE164" s="56"/>
      <c r="AF164" s="57"/>
      <c r="AG164" s="57"/>
      <c r="AH164" s="57"/>
      <c r="AI164" s="57"/>
      <c r="AJ164" s="58"/>
      <c r="AK164" s="58"/>
      <c r="AL164" s="58"/>
      <c r="AM164" s="59"/>
      <c r="AN164" s="60"/>
      <c r="AO164" s="16"/>
      <c r="AP164" s="16"/>
      <c r="AQ164" s="61"/>
    </row>
    <row r="165" ht="12.75" customHeight="1">
      <c r="A165" s="44"/>
      <c r="B165" s="80"/>
      <c r="C165" s="65"/>
      <c r="D165" s="76" t="s">
        <v>17</v>
      </c>
      <c r="E165" s="81">
        <f t="array" ref="E165">MAX(O170:O174)</f>
        <v>0.1662327685</v>
      </c>
      <c r="F165" s="76" t="str">
        <f t="array" ref="F165">C164</f>
        <v>µA</v>
      </c>
      <c r="G165" s="67"/>
      <c r="H165" s="82"/>
      <c r="I165" s="68" t="s">
        <v>18</v>
      </c>
      <c r="J165" s="82"/>
      <c r="K165" s="79"/>
      <c r="L165" s="66"/>
      <c r="M165" s="66"/>
      <c r="N165" s="66"/>
      <c r="O165" s="71"/>
      <c r="P165" s="48"/>
      <c r="Q165" s="16"/>
      <c r="R165" s="16"/>
      <c r="S165" s="16"/>
      <c r="T165" s="16"/>
      <c r="U165" s="16"/>
      <c r="V165" s="16"/>
      <c r="W165" s="16"/>
      <c r="X165" s="16"/>
      <c r="Y165" s="16"/>
      <c r="Z165" s="16"/>
      <c r="AA165" s="16"/>
      <c r="AB165" s="16"/>
      <c r="AC165" s="16"/>
      <c r="AD165" s="55"/>
      <c r="AE165" s="56"/>
      <c r="AF165" s="57"/>
      <c r="AG165" s="57"/>
      <c r="AH165" s="57"/>
      <c r="AI165" s="57"/>
      <c r="AJ165" s="58"/>
      <c r="AK165" s="58"/>
      <c r="AL165" s="58"/>
      <c r="AM165" s="59"/>
      <c r="AN165" s="60"/>
      <c r="AO165" s="16"/>
      <c r="AP165" s="16"/>
      <c r="AQ165" s="61"/>
    </row>
    <row r="166" ht="12.75" customHeight="1">
      <c r="A166" s="44"/>
      <c r="B166" s="83"/>
      <c r="C166" s="66"/>
      <c r="D166" s="66"/>
      <c r="E166" s="66"/>
      <c r="F166" s="66"/>
      <c r="G166" s="67"/>
      <c r="H166" s="82"/>
      <c r="I166" s="68" t="s">
        <v>19</v>
      </c>
      <c r="J166" s="82"/>
      <c r="K166" s="79"/>
      <c r="L166" s="66"/>
      <c r="M166" s="66"/>
      <c r="N166" s="66"/>
      <c r="O166" s="84"/>
      <c r="P166" s="48"/>
      <c r="Q166" s="16"/>
      <c r="R166" s="16"/>
      <c r="S166" s="16"/>
      <c r="T166" s="16"/>
      <c r="U166" s="16"/>
      <c r="V166" s="16"/>
      <c r="W166" s="16"/>
      <c r="X166" s="16"/>
      <c r="Y166" s="16"/>
      <c r="Z166" s="16"/>
      <c r="AA166" s="16"/>
      <c r="AB166" s="16"/>
      <c r="AC166" s="16"/>
      <c r="AD166" s="55"/>
      <c r="AE166" s="56"/>
      <c r="AF166" s="57"/>
      <c r="AG166" s="57"/>
      <c r="AH166" s="57"/>
      <c r="AI166" s="57"/>
      <c r="AJ166" s="58"/>
      <c r="AK166" s="58"/>
      <c r="AL166" s="58"/>
      <c r="AM166" s="59"/>
      <c r="AN166" s="60"/>
      <c r="AO166" s="16"/>
      <c r="AP166" s="16"/>
      <c r="AQ166" s="61"/>
    </row>
    <row r="167" ht="12.75" customHeight="1">
      <c r="A167" s="44"/>
      <c r="B167" s="85" t="s">
        <v>20</v>
      </c>
      <c r="C167" s="69"/>
      <c r="D167" s="70"/>
      <c r="E167" s="70"/>
      <c r="F167" s="70"/>
      <c r="G167" s="86"/>
      <c r="H167" s="87" t="s">
        <v>21</v>
      </c>
      <c r="I167" s="88">
        <v>5502.0</v>
      </c>
      <c r="J167" s="88"/>
      <c r="K167" s="69"/>
      <c r="L167" s="70"/>
      <c r="M167" s="70"/>
      <c r="N167" s="86"/>
      <c r="O167" s="89" t="s">
        <v>22</v>
      </c>
      <c r="P167" s="48"/>
      <c r="Q167" s="16"/>
      <c r="R167" s="16"/>
      <c r="S167" s="16"/>
      <c r="T167" s="16"/>
      <c r="U167" s="16"/>
      <c r="V167" s="16"/>
      <c r="W167" s="16"/>
      <c r="X167" s="16"/>
      <c r="Y167" s="16"/>
      <c r="Z167" s="16"/>
      <c r="AA167" s="16"/>
      <c r="AB167" s="16"/>
      <c r="AC167" s="16"/>
      <c r="AD167" s="55"/>
      <c r="AE167" s="56"/>
      <c r="AF167" s="57"/>
      <c r="AG167" s="57"/>
      <c r="AH167" s="57"/>
      <c r="AI167" s="57"/>
      <c r="AJ167" s="58"/>
      <c r="AK167" s="58"/>
      <c r="AL167" s="58"/>
      <c r="AM167" s="59"/>
      <c r="AN167" s="60"/>
      <c r="AO167" s="16"/>
      <c r="AP167" s="16"/>
      <c r="AQ167" s="61"/>
    </row>
    <row r="168" ht="12.75" customHeight="1">
      <c r="A168" s="44"/>
      <c r="B168" s="90" t="s">
        <v>23</v>
      </c>
      <c r="C168" s="77" t="s">
        <v>24</v>
      </c>
      <c r="D168" s="77" t="s">
        <v>25</v>
      </c>
      <c r="E168" s="77" t="s">
        <v>26</v>
      </c>
      <c r="F168" s="77" t="s">
        <v>27</v>
      </c>
      <c r="G168" s="77" t="s">
        <v>28</v>
      </c>
      <c r="H168" s="77" t="s">
        <v>29</v>
      </c>
      <c r="I168" s="77" t="s">
        <v>30</v>
      </c>
      <c r="J168" s="77" t="s">
        <v>31</v>
      </c>
      <c r="K168" s="77" t="s">
        <v>32</v>
      </c>
      <c r="L168" s="77" t="s">
        <v>33</v>
      </c>
      <c r="M168" s="77" t="s">
        <v>34</v>
      </c>
      <c r="N168" s="91"/>
      <c r="O168" s="92" t="s">
        <v>35</v>
      </c>
      <c r="P168" s="48"/>
      <c r="Q168" s="16"/>
      <c r="R168" s="16"/>
      <c r="S168" s="16"/>
      <c r="T168" s="16"/>
      <c r="U168" s="16"/>
      <c r="V168" s="16"/>
      <c r="W168" s="16"/>
      <c r="X168" s="16"/>
      <c r="Y168" s="16"/>
      <c r="Z168" s="16"/>
      <c r="AA168" s="16"/>
      <c r="AB168" s="16"/>
      <c r="AC168" s="16"/>
      <c r="AD168" s="55"/>
      <c r="AE168" s="56"/>
      <c r="AF168" s="57"/>
      <c r="AG168" s="57"/>
      <c r="AH168" s="57"/>
      <c r="AI168" s="57"/>
      <c r="AJ168" s="58"/>
      <c r="AK168" s="58"/>
      <c r="AL168" s="58"/>
      <c r="AM168" s="59"/>
      <c r="AN168" s="60"/>
      <c r="AO168" s="16"/>
      <c r="AP168" s="16"/>
      <c r="AQ168" s="61"/>
    </row>
    <row r="169" ht="12.75" customHeight="1">
      <c r="A169" s="44"/>
      <c r="B169" s="93" t="str">
        <f t="array" ref="B169">C164</f>
        <v>µA</v>
      </c>
      <c r="C169" s="87" t="str">
        <f t="array" ref="C169">$B169</f>
        <v>µA</v>
      </c>
      <c r="D169" s="87" t="str">
        <f t="array" ref="D169">$B169</f>
        <v>µA</v>
      </c>
      <c r="E169" s="87" t="str">
        <f t="array" ref="E169">$B169</f>
        <v>µA</v>
      </c>
      <c r="F169" s="87" t="str">
        <f t="array" ref="F169">$B169</f>
        <v>µA</v>
      </c>
      <c r="G169" s="87" t="str">
        <f t="array" ref="G169">$B169</f>
        <v>µA</v>
      </c>
      <c r="H169" s="87" t="str">
        <f t="array" ref="H169">$B169</f>
        <v>µA</v>
      </c>
      <c r="I169" s="87" t="str">
        <f t="array" ref="I169">$B169</f>
        <v>µA</v>
      </c>
      <c r="J169" s="87" t="str">
        <f t="array" ref="J169">$B169</f>
        <v>µA</v>
      </c>
      <c r="K169" s="87" t="str">
        <f t="array" ref="K169">$B169</f>
        <v>µA</v>
      </c>
      <c r="L169" s="87" t="str">
        <f t="array" ref="L169">$B169</f>
        <v>µA</v>
      </c>
      <c r="M169" s="94" t="s">
        <v>36</v>
      </c>
      <c r="N169" s="87" t="s">
        <v>37</v>
      </c>
      <c r="O169" s="95" t="str">
        <f t="array" ref="O169">$B169</f>
        <v>µA</v>
      </c>
      <c r="P169" s="48"/>
      <c r="Q169" s="96" t="s">
        <v>38</v>
      </c>
      <c r="R169" s="96" t="s">
        <v>39</v>
      </c>
      <c r="S169" s="96" t="s">
        <v>40</v>
      </c>
      <c r="T169" s="97" t="s">
        <v>41</v>
      </c>
      <c r="U169" s="16"/>
      <c r="V169" s="16"/>
      <c r="W169" s="16"/>
      <c r="X169" s="16"/>
      <c r="Y169" s="16"/>
      <c r="Z169" s="16"/>
      <c r="AA169" s="16"/>
      <c r="AB169" s="16"/>
      <c r="AC169" s="16"/>
      <c r="AD169" s="55"/>
      <c r="AE169" s="56"/>
      <c r="AF169" s="57"/>
      <c r="AG169" s="57"/>
      <c r="AH169" s="57"/>
      <c r="AI169" s="57"/>
      <c r="AJ169" s="58"/>
      <c r="AK169" s="58"/>
      <c r="AL169" s="58"/>
      <c r="AM169" s="59"/>
      <c r="AN169" s="60"/>
      <c r="AO169" s="16"/>
      <c r="AP169" s="16"/>
      <c r="AQ169" s="61"/>
    </row>
    <row r="170" ht="12.75" customHeight="1">
      <c r="A170" s="98"/>
      <c r="B170" s="99">
        <f t="array" ref="B170">E162*0.1</f>
        <v>6</v>
      </c>
      <c r="C170" s="130">
        <v>6.0</v>
      </c>
      <c r="D170" s="131">
        <v>6.0</v>
      </c>
      <c r="E170" s="131">
        <v>6.0</v>
      </c>
      <c r="F170" s="131">
        <v>6.0</v>
      </c>
      <c r="G170" s="132">
        <v>6.0</v>
      </c>
      <c r="H170" s="103">
        <f t="array" ref="H170">STDEV(C170:G170)*1.4</f>
        <v>0</v>
      </c>
      <c r="I170" s="104">
        <f t="array" ref="I170">0.27/2</f>
        <v>0.135</v>
      </c>
      <c r="J170" s="103">
        <f t="array" ref="J170">I170/SQRT(3)</f>
        <v>0.07794228634</v>
      </c>
      <c r="K170" s="103">
        <f t="array" ref="K170">(C$163)/SQRT(12)</f>
        <v>0.02886751346</v>
      </c>
      <c r="L170" s="105">
        <f t="array" ref="L170">SQRT(H170^2+J170^2+(K170)^2)</f>
        <v>0.08311638427</v>
      </c>
      <c r="M170" s="91" t="str">
        <f t="array" ref="M170">IF(ISERROR((L170^4)/(H170^4/4))=TRUE,"∞",((L170^4)/(H170^4/4)))</f>
        <v>∞</v>
      </c>
      <c r="N170" s="91">
        <f t="array" ref="N170">IF(ISERROR(TINV(0.05,M170))=TRUE,2,TINV(0.05,M170))</f>
        <v>2</v>
      </c>
      <c r="O170" s="106">
        <f t="array" ref="O170">L170*N170</f>
        <v>0.1662327685</v>
      </c>
      <c r="P170" s="48"/>
      <c r="Q170" s="107">
        <f t="array" ref="Q170">AVERAGE(C170:G170)-B170</f>
        <v>0</v>
      </c>
      <c r="R170" s="107">
        <f t="array" ref="R170">Q170+O170</f>
        <v>0.1662327685</v>
      </c>
      <c r="S170" s="107">
        <f t="array" ref="S170">Q170-O170</f>
        <v>-0.1662327685</v>
      </c>
      <c r="T170" s="107">
        <f t="array" ref="T170">ABS(Q170)</f>
        <v>0</v>
      </c>
      <c r="U170" s="16"/>
      <c r="V170" s="16"/>
      <c r="W170" s="16"/>
      <c r="X170" s="16"/>
      <c r="Y170" s="16"/>
      <c r="Z170" s="16"/>
      <c r="AA170" s="16"/>
      <c r="AB170" s="16"/>
      <c r="AC170" s="16"/>
      <c r="AD170" s="55"/>
      <c r="AE170" s="56"/>
      <c r="AF170" s="57"/>
      <c r="AG170" s="57"/>
      <c r="AH170" s="57"/>
      <c r="AI170" s="57"/>
      <c r="AJ170" s="58"/>
      <c r="AK170" s="58"/>
      <c r="AL170" s="58"/>
      <c r="AM170" s="59"/>
      <c r="AN170" s="60"/>
      <c r="AO170" s="16"/>
      <c r="AP170" s="16"/>
      <c r="AQ170" s="61"/>
    </row>
    <row r="171" ht="12.75" customHeight="1">
      <c r="A171" s="98"/>
      <c r="B171" s="108">
        <f t="array" ref="B171">E162*0.25</f>
        <v>15</v>
      </c>
      <c r="C171" s="133">
        <v>15.0</v>
      </c>
      <c r="D171" s="134">
        <v>15.0</v>
      </c>
      <c r="E171" s="134">
        <v>15.0</v>
      </c>
      <c r="F171" s="134">
        <v>15.0</v>
      </c>
      <c r="G171" s="135">
        <v>15.0</v>
      </c>
      <c r="H171" s="112">
        <f t="array" ref="H171">STDEV(C171:G171)*1.4</f>
        <v>0</v>
      </c>
      <c r="I171" s="104">
        <f t="array" ref="I171">0.27/2</f>
        <v>0.135</v>
      </c>
      <c r="J171" s="112">
        <f t="array" ref="J171">I171/SQRT(3)</f>
        <v>0.07794228634</v>
      </c>
      <c r="K171" s="112">
        <v>0.00288675134594813</v>
      </c>
      <c r="L171" s="113">
        <f t="array" ref="L171">SQRT(H171^2+J171^2+(K171)^2)</f>
        <v>0.07799572638</v>
      </c>
      <c r="M171" s="114" t="str">
        <f t="array" ref="M171">IF(ISERROR((L171^4)/(H171^4/4))=TRUE,"∞",((L171^4)/(H171^4/4)))</f>
        <v>∞</v>
      </c>
      <c r="N171" s="114">
        <f t="array" ref="N171">IF(ISERROR(TINV(0.05,M171))=TRUE,2,TINV(0.05,M171))</f>
        <v>2</v>
      </c>
      <c r="O171" s="115">
        <f t="array" ref="O171">L171*N171</f>
        <v>0.1559914528</v>
      </c>
      <c r="P171" s="48"/>
      <c r="Q171" s="107">
        <f t="array" ref="Q171">AVERAGE(C171:G171)-B171</f>
        <v>0</v>
      </c>
      <c r="R171" s="107">
        <f t="array" ref="R171">Q171+O171</f>
        <v>0.1559914528</v>
      </c>
      <c r="S171" s="107">
        <f t="array" ref="S171">Q171-O171</f>
        <v>-0.1559914528</v>
      </c>
      <c r="T171" s="107">
        <f t="array" ref="T171">ABS(Q171)</f>
        <v>0</v>
      </c>
      <c r="U171" s="16"/>
      <c r="V171" s="16"/>
      <c r="W171" s="16"/>
      <c r="X171" s="16"/>
      <c r="Y171" s="16"/>
      <c r="Z171" s="16"/>
      <c r="AA171" s="16"/>
      <c r="AB171" s="16"/>
      <c r="AC171" s="16"/>
      <c r="AD171" s="55"/>
      <c r="AE171" s="56"/>
      <c r="AF171" s="57"/>
      <c r="AG171" s="57"/>
      <c r="AH171" s="57"/>
      <c r="AI171" s="57"/>
      <c r="AJ171" s="58"/>
      <c r="AK171" s="58"/>
      <c r="AL171" s="58"/>
      <c r="AM171" s="59"/>
      <c r="AN171" s="60"/>
      <c r="AO171" s="16"/>
      <c r="AP171" s="16"/>
      <c r="AQ171" s="61"/>
    </row>
    <row r="172" ht="12.75" customHeight="1">
      <c r="A172" s="98"/>
      <c r="B172" s="108">
        <f t="array" ref="B172">E162*0.5</f>
        <v>30</v>
      </c>
      <c r="C172" s="133">
        <v>30.0</v>
      </c>
      <c r="D172" s="134">
        <v>30.0</v>
      </c>
      <c r="E172" s="134">
        <v>30.0</v>
      </c>
      <c r="F172" s="134">
        <v>30.0</v>
      </c>
      <c r="G172" s="135">
        <v>30.0</v>
      </c>
      <c r="H172" s="112">
        <f t="array" ref="H172">STDEV(C172:G172)*1.4</f>
        <v>0</v>
      </c>
      <c r="I172" s="104">
        <f t="array" ref="I172">0.27/2</f>
        <v>0.135</v>
      </c>
      <c r="J172" s="112">
        <f t="array" ref="J172">I172/SQRT(3)</f>
        <v>0.07794228634</v>
      </c>
      <c r="K172" s="112">
        <v>0.00288675134594813</v>
      </c>
      <c r="L172" s="113">
        <f t="array" ref="L172">SQRT(H172^2+J172^2+(K172)^2)</f>
        <v>0.07799572638</v>
      </c>
      <c r="M172" s="114" t="str">
        <f t="array" ref="M172">IF(ISERROR((L172^4)/(H172^4/4))=TRUE,"∞",((L172^4)/(H172^4/4)))</f>
        <v>∞</v>
      </c>
      <c r="N172" s="114">
        <f t="array" ref="N172">IF(ISERROR(TINV(0.05,M172))=TRUE,2,TINV(0.05,M172))</f>
        <v>2</v>
      </c>
      <c r="O172" s="115">
        <f t="array" ref="O172">L172*N172</f>
        <v>0.1559914528</v>
      </c>
      <c r="P172" s="48"/>
      <c r="Q172" s="107">
        <f t="array" ref="Q172">AVERAGE(C172:G172)-B172</f>
        <v>0</v>
      </c>
      <c r="R172" s="107">
        <f t="array" ref="R172">Q172+O172</f>
        <v>0.1559914528</v>
      </c>
      <c r="S172" s="107">
        <f t="array" ref="S172">Q172-O172</f>
        <v>-0.1559914528</v>
      </c>
      <c r="T172" s="107">
        <f t="array" ref="T172">ABS(Q172)</f>
        <v>0</v>
      </c>
      <c r="U172" s="16"/>
      <c r="V172" s="16"/>
      <c r="W172" s="16"/>
      <c r="X172" s="16"/>
      <c r="Y172" s="16"/>
      <c r="Z172" s="16"/>
      <c r="AA172" s="16"/>
      <c r="AB172" s="16"/>
      <c r="AC172" s="16"/>
      <c r="AD172" s="55"/>
      <c r="AE172" s="56"/>
      <c r="AF172" s="57"/>
      <c r="AG172" s="57"/>
      <c r="AH172" s="57"/>
      <c r="AI172" s="57"/>
      <c r="AJ172" s="58"/>
      <c r="AK172" s="58"/>
      <c r="AL172" s="58"/>
      <c r="AM172" s="59"/>
      <c r="AN172" s="60"/>
      <c r="AO172" s="16"/>
      <c r="AP172" s="16"/>
      <c r="AQ172" s="61"/>
    </row>
    <row r="173" ht="12.75" customHeight="1">
      <c r="A173" s="98"/>
      <c r="B173" s="108">
        <f t="array" ref="B173">E162*0.75</f>
        <v>45</v>
      </c>
      <c r="C173" s="133">
        <v>45.0</v>
      </c>
      <c r="D173" s="134">
        <v>45.0</v>
      </c>
      <c r="E173" s="134">
        <v>45.0</v>
      </c>
      <c r="F173" s="134">
        <v>45.0</v>
      </c>
      <c r="G173" s="135">
        <v>45.0</v>
      </c>
      <c r="H173" s="112">
        <f t="array" ref="H173">STDEV(C173:G173)*1.4</f>
        <v>0</v>
      </c>
      <c r="I173" s="104">
        <f t="array" ref="I173">0.27/2</f>
        <v>0.135</v>
      </c>
      <c r="J173" s="112">
        <f t="array" ref="J173">I173/SQRT(3)</f>
        <v>0.07794228634</v>
      </c>
      <c r="K173" s="112">
        <v>0.00288675134594813</v>
      </c>
      <c r="L173" s="113">
        <f t="array" ref="L173">SQRT(H173^2+J173^2+(K173)^2)</f>
        <v>0.07799572638</v>
      </c>
      <c r="M173" s="114" t="str">
        <f t="array" ref="M173">IF(ISERROR((L173^4)/(H173^4/4))=TRUE,"∞",((L173^4)/(H173^4/4)))</f>
        <v>∞</v>
      </c>
      <c r="N173" s="114">
        <f t="array" ref="N173">IF(ISERROR(TINV(0.05,M173))=TRUE,2,TINV(0.05,M173))</f>
        <v>2</v>
      </c>
      <c r="O173" s="115">
        <f t="array" ref="O173">L173*N173</f>
        <v>0.1559914528</v>
      </c>
      <c r="P173" s="48"/>
      <c r="Q173" s="107">
        <f t="array" ref="Q173">AVERAGE(C173:G173)-B173</f>
        <v>0</v>
      </c>
      <c r="R173" s="107">
        <f t="array" ref="R173">Q173+O173</f>
        <v>0.1559914528</v>
      </c>
      <c r="S173" s="107">
        <f t="array" ref="S173">Q173-O173</f>
        <v>-0.1559914528</v>
      </c>
      <c r="T173" s="107">
        <f t="array" ref="T173">ABS(Q173)</f>
        <v>0</v>
      </c>
      <c r="U173" s="16"/>
      <c r="V173" s="16"/>
      <c r="W173" s="16"/>
      <c r="X173" s="16"/>
      <c r="Y173" s="16"/>
      <c r="Z173" s="16"/>
      <c r="AA173" s="16"/>
      <c r="AB173" s="16"/>
      <c r="AC173" s="16"/>
      <c r="AD173" s="55"/>
      <c r="AE173" s="56"/>
      <c r="AF173" s="57"/>
      <c r="AG173" s="57"/>
      <c r="AH173" s="57"/>
      <c r="AI173" s="57"/>
      <c r="AJ173" s="58"/>
      <c r="AK173" s="58"/>
      <c r="AL173" s="58"/>
      <c r="AM173" s="59"/>
      <c r="AN173" s="60"/>
      <c r="AO173" s="16"/>
      <c r="AP173" s="16"/>
      <c r="AQ173" s="61"/>
    </row>
    <row r="174" ht="12.75" customHeight="1">
      <c r="A174" s="98"/>
      <c r="B174" s="116">
        <v>60.0</v>
      </c>
      <c r="C174" s="136">
        <v>60.0</v>
      </c>
      <c r="D174" s="137">
        <v>60.0</v>
      </c>
      <c r="E174" s="137">
        <v>60.0</v>
      </c>
      <c r="F174" s="137">
        <v>60.0</v>
      </c>
      <c r="G174" s="138">
        <v>60.0</v>
      </c>
      <c r="H174" s="120">
        <f t="array" ref="H174">STDEV(C174:G174)*1.4</f>
        <v>0</v>
      </c>
      <c r="I174" s="103">
        <f t="array" ref="I174">0.27/2</f>
        <v>0.135</v>
      </c>
      <c r="J174" s="120">
        <f t="array" ref="J174">I174/SQRT(3)</f>
        <v>0.07794228634</v>
      </c>
      <c r="K174" s="120">
        <v>0.00288675134594813</v>
      </c>
      <c r="L174" s="121">
        <f t="array" ref="L174">SQRT(H174^2+J174^2+(K174)^2)</f>
        <v>0.07799572638</v>
      </c>
      <c r="M174" s="122" t="str">
        <f t="array" ref="M174">IF(ISERROR((L174^4)/(H174^4/4))=TRUE,"∞",((L174^4)/(H174^4/4)))</f>
        <v>∞</v>
      </c>
      <c r="N174" s="122">
        <f t="array" ref="N174">IF(ISERROR(TINV(0.05,M174))=TRUE,2,TINV(0.05,M174))</f>
        <v>2</v>
      </c>
      <c r="O174" s="123">
        <f t="array" ref="O174">L174*N174</f>
        <v>0.1559914528</v>
      </c>
      <c r="P174" s="48"/>
      <c r="Q174" s="107">
        <f t="array" ref="Q174">AVERAGE(C174:G174)-B174</f>
        <v>0</v>
      </c>
      <c r="R174" s="107">
        <f t="array" ref="R174">Q174+O174</f>
        <v>0.1559914528</v>
      </c>
      <c r="S174" s="107">
        <f t="array" ref="S174">Q174-O174</f>
        <v>-0.1559914528</v>
      </c>
      <c r="T174" s="107">
        <f t="array" ref="T174">ABS(Q174)</f>
        <v>0</v>
      </c>
      <c r="U174" s="16"/>
      <c r="V174" s="16"/>
      <c r="W174" s="16"/>
      <c r="X174" s="16"/>
      <c r="Y174" s="16"/>
      <c r="Z174" s="16"/>
      <c r="AA174" s="16"/>
      <c r="AB174" s="16"/>
      <c r="AC174" s="16"/>
      <c r="AD174" s="55"/>
      <c r="AE174" s="56"/>
      <c r="AF174" s="57"/>
      <c r="AG174" s="57"/>
      <c r="AH174" s="57"/>
      <c r="AI174" s="57"/>
      <c r="AJ174" s="58"/>
      <c r="AK174" s="58"/>
      <c r="AL174" s="58"/>
      <c r="AM174" s="59"/>
      <c r="AN174" s="60"/>
      <c r="AO174" s="16"/>
      <c r="AP174" s="16"/>
      <c r="AQ174" s="61"/>
    </row>
    <row r="175" ht="13.5" customHeight="1">
      <c r="A175" s="15"/>
      <c r="B175" s="124"/>
      <c r="C175" s="124"/>
      <c r="D175" s="124"/>
      <c r="E175" s="124"/>
      <c r="F175" s="124"/>
      <c r="G175" s="124"/>
      <c r="H175" s="125"/>
      <c r="I175" s="126"/>
      <c r="J175" s="125"/>
      <c r="K175" s="125"/>
      <c r="L175" s="127"/>
      <c r="M175" s="128"/>
      <c r="N175" s="128"/>
      <c r="O175" s="129"/>
      <c r="P175" s="48"/>
      <c r="Q175" s="107"/>
      <c r="R175" s="107"/>
      <c r="S175" s="107"/>
      <c r="T175" s="107"/>
      <c r="U175" s="16"/>
      <c r="V175" s="16"/>
      <c r="W175" s="16"/>
      <c r="X175" s="16"/>
      <c r="Y175" s="16"/>
      <c r="Z175" s="16"/>
      <c r="AA175" s="16"/>
      <c r="AB175" s="16"/>
      <c r="AC175" s="16"/>
      <c r="AD175" s="55"/>
      <c r="AE175" s="56"/>
      <c r="AF175" s="57"/>
      <c r="AG175" s="57"/>
      <c r="AH175" s="57"/>
      <c r="AI175" s="57"/>
      <c r="AJ175" s="58"/>
      <c r="AK175" s="58"/>
      <c r="AL175" s="58"/>
      <c r="AM175" s="59"/>
      <c r="AN175" s="60"/>
      <c r="AO175" s="16"/>
      <c r="AP175" s="16"/>
      <c r="AQ175" s="61"/>
    </row>
    <row r="176" ht="27.0" customHeight="1">
      <c r="A176" s="44"/>
      <c r="B176" s="45" t="s">
        <v>47</v>
      </c>
      <c r="C176" s="46"/>
      <c r="D176" s="46"/>
      <c r="E176" s="46"/>
      <c r="F176" s="46"/>
      <c r="G176" s="46"/>
      <c r="H176" s="46"/>
      <c r="I176" s="46"/>
      <c r="J176" s="46"/>
      <c r="K176" s="46"/>
      <c r="L176" s="46"/>
      <c r="M176" s="46"/>
      <c r="N176" s="46"/>
      <c r="O176" s="47"/>
      <c r="P176" s="48"/>
      <c r="Q176" s="16"/>
      <c r="R176" s="16"/>
      <c r="S176" s="16"/>
      <c r="T176" s="16"/>
      <c r="U176" s="16"/>
      <c r="V176" s="16"/>
      <c r="W176" s="16"/>
      <c r="X176" s="16"/>
      <c r="Y176" s="16"/>
      <c r="Z176" s="16"/>
      <c r="AA176" s="16"/>
      <c r="AB176" s="16"/>
      <c r="AC176" s="16"/>
      <c r="AD176" s="55"/>
      <c r="AE176" s="56"/>
      <c r="AF176" s="57"/>
      <c r="AG176" s="57"/>
      <c r="AH176" s="57"/>
      <c r="AI176" s="57"/>
      <c r="AJ176" s="58"/>
      <c r="AK176" s="58"/>
      <c r="AL176" s="58"/>
      <c r="AM176" s="59"/>
      <c r="AN176" s="60"/>
      <c r="AO176" s="16"/>
      <c r="AP176" s="16"/>
      <c r="AQ176" s="61"/>
    </row>
    <row r="177" ht="13.5" customHeight="1">
      <c r="A177" s="44"/>
      <c r="B177" s="49" t="s">
        <v>8</v>
      </c>
      <c r="C177" s="50">
        <v>0.0</v>
      </c>
      <c r="D177" s="51" t="s">
        <v>9</v>
      </c>
      <c r="E177" s="50">
        <v>600.0</v>
      </c>
      <c r="F177" s="52"/>
      <c r="G177" s="53"/>
      <c r="H177" s="53"/>
      <c r="I177" s="53"/>
      <c r="J177" s="53"/>
      <c r="K177" s="53"/>
      <c r="L177" s="53"/>
      <c r="M177" s="53"/>
      <c r="N177" s="53"/>
      <c r="O177" s="54"/>
      <c r="P177" s="48"/>
      <c r="Q177" s="16"/>
      <c r="R177" s="16"/>
      <c r="S177" s="16"/>
      <c r="T177" s="16"/>
      <c r="U177" s="16"/>
      <c r="V177" s="16"/>
      <c r="W177" s="16"/>
      <c r="X177" s="16"/>
      <c r="Y177" s="16"/>
      <c r="Z177" s="16"/>
      <c r="AA177" s="16"/>
      <c r="AB177" s="16"/>
      <c r="AC177" s="16"/>
      <c r="AD177" s="55"/>
      <c r="AE177" s="56"/>
      <c r="AF177" s="57"/>
      <c r="AG177" s="57"/>
      <c r="AH177" s="57"/>
      <c r="AI177" s="57"/>
      <c r="AJ177" s="58"/>
      <c r="AK177" s="58"/>
      <c r="AL177" s="58"/>
      <c r="AM177" s="59"/>
      <c r="AN177" s="60"/>
      <c r="AO177" s="16"/>
      <c r="AP177" s="16"/>
      <c r="AQ177" s="61"/>
    </row>
    <row r="178" ht="13.5" customHeight="1">
      <c r="A178" s="44"/>
      <c r="B178" s="62" t="s">
        <v>10</v>
      </c>
      <c r="C178" s="63">
        <v>0.1</v>
      </c>
      <c r="D178" s="64"/>
      <c r="E178" s="65"/>
      <c r="F178" s="66"/>
      <c r="G178" s="67"/>
      <c r="H178" s="68" t="s">
        <v>11</v>
      </c>
      <c r="I178" s="69"/>
      <c r="J178" s="70"/>
      <c r="K178" s="66"/>
      <c r="L178" s="66"/>
      <c r="M178" s="66"/>
      <c r="N178" s="66"/>
      <c r="O178" s="71"/>
      <c r="P178" s="48"/>
      <c r="Q178" s="16"/>
      <c r="R178" s="16"/>
      <c r="S178" s="16"/>
      <c r="T178" s="16"/>
      <c r="U178" s="16"/>
      <c r="V178" s="16"/>
      <c r="W178" s="16"/>
      <c r="X178" s="16"/>
      <c r="Y178" s="16"/>
      <c r="Z178" s="16"/>
      <c r="AA178" s="16"/>
      <c r="AB178" s="16"/>
      <c r="AC178" s="16"/>
      <c r="AD178" s="55"/>
      <c r="AE178" s="56"/>
      <c r="AF178" s="57"/>
      <c r="AG178" s="57"/>
      <c r="AH178" s="57"/>
      <c r="AI178" s="57"/>
      <c r="AJ178" s="58"/>
      <c r="AK178" s="58"/>
      <c r="AL178" s="58"/>
      <c r="AM178" s="59"/>
      <c r="AN178" s="60"/>
      <c r="AO178" s="16"/>
      <c r="AP178" s="16"/>
      <c r="AQ178" s="61"/>
    </row>
    <row r="179" ht="13.5" customHeight="1">
      <c r="A179" s="44"/>
      <c r="B179" s="72" t="s">
        <v>12</v>
      </c>
      <c r="C179" s="73" t="s">
        <v>49</v>
      </c>
      <c r="D179" s="74" t="s">
        <v>14</v>
      </c>
      <c r="E179" s="75">
        <f t="array" ref="E179">MAX(Q185:Q189)</f>
        <v>0.1</v>
      </c>
      <c r="F179" s="76" t="str">
        <f t="array" ref="F179">C179</f>
        <v>µA</v>
      </c>
      <c r="G179" s="67"/>
      <c r="H179" s="68" t="s">
        <v>15</v>
      </c>
      <c r="I179" s="77" t="s">
        <v>16</v>
      </c>
      <c r="J179" s="78"/>
      <c r="K179" s="79"/>
      <c r="L179" s="66"/>
      <c r="M179" s="66"/>
      <c r="N179" s="66"/>
      <c r="O179" s="71"/>
      <c r="P179" s="48"/>
      <c r="Q179" s="16"/>
      <c r="R179" s="16"/>
      <c r="S179" s="16"/>
      <c r="T179" s="16"/>
      <c r="U179" s="16"/>
      <c r="V179" s="16"/>
      <c r="W179" s="16"/>
      <c r="X179" s="16"/>
      <c r="Y179" s="16"/>
      <c r="Z179" s="16"/>
      <c r="AA179" s="16"/>
      <c r="AB179" s="16"/>
      <c r="AC179" s="16"/>
      <c r="AD179" s="55"/>
      <c r="AE179" s="56"/>
      <c r="AF179" s="57"/>
      <c r="AG179" s="57"/>
      <c r="AH179" s="57"/>
      <c r="AI179" s="57"/>
      <c r="AJ179" s="58"/>
      <c r="AK179" s="58"/>
      <c r="AL179" s="58"/>
      <c r="AM179" s="59"/>
      <c r="AN179" s="60"/>
      <c r="AO179" s="16"/>
      <c r="AP179" s="16"/>
      <c r="AQ179" s="61"/>
    </row>
    <row r="180" ht="12.75" customHeight="1">
      <c r="A180" s="44"/>
      <c r="B180" s="80"/>
      <c r="C180" s="65"/>
      <c r="D180" s="76" t="s">
        <v>17</v>
      </c>
      <c r="E180" s="81">
        <f t="array" ref="E180">MAX(O185:O189)</f>
        <v>0.1662327685</v>
      </c>
      <c r="F180" s="76" t="str">
        <f t="array" ref="F180">C179</f>
        <v>µA</v>
      </c>
      <c r="G180" s="67"/>
      <c r="H180" s="82"/>
      <c r="I180" s="68" t="s">
        <v>18</v>
      </c>
      <c r="J180" s="82"/>
      <c r="K180" s="79"/>
      <c r="L180" s="66"/>
      <c r="M180" s="66"/>
      <c r="N180" s="66"/>
      <c r="O180" s="71"/>
      <c r="P180" s="48"/>
      <c r="Q180" s="16"/>
      <c r="R180" s="16"/>
      <c r="S180" s="16"/>
      <c r="T180" s="16"/>
      <c r="U180" s="16"/>
      <c r="V180" s="16"/>
      <c r="W180" s="16"/>
      <c r="X180" s="16"/>
      <c r="Y180" s="16"/>
      <c r="Z180" s="16"/>
      <c r="AA180" s="16"/>
      <c r="AB180" s="16"/>
      <c r="AC180" s="16"/>
      <c r="AD180" s="55"/>
      <c r="AE180" s="56"/>
      <c r="AF180" s="57"/>
      <c r="AG180" s="57"/>
      <c r="AH180" s="57"/>
      <c r="AI180" s="57"/>
      <c r="AJ180" s="58"/>
      <c r="AK180" s="58"/>
      <c r="AL180" s="58"/>
      <c r="AM180" s="59"/>
      <c r="AN180" s="60"/>
      <c r="AO180" s="16"/>
      <c r="AP180" s="16"/>
      <c r="AQ180" s="61"/>
    </row>
    <row r="181" ht="12.75" customHeight="1">
      <c r="A181" s="44"/>
      <c r="B181" s="83"/>
      <c r="C181" s="66"/>
      <c r="D181" s="66"/>
      <c r="E181" s="66"/>
      <c r="F181" s="66"/>
      <c r="G181" s="67"/>
      <c r="H181" s="82"/>
      <c r="I181" s="68" t="s">
        <v>19</v>
      </c>
      <c r="J181" s="82"/>
      <c r="K181" s="79"/>
      <c r="L181" s="66"/>
      <c r="M181" s="66"/>
      <c r="N181" s="66"/>
      <c r="O181" s="84"/>
      <c r="P181" s="48"/>
      <c r="Q181" s="16"/>
      <c r="R181" s="16"/>
      <c r="S181" s="16"/>
      <c r="T181" s="16"/>
      <c r="U181" s="16"/>
      <c r="V181" s="16"/>
      <c r="W181" s="16"/>
      <c r="X181" s="16"/>
      <c r="Y181" s="16"/>
      <c r="Z181" s="16"/>
      <c r="AA181" s="16"/>
      <c r="AB181" s="16"/>
      <c r="AC181" s="16"/>
      <c r="AD181" s="55"/>
      <c r="AE181" s="56"/>
      <c r="AF181" s="57"/>
      <c r="AG181" s="57"/>
      <c r="AH181" s="57"/>
      <c r="AI181" s="57"/>
      <c r="AJ181" s="58"/>
      <c r="AK181" s="58"/>
      <c r="AL181" s="58"/>
      <c r="AM181" s="59"/>
      <c r="AN181" s="60"/>
      <c r="AO181" s="16"/>
      <c r="AP181" s="16"/>
      <c r="AQ181" s="61"/>
    </row>
    <row r="182" ht="12.75" customHeight="1">
      <c r="A182" s="44"/>
      <c r="B182" s="85" t="s">
        <v>20</v>
      </c>
      <c r="C182" s="69"/>
      <c r="D182" s="70"/>
      <c r="E182" s="70"/>
      <c r="F182" s="70"/>
      <c r="G182" s="86"/>
      <c r="H182" s="87" t="s">
        <v>21</v>
      </c>
      <c r="I182" s="88">
        <v>5502.0</v>
      </c>
      <c r="J182" s="88"/>
      <c r="K182" s="69"/>
      <c r="L182" s="70"/>
      <c r="M182" s="70"/>
      <c r="N182" s="86"/>
      <c r="O182" s="89" t="s">
        <v>22</v>
      </c>
      <c r="P182" s="48"/>
      <c r="Q182" s="16"/>
      <c r="R182" s="16"/>
      <c r="S182" s="16"/>
      <c r="T182" s="16"/>
      <c r="U182" s="16"/>
      <c r="V182" s="16"/>
      <c r="W182" s="16"/>
      <c r="X182" s="16"/>
      <c r="Y182" s="16"/>
      <c r="Z182" s="16"/>
      <c r="AA182" s="16"/>
      <c r="AB182" s="16"/>
      <c r="AC182" s="16"/>
      <c r="AD182" s="55"/>
      <c r="AE182" s="56"/>
      <c r="AF182" s="57"/>
      <c r="AG182" s="57"/>
      <c r="AH182" s="57"/>
      <c r="AI182" s="57"/>
      <c r="AJ182" s="58"/>
      <c r="AK182" s="58"/>
      <c r="AL182" s="58"/>
      <c r="AM182" s="59"/>
      <c r="AN182" s="60"/>
      <c r="AO182" s="16"/>
      <c r="AP182" s="16"/>
      <c r="AQ182" s="61"/>
    </row>
    <row r="183" ht="12.75" customHeight="1">
      <c r="A183" s="44"/>
      <c r="B183" s="90" t="s">
        <v>23</v>
      </c>
      <c r="C183" s="77" t="s">
        <v>24</v>
      </c>
      <c r="D183" s="77" t="s">
        <v>25</v>
      </c>
      <c r="E183" s="77" t="s">
        <v>26</v>
      </c>
      <c r="F183" s="77" t="s">
        <v>27</v>
      </c>
      <c r="G183" s="77" t="s">
        <v>28</v>
      </c>
      <c r="H183" s="77" t="s">
        <v>29</v>
      </c>
      <c r="I183" s="77" t="s">
        <v>30</v>
      </c>
      <c r="J183" s="77" t="s">
        <v>31</v>
      </c>
      <c r="K183" s="77" t="s">
        <v>32</v>
      </c>
      <c r="L183" s="77" t="s">
        <v>33</v>
      </c>
      <c r="M183" s="77" t="s">
        <v>34</v>
      </c>
      <c r="N183" s="91"/>
      <c r="O183" s="92" t="s">
        <v>35</v>
      </c>
      <c r="P183" s="48"/>
      <c r="Q183" s="16"/>
      <c r="R183" s="16"/>
      <c r="S183" s="16"/>
      <c r="T183" s="16"/>
      <c r="U183" s="16"/>
      <c r="V183" s="16"/>
      <c r="W183" s="16"/>
      <c r="X183" s="16"/>
      <c r="Y183" s="16"/>
      <c r="Z183" s="16"/>
      <c r="AA183" s="16"/>
      <c r="AB183" s="16"/>
      <c r="AC183" s="16"/>
      <c r="AD183" s="55"/>
      <c r="AE183" s="56"/>
      <c r="AF183" s="57"/>
      <c r="AG183" s="57"/>
      <c r="AH183" s="57"/>
      <c r="AI183" s="57"/>
      <c r="AJ183" s="58"/>
      <c r="AK183" s="58"/>
      <c r="AL183" s="58"/>
      <c r="AM183" s="59"/>
      <c r="AN183" s="60"/>
      <c r="AO183" s="16"/>
      <c r="AP183" s="16"/>
      <c r="AQ183" s="61"/>
    </row>
    <row r="184" ht="12.75" customHeight="1">
      <c r="A184" s="44"/>
      <c r="B184" s="93" t="str">
        <f t="array" ref="B184">C179</f>
        <v>µA</v>
      </c>
      <c r="C184" s="87" t="str">
        <f t="array" ref="C184">$B184</f>
        <v>µA</v>
      </c>
      <c r="D184" s="87" t="str">
        <f t="array" ref="D184">$B184</f>
        <v>µA</v>
      </c>
      <c r="E184" s="87" t="str">
        <f t="array" ref="E184">$B184</f>
        <v>µA</v>
      </c>
      <c r="F184" s="87" t="str">
        <f t="array" ref="F184">$B184</f>
        <v>µA</v>
      </c>
      <c r="G184" s="87" t="str">
        <f t="array" ref="G184">$B184</f>
        <v>µA</v>
      </c>
      <c r="H184" s="87" t="str">
        <f t="array" ref="H184">$B184</f>
        <v>µA</v>
      </c>
      <c r="I184" s="87" t="str">
        <f t="array" ref="I184">$B184</f>
        <v>µA</v>
      </c>
      <c r="J184" s="87" t="str">
        <f t="array" ref="J184">$B184</f>
        <v>µA</v>
      </c>
      <c r="K184" s="87" t="str">
        <f t="array" ref="K184">$B184</f>
        <v>µA</v>
      </c>
      <c r="L184" s="87" t="str">
        <f t="array" ref="L184">$B184</f>
        <v>µA</v>
      </c>
      <c r="M184" s="94" t="s">
        <v>36</v>
      </c>
      <c r="N184" s="87" t="s">
        <v>37</v>
      </c>
      <c r="O184" s="95" t="str">
        <f t="array" ref="O184">$B184</f>
        <v>µA</v>
      </c>
      <c r="P184" s="48"/>
      <c r="Q184" s="96" t="s">
        <v>38</v>
      </c>
      <c r="R184" s="96" t="s">
        <v>39</v>
      </c>
      <c r="S184" s="96" t="s">
        <v>40</v>
      </c>
      <c r="T184" s="97" t="s">
        <v>41</v>
      </c>
      <c r="U184" s="16"/>
      <c r="V184" s="16"/>
      <c r="W184" s="16"/>
      <c r="X184" s="16"/>
      <c r="Y184" s="16"/>
      <c r="Z184" s="16"/>
      <c r="AA184" s="16"/>
      <c r="AB184" s="16"/>
      <c r="AC184" s="16"/>
      <c r="AD184" s="55"/>
      <c r="AE184" s="56"/>
      <c r="AF184" s="57"/>
      <c r="AG184" s="57"/>
      <c r="AH184" s="57"/>
      <c r="AI184" s="57"/>
      <c r="AJ184" s="58"/>
      <c r="AK184" s="58"/>
      <c r="AL184" s="58"/>
      <c r="AM184" s="59"/>
      <c r="AN184" s="60"/>
      <c r="AO184" s="16"/>
      <c r="AP184" s="16"/>
      <c r="AQ184" s="61"/>
    </row>
    <row r="185" ht="12.75" customHeight="1">
      <c r="A185" s="98"/>
      <c r="B185" s="99">
        <f t="array" ref="B185">E177*0.1</f>
        <v>60</v>
      </c>
      <c r="C185" s="139">
        <v>60.0</v>
      </c>
      <c r="D185" s="140">
        <v>60.0</v>
      </c>
      <c r="E185" s="140">
        <v>60.0</v>
      </c>
      <c r="F185" s="140">
        <v>60.0</v>
      </c>
      <c r="G185" s="141">
        <v>60.0</v>
      </c>
      <c r="H185" s="103">
        <f t="array" ref="H185">STDEV(C185:G185)*1.4</f>
        <v>0</v>
      </c>
      <c r="I185" s="104">
        <f t="array" ref="I185">0.27/2</f>
        <v>0.135</v>
      </c>
      <c r="J185" s="103">
        <f t="array" ref="J185">I185/SQRT(3)</f>
        <v>0.07794228634</v>
      </c>
      <c r="K185" s="103">
        <f t="array" ref="K185">(C$178)/SQRT(12)</f>
        <v>0.02886751346</v>
      </c>
      <c r="L185" s="105">
        <f t="array" ref="L185">SQRT(H185^2+J185^2+(K185)^2)</f>
        <v>0.08311638427</v>
      </c>
      <c r="M185" s="91" t="str">
        <f t="array" ref="M185">IF(ISERROR((L185^4)/(H185^4/4))=TRUE,"∞",((L185^4)/(H185^4/4)))</f>
        <v>∞</v>
      </c>
      <c r="N185" s="91">
        <f t="array" ref="N185">IF(ISERROR(TINV(0.05,M185))=TRUE,2,TINV(0.05,M185))</f>
        <v>2</v>
      </c>
      <c r="O185" s="106">
        <f t="array" ref="O185">L185*N185</f>
        <v>0.1662327685</v>
      </c>
      <c r="P185" s="48"/>
      <c r="Q185" s="107">
        <f t="array" ref="Q185">AVERAGE(C185:G185)-B185</f>
        <v>0</v>
      </c>
      <c r="R185" s="107">
        <f t="array" ref="R185">Q185+O185</f>
        <v>0.1662327685</v>
      </c>
      <c r="S185" s="107">
        <f t="array" ref="S185">Q185-O185</f>
        <v>-0.1662327685</v>
      </c>
      <c r="T185" s="107">
        <f t="array" ref="T185">ABS(Q185)</f>
        <v>0</v>
      </c>
      <c r="U185" s="16"/>
      <c r="V185" s="16"/>
      <c r="W185" s="16"/>
      <c r="X185" s="16"/>
      <c r="Y185" s="16"/>
      <c r="Z185" s="16"/>
      <c r="AA185" s="16"/>
      <c r="AB185" s="16"/>
      <c r="AC185" s="16"/>
      <c r="AD185" s="55"/>
      <c r="AE185" s="56"/>
      <c r="AF185" s="57"/>
      <c r="AG185" s="57"/>
      <c r="AH185" s="57"/>
      <c r="AI185" s="57"/>
      <c r="AJ185" s="58"/>
      <c r="AK185" s="58"/>
      <c r="AL185" s="58"/>
      <c r="AM185" s="59"/>
      <c r="AN185" s="60"/>
      <c r="AO185" s="16"/>
      <c r="AP185" s="16"/>
      <c r="AQ185" s="61"/>
    </row>
    <row r="186" ht="12.75" customHeight="1">
      <c r="A186" s="98"/>
      <c r="B186" s="108">
        <f t="array" ref="B186">E177*0.25</f>
        <v>150</v>
      </c>
      <c r="C186" s="142">
        <v>150.0</v>
      </c>
      <c r="D186" s="143">
        <v>150.0</v>
      </c>
      <c r="E186" s="143">
        <v>150.0</v>
      </c>
      <c r="F186" s="143">
        <v>150.0</v>
      </c>
      <c r="G186" s="144">
        <v>150.0</v>
      </c>
      <c r="H186" s="112">
        <f t="array" ref="H186">STDEV(C186:G186)*1.4</f>
        <v>0</v>
      </c>
      <c r="I186" s="104">
        <f t="array" ref="I186">0.27/2</f>
        <v>0.135</v>
      </c>
      <c r="J186" s="112">
        <f t="array" ref="J186">I186/SQRT(3)</f>
        <v>0.07794228634</v>
      </c>
      <c r="K186" s="112">
        <v>2.88675134594813E-4</v>
      </c>
      <c r="L186" s="113">
        <f t="array" ref="L186">SQRT(H186^2+J186^2+(K186)^2)</f>
        <v>0.07794282092</v>
      </c>
      <c r="M186" s="114" t="str">
        <f t="array" ref="M186">IF(ISERROR((L186^4)/(H186^4/4))=TRUE,"∞",((L186^4)/(H186^4/4)))</f>
        <v>∞</v>
      </c>
      <c r="N186" s="114">
        <f t="array" ref="N186">IF(ISERROR(TINV(0.05,M186))=TRUE,2,TINV(0.05,M186))</f>
        <v>2</v>
      </c>
      <c r="O186" s="115">
        <f t="array" ref="O186">L186*N186</f>
        <v>0.1558856418</v>
      </c>
      <c r="P186" s="48"/>
      <c r="Q186" s="107">
        <f t="array" ref="Q186">AVERAGE(C186:G186)-B186</f>
        <v>0</v>
      </c>
      <c r="R186" s="107">
        <f t="array" ref="R186">Q186+O186</f>
        <v>0.1558856418</v>
      </c>
      <c r="S186" s="107">
        <f t="array" ref="S186">Q186-O186</f>
        <v>-0.1558856418</v>
      </c>
      <c r="T186" s="107">
        <f t="array" ref="T186">ABS(Q186)</f>
        <v>0</v>
      </c>
      <c r="U186" s="16"/>
      <c r="V186" s="16"/>
      <c r="W186" s="16"/>
      <c r="X186" s="16"/>
      <c r="Y186" s="16"/>
      <c r="Z186" s="16"/>
      <c r="AA186" s="16"/>
      <c r="AB186" s="16"/>
      <c r="AC186" s="16"/>
      <c r="AD186" s="55"/>
      <c r="AE186" s="56"/>
      <c r="AF186" s="57"/>
      <c r="AG186" s="57"/>
      <c r="AH186" s="57"/>
      <c r="AI186" s="57"/>
      <c r="AJ186" s="58"/>
      <c r="AK186" s="58"/>
      <c r="AL186" s="58"/>
      <c r="AM186" s="59"/>
      <c r="AN186" s="60"/>
      <c r="AO186" s="16"/>
      <c r="AP186" s="16"/>
      <c r="AQ186" s="61"/>
    </row>
    <row r="187" ht="12.75" customHeight="1">
      <c r="A187" s="98"/>
      <c r="B187" s="108">
        <f t="array" ref="B187">E177*0.5</f>
        <v>300</v>
      </c>
      <c r="C187" s="142">
        <v>300.0</v>
      </c>
      <c r="D187" s="143">
        <v>300.0</v>
      </c>
      <c r="E187" s="143">
        <v>300.0</v>
      </c>
      <c r="F187" s="143">
        <v>300.0</v>
      </c>
      <c r="G187" s="144">
        <v>300.0</v>
      </c>
      <c r="H187" s="112">
        <f t="array" ref="H187">STDEV(C187:G187)*1.4</f>
        <v>0</v>
      </c>
      <c r="I187" s="104">
        <f t="array" ref="I187">0.27/2</f>
        <v>0.135</v>
      </c>
      <c r="J187" s="112">
        <f t="array" ref="J187">I187/SQRT(3)</f>
        <v>0.07794228634</v>
      </c>
      <c r="K187" s="112">
        <v>2.88675134594813E-4</v>
      </c>
      <c r="L187" s="113">
        <f t="array" ref="L187">SQRT(H187^2+J187^2+(K187)^2)</f>
        <v>0.07794282092</v>
      </c>
      <c r="M187" s="114" t="str">
        <f t="array" ref="M187">IF(ISERROR((L187^4)/(H187^4/4))=TRUE,"∞",((L187^4)/(H187^4/4)))</f>
        <v>∞</v>
      </c>
      <c r="N187" s="114">
        <f t="array" ref="N187">IF(ISERROR(TINV(0.05,M187))=TRUE,2,TINV(0.05,M187))</f>
        <v>2</v>
      </c>
      <c r="O187" s="115">
        <f t="array" ref="O187">L187*N187</f>
        <v>0.1558856418</v>
      </c>
      <c r="P187" s="48"/>
      <c r="Q187" s="107">
        <f t="array" ref="Q187">AVERAGE(C187:G187)-B187</f>
        <v>0</v>
      </c>
      <c r="R187" s="107">
        <f t="array" ref="R187">Q187+O187</f>
        <v>0.1558856418</v>
      </c>
      <c r="S187" s="107">
        <f t="array" ref="S187">Q187-O187</f>
        <v>-0.1558856418</v>
      </c>
      <c r="T187" s="107">
        <f t="array" ref="T187">ABS(Q187)</f>
        <v>0</v>
      </c>
      <c r="U187" s="16"/>
      <c r="V187" s="16"/>
      <c r="W187" s="16"/>
      <c r="X187" s="16"/>
      <c r="Y187" s="16"/>
      <c r="Z187" s="16"/>
      <c r="AA187" s="16"/>
      <c r="AB187" s="16"/>
      <c r="AC187" s="16"/>
      <c r="AD187" s="55"/>
      <c r="AE187" s="56"/>
      <c r="AF187" s="57"/>
      <c r="AG187" s="57"/>
      <c r="AH187" s="57"/>
      <c r="AI187" s="57"/>
      <c r="AJ187" s="58"/>
      <c r="AK187" s="58"/>
      <c r="AL187" s="58"/>
      <c r="AM187" s="59"/>
      <c r="AN187" s="60"/>
      <c r="AO187" s="16"/>
      <c r="AP187" s="16"/>
      <c r="AQ187" s="61"/>
    </row>
    <row r="188" ht="12.75" customHeight="1">
      <c r="A188" s="98"/>
      <c r="B188" s="108">
        <f t="array" ref="B188">E177*0.75</f>
        <v>450</v>
      </c>
      <c r="C188" s="142">
        <v>450.1</v>
      </c>
      <c r="D188" s="143">
        <v>450.1</v>
      </c>
      <c r="E188" s="143">
        <v>450.1</v>
      </c>
      <c r="F188" s="143">
        <v>450.1</v>
      </c>
      <c r="G188" s="144">
        <v>450.1</v>
      </c>
      <c r="H188" s="112">
        <f t="array" ref="H188">STDEV(C188:G188)*1.4</f>
        <v>0</v>
      </c>
      <c r="I188" s="104">
        <f t="array" ref="I188">0.27/2</f>
        <v>0.135</v>
      </c>
      <c r="J188" s="112">
        <f t="array" ref="J188">I188/SQRT(3)</f>
        <v>0.07794228634</v>
      </c>
      <c r="K188" s="112">
        <v>2.88675134594813E-4</v>
      </c>
      <c r="L188" s="113">
        <f t="array" ref="L188">SQRT(H188^2+J188^2+(K188)^2)</f>
        <v>0.07794282092</v>
      </c>
      <c r="M188" s="114" t="str">
        <f t="array" ref="M188">IF(ISERROR((L188^4)/(H188^4/4))=TRUE,"∞",((L188^4)/(H188^4/4)))</f>
        <v>∞</v>
      </c>
      <c r="N188" s="114">
        <f t="array" ref="N188">IF(ISERROR(TINV(0.05,M188))=TRUE,2,TINV(0.05,M188))</f>
        <v>2</v>
      </c>
      <c r="O188" s="115">
        <f t="array" ref="O188">L188*N188</f>
        <v>0.1558856418</v>
      </c>
      <c r="P188" s="48"/>
      <c r="Q188" s="107">
        <f t="array" ref="Q188">AVERAGE(C188:G188)-B188</f>
        <v>0.1</v>
      </c>
      <c r="R188" s="107">
        <f t="array" ref="R188">Q188+O188</f>
        <v>0.2558856418</v>
      </c>
      <c r="S188" s="107">
        <f t="array" ref="S188">Q188-O188</f>
        <v>-0.05588564184</v>
      </c>
      <c r="T188" s="107">
        <f t="array" ref="T188">ABS(Q188)</f>
        <v>0.1</v>
      </c>
      <c r="U188" s="16"/>
      <c r="V188" s="16"/>
      <c r="W188" s="16"/>
      <c r="X188" s="16"/>
      <c r="Y188" s="16"/>
      <c r="Z188" s="16"/>
      <c r="AA188" s="16"/>
      <c r="AB188" s="16"/>
      <c r="AC188" s="16"/>
      <c r="AD188" s="55"/>
      <c r="AE188" s="56"/>
      <c r="AF188" s="57"/>
      <c r="AG188" s="57"/>
      <c r="AH188" s="57"/>
      <c r="AI188" s="57"/>
      <c r="AJ188" s="58"/>
      <c r="AK188" s="58"/>
      <c r="AL188" s="58"/>
      <c r="AM188" s="59"/>
      <c r="AN188" s="60"/>
      <c r="AO188" s="16"/>
      <c r="AP188" s="16"/>
      <c r="AQ188" s="61"/>
    </row>
    <row r="189" ht="12.75" customHeight="1">
      <c r="A189" s="98"/>
      <c r="B189" s="116">
        <f t="array" ref="B189">E177*0.9</f>
        <v>540</v>
      </c>
      <c r="C189" s="145">
        <v>540.1</v>
      </c>
      <c r="D189" s="146">
        <v>540.1</v>
      </c>
      <c r="E189" s="146">
        <v>540.1</v>
      </c>
      <c r="F189" s="146">
        <v>540.1</v>
      </c>
      <c r="G189" s="147">
        <v>540.1</v>
      </c>
      <c r="H189" s="120">
        <f t="array" ref="H189">STDEV(C189:G189)*1.4</f>
        <v>0</v>
      </c>
      <c r="I189" s="103">
        <f t="array" ref="I189">0.27/2</f>
        <v>0.135</v>
      </c>
      <c r="J189" s="120">
        <f t="array" ref="J189">I189/SQRT(3)</f>
        <v>0.07794228634</v>
      </c>
      <c r="K189" s="120">
        <v>2.88675134594813E-4</v>
      </c>
      <c r="L189" s="121">
        <f t="array" ref="L189">SQRT(H189^2+J189^2+(K189)^2)</f>
        <v>0.07794282092</v>
      </c>
      <c r="M189" s="122" t="str">
        <f t="array" ref="M189">IF(ISERROR((L189^4)/(H189^4/4))=TRUE,"∞",((L189^4)/(H189^4/4)))</f>
        <v>∞</v>
      </c>
      <c r="N189" s="122">
        <f t="array" ref="N189">IF(ISERROR(TINV(0.05,M189))=TRUE,2,TINV(0.05,M189))</f>
        <v>2</v>
      </c>
      <c r="O189" s="123">
        <f t="array" ref="O189">L189*N189</f>
        <v>0.1558856418</v>
      </c>
      <c r="P189" s="48"/>
      <c r="Q189" s="107">
        <f t="array" ref="Q189">AVERAGE(C189:G189)-B189</f>
        <v>0.1</v>
      </c>
      <c r="R189" s="107">
        <f t="array" ref="R189">Q189+O189</f>
        <v>0.2558856418</v>
      </c>
      <c r="S189" s="107">
        <f t="array" ref="S189">Q189-O189</f>
        <v>-0.05588564184</v>
      </c>
      <c r="T189" s="107">
        <f t="array" ref="T189">ABS(Q189)</f>
        <v>0.1</v>
      </c>
      <c r="U189" s="16"/>
      <c r="V189" s="16"/>
      <c r="W189" s="16"/>
      <c r="X189" s="16"/>
      <c r="Y189" s="16"/>
      <c r="Z189" s="16"/>
      <c r="AA189" s="16"/>
      <c r="AB189" s="16"/>
      <c r="AC189" s="16"/>
      <c r="AD189" s="55"/>
      <c r="AE189" s="56"/>
      <c r="AF189" s="57"/>
      <c r="AG189" s="57"/>
      <c r="AH189" s="57"/>
      <c r="AI189" s="57"/>
      <c r="AJ189" s="58"/>
      <c r="AK189" s="58"/>
      <c r="AL189" s="58"/>
      <c r="AM189" s="59"/>
      <c r="AN189" s="60"/>
      <c r="AO189" s="16"/>
      <c r="AP189" s="16"/>
      <c r="AQ189" s="61"/>
    </row>
    <row r="190" ht="13.5" customHeight="1">
      <c r="A190" s="15"/>
      <c r="B190" s="124"/>
      <c r="C190" s="124"/>
      <c r="D190" s="124"/>
      <c r="E190" s="124"/>
      <c r="F190" s="124"/>
      <c r="G190" s="124"/>
      <c r="H190" s="125"/>
      <c r="I190" s="126"/>
      <c r="J190" s="125"/>
      <c r="K190" s="125"/>
      <c r="L190" s="127"/>
      <c r="M190" s="128"/>
      <c r="N190" s="128"/>
      <c r="O190" s="129"/>
      <c r="P190" s="48"/>
      <c r="Q190" s="107"/>
      <c r="R190" s="107"/>
      <c r="S190" s="107"/>
      <c r="T190" s="107"/>
      <c r="U190" s="16"/>
      <c r="V190" s="16"/>
      <c r="W190" s="16"/>
      <c r="X190" s="16"/>
      <c r="Y190" s="16"/>
      <c r="Z190" s="16"/>
      <c r="AA190" s="16"/>
      <c r="AB190" s="16"/>
      <c r="AC190" s="16"/>
      <c r="AD190" s="55"/>
      <c r="AE190" s="56"/>
      <c r="AF190" s="57"/>
      <c r="AG190" s="57"/>
      <c r="AH190" s="57"/>
      <c r="AI190" s="57"/>
      <c r="AJ190" s="58"/>
      <c r="AK190" s="58"/>
      <c r="AL190" s="58"/>
      <c r="AM190" s="59"/>
      <c r="AN190" s="60"/>
      <c r="AO190" s="16"/>
      <c r="AP190" s="16"/>
      <c r="AQ190" s="61"/>
    </row>
    <row r="191" ht="27.0" customHeight="1">
      <c r="A191" s="44"/>
      <c r="B191" s="45" t="s">
        <v>50</v>
      </c>
      <c r="C191" s="46"/>
      <c r="D191" s="46"/>
      <c r="E191" s="46"/>
      <c r="F191" s="46"/>
      <c r="G191" s="46"/>
      <c r="H191" s="46"/>
      <c r="I191" s="46"/>
      <c r="J191" s="46"/>
      <c r="K191" s="46"/>
      <c r="L191" s="46"/>
      <c r="M191" s="46"/>
      <c r="N191" s="46"/>
      <c r="O191" s="47"/>
      <c r="P191" s="48"/>
      <c r="Q191" s="16"/>
      <c r="R191" s="16"/>
      <c r="S191" s="16"/>
      <c r="T191" s="16"/>
      <c r="U191" s="16"/>
      <c r="V191" s="16"/>
      <c r="W191" s="16"/>
      <c r="X191" s="16"/>
      <c r="Y191" s="16"/>
      <c r="Z191" s="16"/>
      <c r="AA191" s="16"/>
      <c r="AB191" s="16"/>
      <c r="AC191" s="16"/>
      <c r="AD191" s="55"/>
      <c r="AE191" s="56"/>
      <c r="AF191" s="57"/>
      <c r="AG191" s="57"/>
      <c r="AH191" s="57"/>
      <c r="AI191" s="57"/>
      <c r="AJ191" s="58"/>
      <c r="AK191" s="58"/>
      <c r="AL191" s="58"/>
      <c r="AM191" s="59"/>
      <c r="AN191" s="60"/>
      <c r="AO191" s="16"/>
      <c r="AP191" s="16"/>
      <c r="AQ191" s="61"/>
    </row>
    <row r="192" ht="13.5" customHeight="1">
      <c r="A192" s="44"/>
      <c r="B192" s="49" t="s">
        <v>8</v>
      </c>
      <c r="C192" s="50">
        <v>0.0</v>
      </c>
      <c r="D192" s="51" t="s">
        <v>9</v>
      </c>
      <c r="E192" s="50">
        <v>600.0</v>
      </c>
      <c r="F192" s="52"/>
      <c r="G192" s="53"/>
      <c r="H192" s="53"/>
      <c r="I192" s="53"/>
      <c r="J192" s="53"/>
      <c r="K192" s="53"/>
      <c r="L192" s="53"/>
      <c r="M192" s="53"/>
      <c r="N192" s="53"/>
      <c r="O192" s="54"/>
      <c r="P192" s="48"/>
      <c r="Q192" s="16"/>
      <c r="R192" s="16"/>
      <c r="S192" s="16"/>
      <c r="T192" s="16"/>
      <c r="U192" s="16"/>
      <c r="V192" s="16"/>
      <c r="W192" s="16"/>
      <c r="X192" s="16"/>
      <c r="Y192" s="16"/>
      <c r="Z192" s="16"/>
      <c r="AA192" s="16"/>
      <c r="AB192" s="16"/>
      <c r="AC192" s="16"/>
      <c r="AD192" s="55"/>
      <c r="AE192" s="56"/>
      <c r="AF192" s="57"/>
      <c r="AG192" s="57"/>
      <c r="AH192" s="57"/>
      <c r="AI192" s="57"/>
      <c r="AJ192" s="58"/>
      <c r="AK192" s="58"/>
      <c r="AL192" s="58"/>
      <c r="AM192" s="59"/>
      <c r="AN192" s="60"/>
      <c r="AO192" s="16"/>
      <c r="AP192" s="16"/>
      <c r="AQ192" s="61"/>
    </row>
    <row r="193" ht="13.5" customHeight="1">
      <c r="A193" s="44"/>
      <c r="B193" s="62" t="s">
        <v>10</v>
      </c>
      <c r="C193" s="63">
        <v>0.1</v>
      </c>
      <c r="D193" s="64"/>
      <c r="E193" s="65"/>
      <c r="F193" s="66"/>
      <c r="G193" s="67"/>
      <c r="H193" s="68" t="s">
        <v>11</v>
      </c>
      <c r="I193" s="69"/>
      <c r="J193" s="70"/>
      <c r="K193" s="66"/>
      <c r="L193" s="66"/>
      <c r="M193" s="66"/>
      <c r="N193" s="66"/>
      <c r="O193" s="71"/>
      <c r="P193" s="48"/>
      <c r="Q193" s="16"/>
      <c r="R193" s="16"/>
      <c r="S193" s="16"/>
      <c r="T193" s="16"/>
      <c r="U193" s="16"/>
      <c r="V193" s="16"/>
      <c r="W193" s="16"/>
      <c r="X193" s="16"/>
      <c r="Y193" s="16"/>
      <c r="Z193" s="16"/>
      <c r="AA193" s="16"/>
      <c r="AB193" s="16"/>
      <c r="AC193" s="16"/>
      <c r="AD193" s="55"/>
      <c r="AE193" s="56"/>
      <c r="AF193" s="57"/>
      <c r="AG193" s="57"/>
      <c r="AH193" s="57"/>
      <c r="AI193" s="57"/>
      <c r="AJ193" s="58"/>
      <c r="AK193" s="58"/>
      <c r="AL193" s="58"/>
      <c r="AM193" s="59"/>
      <c r="AN193" s="60"/>
      <c r="AO193" s="16"/>
      <c r="AP193" s="16"/>
      <c r="AQ193" s="61"/>
    </row>
    <row r="194" ht="13.5" customHeight="1">
      <c r="A194" s="44"/>
      <c r="B194" s="72" t="s">
        <v>12</v>
      </c>
      <c r="C194" s="73" t="s">
        <v>51</v>
      </c>
      <c r="D194" s="74" t="s">
        <v>14</v>
      </c>
      <c r="E194" s="75" t="str">
        <f t="array" ref="E194">MAX(Q200:Q204)</f>
        <v>#DIV/0!</v>
      </c>
      <c r="F194" s="76" t="str">
        <f t="array" ref="F194">C194</f>
        <v>Ω</v>
      </c>
      <c r="G194" s="67"/>
      <c r="H194" s="68" t="s">
        <v>15</v>
      </c>
      <c r="I194" s="77" t="s">
        <v>16</v>
      </c>
      <c r="J194" s="78"/>
      <c r="K194" s="79"/>
      <c r="L194" s="66"/>
      <c r="M194" s="66"/>
      <c r="N194" s="66"/>
      <c r="O194" s="71"/>
      <c r="P194" s="48"/>
      <c r="Q194" s="16"/>
      <c r="R194" s="16"/>
      <c r="S194" s="16"/>
      <c r="T194" s="16"/>
      <c r="U194" s="16"/>
      <c r="V194" s="16"/>
      <c r="W194" s="16"/>
      <c r="X194" s="16"/>
      <c r="Y194" s="16"/>
      <c r="Z194" s="16"/>
      <c r="AA194" s="16"/>
      <c r="AB194" s="16"/>
      <c r="AC194" s="16"/>
      <c r="AD194" s="55"/>
      <c r="AE194" s="56"/>
      <c r="AF194" s="57"/>
      <c r="AG194" s="57"/>
      <c r="AH194" s="57"/>
      <c r="AI194" s="57"/>
      <c r="AJ194" s="58"/>
      <c r="AK194" s="58"/>
      <c r="AL194" s="58"/>
      <c r="AM194" s="59"/>
      <c r="AN194" s="60"/>
      <c r="AO194" s="16"/>
      <c r="AP194" s="16"/>
      <c r="AQ194" s="61"/>
    </row>
    <row r="195" ht="12.75" customHeight="1">
      <c r="A195" s="44"/>
      <c r="B195" s="80"/>
      <c r="C195" s="65"/>
      <c r="D195" s="76" t="s">
        <v>17</v>
      </c>
      <c r="E195" s="81" t="str">
        <f t="array" ref="E195">MAX(O200:O204)</f>
        <v>#DIV/0!</v>
      </c>
      <c r="F195" s="76" t="str">
        <f t="array" ref="F195">C194</f>
        <v>Ω</v>
      </c>
      <c r="G195" s="67"/>
      <c r="H195" s="82"/>
      <c r="I195" s="68" t="s">
        <v>18</v>
      </c>
      <c r="J195" s="82"/>
      <c r="K195" s="79"/>
      <c r="L195" s="66"/>
      <c r="M195" s="66"/>
      <c r="N195" s="66"/>
      <c r="O195" s="71"/>
      <c r="P195" s="48"/>
      <c r="Q195" s="16"/>
      <c r="R195" s="16"/>
      <c r="S195" s="16"/>
      <c r="T195" s="16"/>
      <c r="U195" s="16"/>
      <c r="V195" s="16"/>
      <c r="W195" s="16"/>
      <c r="X195" s="16"/>
      <c r="Y195" s="16"/>
      <c r="Z195" s="16"/>
      <c r="AA195" s="16"/>
      <c r="AB195" s="16"/>
      <c r="AC195" s="16"/>
      <c r="AD195" s="55"/>
      <c r="AE195" s="56"/>
      <c r="AF195" s="57"/>
      <c r="AG195" s="57"/>
      <c r="AH195" s="57"/>
      <c r="AI195" s="57"/>
      <c r="AJ195" s="58"/>
      <c r="AK195" s="58"/>
      <c r="AL195" s="58"/>
      <c r="AM195" s="59"/>
      <c r="AN195" s="60"/>
      <c r="AO195" s="16"/>
      <c r="AP195" s="16"/>
      <c r="AQ195" s="61"/>
    </row>
    <row r="196" ht="12.75" customHeight="1">
      <c r="A196" s="44"/>
      <c r="B196" s="83"/>
      <c r="C196" s="66"/>
      <c r="D196" s="66"/>
      <c r="E196" s="66"/>
      <c r="F196" s="66"/>
      <c r="G196" s="67"/>
      <c r="H196" s="82"/>
      <c r="I196" s="68" t="s">
        <v>19</v>
      </c>
      <c r="J196" s="82"/>
      <c r="K196" s="79"/>
      <c r="L196" s="66"/>
      <c r="M196" s="66"/>
      <c r="N196" s="66"/>
      <c r="O196" s="84"/>
      <c r="P196" s="48"/>
      <c r="Q196" s="16"/>
      <c r="R196" s="16"/>
      <c r="S196" s="16"/>
      <c r="T196" s="16"/>
      <c r="U196" s="16"/>
      <c r="V196" s="16"/>
      <c r="W196" s="16"/>
      <c r="X196" s="16"/>
      <c r="Y196" s="16"/>
      <c r="Z196" s="16"/>
      <c r="AA196" s="16"/>
      <c r="AB196" s="16"/>
      <c r="AC196" s="16"/>
      <c r="AD196" s="55"/>
      <c r="AE196" s="56"/>
      <c r="AF196" s="57"/>
      <c r="AG196" s="57"/>
      <c r="AH196" s="57"/>
      <c r="AI196" s="57"/>
      <c r="AJ196" s="58"/>
      <c r="AK196" s="58"/>
      <c r="AL196" s="58"/>
      <c r="AM196" s="59"/>
      <c r="AN196" s="60"/>
      <c r="AO196" s="16"/>
      <c r="AP196" s="16"/>
      <c r="AQ196" s="61"/>
    </row>
    <row r="197" ht="12.75" customHeight="1">
      <c r="A197" s="44"/>
      <c r="B197" s="85" t="s">
        <v>20</v>
      </c>
      <c r="C197" s="69"/>
      <c r="D197" s="70"/>
      <c r="E197" s="70"/>
      <c r="F197" s="70"/>
      <c r="G197" s="86"/>
      <c r="H197" s="87" t="s">
        <v>21</v>
      </c>
      <c r="I197" s="88">
        <v>5502.0</v>
      </c>
      <c r="J197" s="88"/>
      <c r="K197" s="69"/>
      <c r="L197" s="70"/>
      <c r="M197" s="70"/>
      <c r="N197" s="86"/>
      <c r="O197" s="89" t="s">
        <v>22</v>
      </c>
      <c r="P197" s="48"/>
      <c r="Q197" s="16"/>
      <c r="R197" s="16"/>
      <c r="S197" s="16"/>
      <c r="T197" s="16"/>
      <c r="U197" s="16"/>
      <c r="V197" s="16"/>
      <c r="W197" s="16"/>
      <c r="X197" s="16"/>
      <c r="Y197" s="16"/>
      <c r="Z197" s="16"/>
      <c r="AA197" s="16"/>
      <c r="AB197" s="16"/>
      <c r="AC197" s="16"/>
      <c r="AD197" s="55"/>
      <c r="AE197" s="56"/>
      <c r="AF197" s="57"/>
      <c r="AG197" s="57"/>
      <c r="AH197" s="57"/>
      <c r="AI197" s="57"/>
      <c r="AJ197" s="58"/>
      <c r="AK197" s="58"/>
      <c r="AL197" s="58"/>
      <c r="AM197" s="59"/>
      <c r="AN197" s="60"/>
      <c r="AO197" s="16"/>
      <c r="AP197" s="16"/>
      <c r="AQ197" s="61"/>
    </row>
    <row r="198" ht="12.75" customHeight="1">
      <c r="A198" s="44"/>
      <c r="B198" s="90" t="s">
        <v>23</v>
      </c>
      <c r="C198" s="77" t="s">
        <v>24</v>
      </c>
      <c r="D198" s="77" t="s">
        <v>25</v>
      </c>
      <c r="E198" s="77" t="s">
        <v>26</v>
      </c>
      <c r="F198" s="77" t="s">
        <v>27</v>
      </c>
      <c r="G198" s="77" t="s">
        <v>28</v>
      </c>
      <c r="H198" s="77" t="s">
        <v>29</v>
      </c>
      <c r="I198" s="77" t="s">
        <v>30</v>
      </c>
      <c r="J198" s="77" t="s">
        <v>31</v>
      </c>
      <c r="K198" s="77" t="s">
        <v>32</v>
      </c>
      <c r="L198" s="77" t="s">
        <v>33</v>
      </c>
      <c r="M198" s="77" t="s">
        <v>34</v>
      </c>
      <c r="N198" s="91"/>
      <c r="O198" s="92" t="s">
        <v>35</v>
      </c>
      <c r="P198" s="48"/>
      <c r="Q198" s="16"/>
      <c r="R198" s="16"/>
      <c r="S198" s="16"/>
      <c r="T198" s="16"/>
      <c r="U198" s="16"/>
      <c r="V198" s="16"/>
      <c r="W198" s="16"/>
      <c r="X198" s="16"/>
      <c r="Y198" s="16"/>
      <c r="Z198" s="16"/>
      <c r="AA198" s="16"/>
      <c r="AB198" s="16"/>
      <c r="AC198" s="16"/>
      <c r="AD198" s="55"/>
      <c r="AE198" s="56"/>
      <c r="AF198" s="57"/>
      <c r="AG198" s="57"/>
      <c r="AH198" s="57"/>
      <c r="AI198" s="57"/>
      <c r="AJ198" s="58"/>
      <c r="AK198" s="58"/>
      <c r="AL198" s="58"/>
      <c r="AM198" s="59"/>
      <c r="AN198" s="60"/>
      <c r="AO198" s="16"/>
      <c r="AP198" s="16"/>
      <c r="AQ198" s="61"/>
    </row>
    <row r="199" ht="12.75" customHeight="1">
      <c r="A199" s="44"/>
      <c r="B199" s="93" t="str">
        <f t="array" ref="B199">C194</f>
        <v>Ω</v>
      </c>
      <c r="C199" s="87" t="str">
        <f t="array" ref="C199">$B199</f>
        <v>Ω</v>
      </c>
      <c r="D199" s="87" t="str">
        <f t="array" ref="D199">$B199</f>
        <v>Ω</v>
      </c>
      <c r="E199" s="87" t="str">
        <f t="array" ref="E199">$B199</f>
        <v>Ω</v>
      </c>
      <c r="F199" s="87" t="str">
        <f t="array" ref="F199">$B199</f>
        <v>Ω</v>
      </c>
      <c r="G199" s="87" t="str">
        <f t="array" ref="G199">$B199</f>
        <v>Ω</v>
      </c>
      <c r="H199" s="87" t="str">
        <f t="array" ref="H199">$B199</f>
        <v>Ω</v>
      </c>
      <c r="I199" s="87" t="str">
        <f t="array" ref="I199">$B199</f>
        <v>Ω</v>
      </c>
      <c r="J199" s="87" t="str">
        <f t="array" ref="J199">$B199</f>
        <v>Ω</v>
      </c>
      <c r="K199" s="87" t="str">
        <f t="array" ref="K199">$B199</f>
        <v>Ω</v>
      </c>
      <c r="L199" s="87" t="str">
        <f t="array" ref="L199">$B199</f>
        <v>Ω</v>
      </c>
      <c r="M199" s="94" t="s">
        <v>36</v>
      </c>
      <c r="N199" s="87" t="s">
        <v>37</v>
      </c>
      <c r="O199" s="95" t="str">
        <f t="array" ref="O199">$B199</f>
        <v>Ω</v>
      </c>
      <c r="P199" s="48"/>
      <c r="Q199" s="96" t="s">
        <v>38</v>
      </c>
      <c r="R199" s="96" t="s">
        <v>39</v>
      </c>
      <c r="S199" s="96" t="s">
        <v>40</v>
      </c>
      <c r="T199" s="97" t="s">
        <v>41</v>
      </c>
      <c r="U199" s="16"/>
      <c r="V199" s="16"/>
      <c r="W199" s="16"/>
      <c r="X199" s="16"/>
      <c r="Y199" s="16"/>
      <c r="Z199" s="16"/>
      <c r="AA199" s="16"/>
      <c r="AB199" s="16"/>
      <c r="AC199" s="16"/>
      <c r="AD199" s="55"/>
      <c r="AE199" s="56"/>
      <c r="AF199" s="57"/>
      <c r="AG199" s="57"/>
      <c r="AH199" s="57"/>
      <c r="AI199" s="57"/>
      <c r="AJ199" s="58"/>
      <c r="AK199" s="58"/>
      <c r="AL199" s="58"/>
      <c r="AM199" s="59"/>
      <c r="AN199" s="60"/>
      <c r="AO199" s="16"/>
      <c r="AP199" s="16"/>
      <c r="AQ199" s="61"/>
    </row>
    <row r="200" ht="12.75" customHeight="1">
      <c r="A200" s="98"/>
      <c r="B200" s="99">
        <v>10.4123</v>
      </c>
      <c r="C200" s="100">
        <v>10.5</v>
      </c>
      <c r="D200" s="101">
        <v>10.5</v>
      </c>
      <c r="E200" s="101">
        <v>10.5</v>
      </c>
      <c r="F200" s="101">
        <v>10.5</v>
      </c>
      <c r="G200" s="102">
        <v>10.5</v>
      </c>
      <c r="H200" s="103">
        <f t="array" ref="H200">STDEV(C200:G200)*1.4</f>
        <v>0</v>
      </c>
      <c r="I200" s="103">
        <f t="array" ref="I200">(B200*0.009%)</f>
        <v>0.000937107</v>
      </c>
      <c r="J200" s="103">
        <f t="array" ref="J200">I200/SQRT(3)</f>
        <v>0.0005410389787</v>
      </c>
      <c r="K200" s="103">
        <f t="array" ref="K200">(C$193)/SQRT(12)</f>
        <v>0.02886751346</v>
      </c>
      <c r="L200" s="105">
        <f t="array" ref="L200">SQRT(H200^2+J200^2+(K200)^2)</f>
        <v>0.02887258313</v>
      </c>
      <c r="M200" s="91" t="str">
        <f t="array" ref="M200">IF(ISERROR((L200^4)/(H200^4/4))=TRUE,"∞",((L200^4)/(H200^4/4)))</f>
        <v>∞</v>
      </c>
      <c r="N200" s="91">
        <f t="array" ref="N200">IF(ISERROR(TINV(0.05,M200))=TRUE,2,TINV(0.05,M200))</f>
        <v>2</v>
      </c>
      <c r="O200" s="106">
        <f t="array" ref="O200">L200*N200</f>
        <v>0.05774516626</v>
      </c>
      <c r="P200" s="48"/>
      <c r="Q200" s="107">
        <f t="array" ref="Q200">AVERAGE(C200:G200)-B200</f>
        <v>0.0877</v>
      </c>
      <c r="R200" s="107">
        <f t="array" ref="R200">Q200+O200</f>
        <v>0.1454451663</v>
      </c>
      <c r="S200" s="107">
        <f t="array" ref="S200">Q200-O200</f>
        <v>0.02995483374</v>
      </c>
      <c r="T200" s="107">
        <f t="array" ref="T200">ABS(Q200)</f>
        <v>0.0877</v>
      </c>
      <c r="U200" s="16"/>
      <c r="V200" s="16"/>
      <c r="W200" s="16"/>
      <c r="X200" s="16"/>
      <c r="Y200" s="16"/>
      <c r="Z200" s="16"/>
      <c r="AA200" s="16"/>
      <c r="AB200" s="16"/>
      <c r="AC200" s="16"/>
      <c r="AD200" s="55"/>
      <c r="AE200" s="56"/>
      <c r="AF200" s="57"/>
      <c r="AG200" s="57"/>
      <c r="AH200" s="57"/>
      <c r="AI200" s="57"/>
      <c r="AJ200" s="58"/>
      <c r="AK200" s="58"/>
      <c r="AL200" s="58"/>
      <c r="AM200" s="59"/>
      <c r="AN200" s="60"/>
      <c r="AO200" s="16"/>
      <c r="AP200" s="16"/>
      <c r="AQ200" s="61"/>
    </row>
    <row r="201" ht="12.75" customHeight="1">
      <c r="A201" s="98"/>
      <c r="B201" s="108">
        <v>100.365</v>
      </c>
      <c r="C201" s="109">
        <v>100.4</v>
      </c>
      <c r="D201" s="110">
        <v>100.4</v>
      </c>
      <c r="E201" s="110">
        <v>100.4</v>
      </c>
      <c r="F201" s="110">
        <v>100.4</v>
      </c>
      <c r="G201" s="111">
        <v>100.4</v>
      </c>
      <c r="H201" s="112">
        <f t="array" ref="H201">STDEV(C201:G201)*1.4</f>
        <v>0</v>
      </c>
      <c r="I201" s="112">
        <f t="array" ref="I201">(B201*0.009%)</f>
        <v>0.00903285</v>
      </c>
      <c r="J201" s="112">
        <f t="array" ref="J201">I201/SQRT(3)</f>
        <v>0.005215118379</v>
      </c>
      <c r="K201" s="112">
        <f t="array" ref="K201">(C$193)/SQRT(12)</f>
        <v>0.02886751346</v>
      </c>
      <c r="L201" s="113">
        <f t="array" ref="L201">SQRT(H201^2+J201^2+(K201)^2)</f>
        <v>0.02933480515</v>
      </c>
      <c r="M201" s="114" t="str">
        <f t="array" ref="M201">IF(ISERROR((L201^4)/(H201^4/4))=TRUE,"∞",((L201^4)/(H201^4/4)))</f>
        <v>∞</v>
      </c>
      <c r="N201" s="114">
        <f t="array" ref="N201">IF(ISERROR(TINV(0.05,M201))=TRUE,2,TINV(0.05,M201))</f>
        <v>2</v>
      </c>
      <c r="O201" s="115">
        <f t="array" ref="O201">L201*N201</f>
        <v>0.05866961029</v>
      </c>
      <c r="P201" s="48"/>
      <c r="Q201" s="107">
        <f t="array" ref="Q201">AVERAGE(C201:G201)-B201</f>
        <v>0.035</v>
      </c>
      <c r="R201" s="107">
        <f t="array" ref="R201">Q201+O201</f>
        <v>0.09366961029</v>
      </c>
      <c r="S201" s="107">
        <f t="array" ref="S201">Q201-O201</f>
        <v>-0.02366961029</v>
      </c>
      <c r="T201" s="107">
        <f t="array" ref="T201">ABS(Q201)</f>
        <v>0.035</v>
      </c>
      <c r="U201" s="16"/>
      <c r="V201" s="16"/>
      <c r="W201" s="16"/>
      <c r="X201" s="16"/>
      <c r="Y201" s="16"/>
      <c r="Z201" s="16"/>
      <c r="AA201" s="16"/>
      <c r="AB201" s="16"/>
      <c r="AC201" s="16"/>
      <c r="AD201" s="55"/>
      <c r="AE201" s="56"/>
      <c r="AF201" s="57"/>
      <c r="AG201" s="57"/>
      <c r="AH201" s="57"/>
      <c r="AI201" s="57"/>
      <c r="AJ201" s="58"/>
      <c r="AK201" s="58"/>
      <c r="AL201" s="58"/>
      <c r="AM201" s="59"/>
      <c r="AN201" s="60"/>
      <c r="AO201" s="16"/>
      <c r="AP201" s="16"/>
      <c r="AQ201" s="61"/>
    </row>
    <row r="202" ht="12.75" customHeight="1">
      <c r="A202" s="98"/>
      <c r="B202" s="108"/>
      <c r="C202" s="109"/>
      <c r="D202" s="110"/>
      <c r="E202" s="110"/>
      <c r="F202" s="110"/>
      <c r="G202" s="111"/>
      <c r="H202" s="112" t="str">
        <f t="array" ref="H202">STDEV(C202:G202)*1.4</f>
        <v>#DIV/0!</v>
      </c>
      <c r="I202" s="112">
        <f t="array" ref="I202">(B202*0.009%)</f>
        <v>0</v>
      </c>
      <c r="J202" s="112">
        <f t="array" ref="J202">I202/SQRT(3)</f>
        <v>0</v>
      </c>
      <c r="K202" s="112">
        <f t="array" ref="K202">(C$193)/SQRT(12)</f>
        <v>0.02886751346</v>
      </c>
      <c r="L202" s="113" t="str">
        <f t="array" ref="L202">SQRT(H202^2+J202^2+(K202)^2)</f>
        <v>#DIV/0!</v>
      </c>
      <c r="M202" s="114" t="str">
        <f t="array" ref="M202">IF(ISERROR((L202^4)/(H202^4/4))=TRUE,"∞",((L202^4)/(H202^4/4)))</f>
        <v>∞</v>
      </c>
      <c r="N202" s="114">
        <f t="array" ref="N202">IF(ISERROR(TINV(0.05,M202))=TRUE,2,TINV(0.05,M202))</f>
        <v>2</v>
      </c>
      <c r="O202" s="115" t="str">
        <f t="array" ref="O202">L202*N202</f>
        <v>#DIV/0!</v>
      </c>
      <c r="P202" s="48"/>
      <c r="Q202" s="107" t="str">
        <f t="array" ref="Q202">AVERAGE(C202:G202)-B202</f>
        <v>#DIV/0!</v>
      </c>
      <c r="R202" s="107" t="str">
        <f t="array" ref="R202">Q202+O202</f>
        <v>#DIV/0!</v>
      </c>
      <c r="S202" s="107" t="str">
        <f t="array" ref="S202">Q202-O202</f>
        <v>#DIV/0!</v>
      </c>
      <c r="T202" s="107" t="str">
        <f t="array" ref="T202">ABS(Q202)</f>
        <v>#DIV/0!</v>
      </c>
      <c r="U202" s="16"/>
      <c r="V202" s="16"/>
      <c r="W202" s="16"/>
      <c r="X202" s="16"/>
      <c r="Y202" s="16"/>
      <c r="Z202" s="16"/>
      <c r="AA202" s="16"/>
      <c r="AB202" s="16"/>
      <c r="AC202" s="16"/>
      <c r="AD202" s="55"/>
      <c r="AE202" s="56"/>
      <c r="AF202" s="57"/>
      <c r="AG202" s="57"/>
      <c r="AH202" s="57"/>
      <c r="AI202" s="57"/>
      <c r="AJ202" s="58"/>
      <c r="AK202" s="58"/>
      <c r="AL202" s="58"/>
      <c r="AM202" s="59"/>
      <c r="AN202" s="60"/>
      <c r="AO202" s="16"/>
      <c r="AP202" s="16"/>
      <c r="AQ202" s="61"/>
    </row>
    <row r="203" ht="12.75" customHeight="1">
      <c r="A203" s="98"/>
      <c r="B203" s="108"/>
      <c r="C203" s="109"/>
      <c r="D203" s="110"/>
      <c r="E203" s="110"/>
      <c r="F203" s="110"/>
      <c r="G203" s="111"/>
      <c r="H203" s="112" t="str">
        <f t="array" ref="H203">STDEV(C203:G203)*1.4</f>
        <v>#DIV/0!</v>
      </c>
      <c r="I203" s="112">
        <f t="array" ref="I203">(B203*0.009%)</f>
        <v>0</v>
      </c>
      <c r="J203" s="112">
        <f t="array" ref="J203">I203/SQRT(3)</f>
        <v>0</v>
      </c>
      <c r="K203" s="112">
        <f t="array" ref="K203">(C$193)/SQRT(12)</f>
        <v>0.02886751346</v>
      </c>
      <c r="L203" s="113" t="str">
        <f t="array" ref="L203">SQRT(H203^2+J203^2+(K203)^2)</f>
        <v>#DIV/0!</v>
      </c>
      <c r="M203" s="114" t="str">
        <f t="array" ref="M203">IF(ISERROR((L203^4)/(H203^4/4))=TRUE,"∞",((L203^4)/(H203^4/4)))</f>
        <v>∞</v>
      </c>
      <c r="N203" s="114">
        <f t="array" ref="N203">IF(ISERROR(TINV(0.05,M203))=TRUE,2,TINV(0.05,M203))</f>
        <v>2</v>
      </c>
      <c r="O203" s="115" t="str">
        <f t="array" ref="O203">L203*N203</f>
        <v>#DIV/0!</v>
      </c>
      <c r="P203" s="48"/>
      <c r="Q203" s="107" t="str">
        <f t="array" ref="Q203">AVERAGE(C203:G203)-B203</f>
        <v>#DIV/0!</v>
      </c>
      <c r="R203" s="107" t="str">
        <f t="array" ref="R203">Q203+O203</f>
        <v>#DIV/0!</v>
      </c>
      <c r="S203" s="107" t="str">
        <f t="array" ref="S203">Q203-O203</f>
        <v>#DIV/0!</v>
      </c>
      <c r="T203" s="107" t="str">
        <f t="array" ref="T203">ABS(Q203)</f>
        <v>#DIV/0!</v>
      </c>
      <c r="U203" s="16"/>
      <c r="V203" s="16"/>
      <c r="W203" s="16"/>
      <c r="X203" s="16"/>
      <c r="Y203" s="16"/>
      <c r="Z203" s="16"/>
      <c r="AA203" s="16"/>
      <c r="AB203" s="16"/>
      <c r="AC203" s="16"/>
      <c r="AD203" s="55"/>
      <c r="AE203" s="56"/>
      <c r="AF203" s="57"/>
      <c r="AG203" s="57"/>
      <c r="AH203" s="57"/>
      <c r="AI203" s="57"/>
      <c r="AJ203" s="58"/>
      <c r="AK203" s="58"/>
      <c r="AL203" s="58"/>
      <c r="AM203" s="59"/>
      <c r="AN203" s="60"/>
      <c r="AO203" s="16"/>
      <c r="AP203" s="16"/>
      <c r="AQ203" s="61"/>
    </row>
    <row r="204" ht="12.75" customHeight="1">
      <c r="A204" s="98"/>
      <c r="B204" s="116"/>
      <c r="C204" s="117"/>
      <c r="D204" s="118"/>
      <c r="E204" s="118"/>
      <c r="F204" s="118"/>
      <c r="G204" s="119"/>
      <c r="H204" s="120" t="str">
        <f t="array" ref="H204">STDEV(C204:G204)*1.4</f>
        <v>#DIV/0!</v>
      </c>
      <c r="I204" s="120">
        <f t="array" ref="I204">(B204*0.009%)</f>
        <v>0</v>
      </c>
      <c r="J204" s="120">
        <f t="array" ref="J204">I204/SQRT(3)</f>
        <v>0</v>
      </c>
      <c r="K204" s="120">
        <f t="array" ref="K204">(C$193)/SQRT(12)</f>
        <v>0.02886751346</v>
      </c>
      <c r="L204" s="121" t="str">
        <f t="array" ref="L204">SQRT(H204^2+J204^2+(K204)^2)</f>
        <v>#DIV/0!</v>
      </c>
      <c r="M204" s="122" t="str">
        <f t="array" ref="M204">IF(ISERROR((L204^4)/(H204^4/4))=TRUE,"∞",((L204^4)/(H204^4/4)))</f>
        <v>∞</v>
      </c>
      <c r="N204" s="122">
        <f t="array" ref="N204">IF(ISERROR(TINV(0.05,M204))=TRUE,2,TINV(0.05,M204))</f>
        <v>2</v>
      </c>
      <c r="O204" s="123" t="str">
        <f t="array" ref="O204">L204*N204</f>
        <v>#DIV/0!</v>
      </c>
      <c r="P204" s="48"/>
      <c r="Q204" s="107" t="str">
        <f t="array" ref="Q204">AVERAGE(C204:G204)-B204</f>
        <v>#DIV/0!</v>
      </c>
      <c r="R204" s="107" t="str">
        <f t="array" ref="R204">Q204+O204</f>
        <v>#DIV/0!</v>
      </c>
      <c r="S204" s="107" t="str">
        <f t="array" ref="S204">Q204-O204</f>
        <v>#DIV/0!</v>
      </c>
      <c r="T204" s="107" t="str">
        <f t="array" ref="T204">ABS(Q204)</f>
        <v>#DIV/0!</v>
      </c>
      <c r="U204" s="16"/>
      <c r="V204" s="16"/>
      <c r="W204" s="16"/>
      <c r="X204" s="16"/>
      <c r="Y204" s="16"/>
      <c r="Z204" s="16"/>
      <c r="AA204" s="16"/>
      <c r="AB204" s="16"/>
      <c r="AC204" s="16"/>
      <c r="AD204" s="55"/>
      <c r="AE204" s="56"/>
      <c r="AF204" s="57"/>
      <c r="AG204" s="57"/>
      <c r="AH204" s="57"/>
      <c r="AI204" s="57"/>
      <c r="AJ204" s="58"/>
      <c r="AK204" s="58"/>
      <c r="AL204" s="58"/>
      <c r="AM204" s="59"/>
      <c r="AN204" s="60"/>
      <c r="AO204" s="16"/>
      <c r="AP204" s="16"/>
      <c r="AQ204" s="61"/>
    </row>
    <row r="205" ht="13.5" customHeight="1">
      <c r="A205" s="15"/>
      <c r="B205" s="124"/>
      <c r="C205" s="124"/>
      <c r="D205" s="124"/>
      <c r="E205" s="124"/>
      <c r="F205" s="124"/>
      <c r="G205" s="124"/>
      <c r="H205" s="125"/>
      <c r="I205" s="125"/>
      <c r="J205" s="125"/>
      <c r="K205" s="125"/>
      <c r="L205" s="127"/>
      <c r="M205" s="128"/>
      <c r="N205" s="128"/>
      <c r="O205" s="129"/>
      <c r="P205" s="48"/>
      <c r="Q205" s="107"/>
      <c r="R205" s="107"/>
      <c r="S205" s="107"/>
      <c r="T205" s="107"/>
      <c r="U205" s="16"/>
      <c r="V205" s="16"/>
      <c r="W205" s="16"/>
      <c r="X205" s="16"/>
      <c r="Y205" s="16"/>
      <c r="Z205" s="16"/>
      <c r="AA205" s="16"/>
      <c r="AB205" s="16"/>
      <c r="AC205" s="16"/>
      <c r="AD205" s="55"/>
      <c r="AE205" s="56"/>
      <c r="AF205" s="57"/>
      <c r="AG205" s="57"/>
      <c r="AH205" s="57"/>
      <c r="AI205" s="57"/>
      <c r="AJ205" s="58"/>
      <c r="AK205" s="58"/>
      <c r="AL205" s="58"/>
      <c r="AM205" s="59"/>
      <c r="AN205" s="60"/>
      <c r="AO205" s="16"/>
      <c r="AP205" s="16"/>
      <c r="AQ205" s="61"/>
    </row>
    <row r="206" ht="27.0" customHeight="1">
      <c r="A206" s="44"/>
      <c r="B206" s="45" t="s">
        <v>50</v>
      </c>
      <c r="C206" s="46"/>
      <c r="D206" s="46"/>
      <c r="E206" s="46"/>
      <c r="F206" s="46"/>
      <c r="G206" s="46"/>
      <c r="H206" s="46"/>
      <c r="I206" s="46"/>
      <c r="J206" s="46"/>
      <c r="K206" s="46"/>
      <c r="L206" s="46"/>
      <c r="M206" s="46"/>
      <c r="N206" s="46"/>
      <c r="O206" s="47"/>
      <c r="P206" s="48"/>
      <c r="Q206" s="16"/>
      <c r="R206" s="16"/>
      <c r="S206" s="16"/>
      <c r="T206" s="16"/>
      <c r="U206" s="16"/>
      <c r="V206" s="16"/>
      <c r="W206" s="16"/>
      <c r="X206" s="16"/>
      <c r="Y206" s="16"/>
      <c r="Z206" s="16"/>
      <c r="AA206" s="16"/>
      <c r="AB206" s="16"/>
      <c r="AC206" s="16"/>
      <c r="AD206" s="55"/>
      <c r="AE206" s="56"/>
      <c r="AF206" s="57"/>
      <c r="AG206" s="57"/>
      <c r="AH206" s="57"/>
      <c r="AI206" s="57"/>
      <c r="AJ206" s="58"/>
      <c r="AK206" s="58"/>
      <c r="AL206" s="58"/>
      <c r="AM206" s="59"/>
      <c r="AN206" s="60"/>
      <c r="AO206" s="16"/>
      <c r="AP206" s="16"/>
      <c r="AQ206" s="61"/>
    </row>
    <row r="207" ht="13.5" customHeight="1">
      <c r="A207" s="44"/>
      <c r="B207" s="49" t="s">
        <v>8</v>
      </c>
      <c r="C207" s="50">
        <v>0.0</v>
      </c>
      <c r="D207" s="51" t="s">
        <v>9</v>
      </c>
      <c r="E207" s="50">
        <v>6.0</v>
      </c>
      <c r="F207" s="52"/>
      <c r="G207" s="53"/>
      <c r="H207" s="53"/>
      <c r="I207" s="53"/>
      <c r="J207" s="53"/>
      <c r="K207" s="53"/>
      <c r="L207" s="53"/>
      <c r="M207" s="53"/>
      <c r="N207" s="53"/>
      <c r="O207" s="54"/>
      <c r="P207" s="48"/>
      <c r="Q207" s="16"/>
      <c r="R207" s="16"/>
      <c r="S207" s="16"/>
      <c r="T207" s="16"/>
      <c r="U207" s="16"/>
      <c r="V207" s="16"/>
      <c r="W207" s="16"/>
      <c r="X207" s="16"/>
      <c r="Y207" s="16"/>
      <c r="Z207" s="16"/>
      <c r="AA207" s="16"/>
      <c r="AB207" s="16"/>
      <c r="AC207" s="16"/>
      <c r="AD207" s="55"/>
      <c r="AE207" s="56"/>
      <c r="AF207" s="57"/>
      <c r="AG207" s="57"/>
      <c r="AH207" s="57"/>
      <c r="AI207" s="57"/>
      <c r="AJ207" s="58"/>
      <c r="AK207" s="58"/>
      <c r="AL207" s="58"/>
      <c r="AM207" s="59"/>
      <c r="AN207" s="60"/>
      <c r="AO207" s="16"/>
      <c r="AP207" s="16"/>
      <c r="AQ207" s="61"/>
    </row>
    <row r="208" ht="13.5" customHeight="1">
      <c r="A208" s="44"/>
      <c r="B208" s="62" t="s">
        <v>10</v>
      </c>
      <c r="C208" s="63">
        <v>0.001</v>
      </c>
      <c r="D208" s="64"/>
      <c r="E208" s="65"/>
      <c r="F208" s="66"/>
      <c r="G208" s="67"/>
      <c r="H208" s="68" t="s">
        <v>11</v>
      </c>
      <c r="I208" s="69"/>
      <c r="J208" s="70"/>
      <c r="K208" s="66"/>
      <c r="L208" s="66"/>
      <c r="M208" s="66"/>
      <c r="N208" s="66"/>
      <c r="O208" s="71"/>
      <c r="P208" s="48"/>
      <c r="Q208" s="16"/>
      <c r="R208" s="16"/>
      <c r="S208" s="16"/>
      <c r="T208" s="16"/>
      <c r="U208" s="16"/>
      <c r="V208" s="16"/>
      <c r="W208" s="16"/>
      <c r="X208" s="16"/>
      <c r="Y208" s="16"/>
      <c r="Z208" s="16"/>
      <c r="AA208" s="16"/>
      <c r="AB208" s="16"/>
      <c r="AC208" s="16"/>
      <c r="AD208" s="55"/>
      <c r="AE208" s="56"/>
      <c r="AF208" s="57"/>
      <c r="AG208" s="57"/>
      <c r="AH208" s="57"/>
      <c r="AI208" s="57"/>
      <c r="AJ208" s="58"/>
      <c r="AK208" s="58"/>
      <c r="AL208" s="58"/>
      <c r="AM208" s="59"/>
      <c r="AN208" s="60"/>
      <c r="AO208" s="16"/>
      <c r="AP208" s="16"/>
      <c r="AQ208" s="61"/>
    </row>
    <row r="209" ht="13.5" customHeight="1">
      <c r="A209" s="44"/>
      <c r="B209" s="72" t="s">
        <v>12</v>
      </c>
      <c r="C209" s="73" t="s">
        <v>52</v>
      </c>
      <c r="D209" s="74" t="s">
        <v>14</v>
      </c>
      <c r="E209" s="75" t="str">
        <f t="array" ref="E209">MAX(Q215:Q219)</f>
        <v>#DIV/0!</v>
      </c>
      <c r="F209" s="76" t="str">
        <f t="array" ref="F209">C209</f>
        <v>kΩ</v>
      </c>
      <c r="G209" s="67"/>
      <c r="H209" s="68" t="s">
        <v>15</v>
      </c>
      <c r="I209" s="77" t="s">
        <v>16</v>
      </c>
      <c r="J209" s="78"/>
      <c r="K209" s="79"/>
      <c r="L209" s="66"/>
      <c r="M209" s="66"/>
      <c r="N209" s="66"/>
      <c r="O209" s="71"/>
      <c r="P209" s="48"/>
      <c r="Q209" s="16"/>
      <c r="R209" s="16"/>
      <c r="S209" s="16"/>
      <c r="T209" s="16"/>
      <c r="U209" s="16"/>
      <c r="V209" s="16"/>
      <c r="W209" s="16"/>
      <c r="X209" s="16"/>
      <c r="Y209" s="16"/>
      <c r="Z209" s="16"/>
      <c r="AA209" s="16"/>
      <c r="AB209" s="16"/>
      <c r="AC209" s="16"/>
      <c r="AD209" s="55"/>
      <c r="AE209" s="56"/>
      <c r="AF209" s="57"/>
      <c r="AG209" s="57"/>
      <c r="AH209" s="57"/>
      <c r="AI209" s="57"/>
      <c r="AJ209" s="58"/>
      <c r="AK209" s="58"/>
      <c r="AL209" s="58"/>
      <c r="AM209" s="59"/>
      <c r="AN209" s="60"/>
      <c r="AO209" s="16"/>
      <c r="AP209" s="16"/>
      <c r="AQ209" s="61"/>
    </row>
    <row r="210" ht="12.75" customHeight="1">
      <c r="A210" s="44"/>
      <c r="B210" s="80"/>
      <c r="C210" s="65"/>
      <c r="D210" s="76" t="s">
        <v>17</v>
      </c>
      <c r="E210" s="81" t="str">
        <f t="array" ref="E210">MAX(O215:O219)</f>
        <v>#DIV/0!</v>
      </c>
      <c r="F210" s="76" t="str">
        <f t="array" ref="F210">C209</f>
        <v>kΩ</v>
      </c>
      <c r="G210" s="67"/>
      <c r="H210" s="82"/>
      <c r="I210" s="68" t="s">
        <v>18</v>
      </c>
      <c r="J210" s="82"/>
      <c r="K210" s="79"/>
      <c r="L210" s="66"/>
      <c r="M210" s="66"/>
      <c r="N210" s="66"/>
      <c r="O210" s="71"/>
      <c r="P210" s="48"/>
      <c r="Q210" s="16"/>
      <c r="R210" s="16"/>
      <c r="S210" s="16"/>
      <c r="T210" s="16"/>
      <c r="U210" s="16"/>
      <c r="V210" s="16"/>
      <c r="W210" s="16"/>
      <c r="X210" s="16"/>
      <c r="Y210" s="16"/>
      <c r="Z210" s="16"/>
      <c r="AA210" s="16"/>
      <c r="AB210" s="16"/>
      <c r="AC210" s="16"/>
      <c r="AD210" s="55"/>
      <c r="AE210" s="56"/>
      <c r="AF210" s="57"/>
      <c r="AG210" s="57"/>
      <c r="AH210" s="57"/>
      <c r="AI210" s="57"/>
      <c r="AJ210" s="58"/>
      <c r="AK210" s="58"/>
      <c r="AL210" s="58"/>
      <c r="AM210" s="59"/>
      <c r="AN210" s="60"/>
      <c r="AO210" s="16"/>
      <c r="AP210" s="16"/>
      <c r="AQ210" s="61"/>
    </row>
    <row r="211" ht="12.75" customHeight="1">
      <c r="A211" s="44"/>
      <c r="B211" s="83"/>
      <c r="C211" s="66"/>
      <c r="D211" s="66"/>
      <c r="E211" s="66"/>
      <c r="F211" s="66"/>
      <c r="G211" s="67"/>
      <c r="H211" s="82"/>
      <c r="I211" s="68" t="s">
        <v>19</v>
      </c>
      <c r="J211" s="82"/>
      <c r="K211" s="79"/>
      <c r="L211" s="66"/>
      <c r="M211" s="66"/>
      <c r="N211" s="66"/>
      <c r="O211" s="84"/>
      <c r="P211" s="48"/>
      <c r="Q211" s="16"/>
      <c r="R211" s="16"/>
      <c r="S211" s="16"/>
      <c r="T211" s="16"/>
      <c r="U211" s="16"/>
      <c r="V211" s="16"/>
      <c r="W211" s="16"/>
      <c r="X211" s="16"/>
      <c r="Y211" s="16"/>
      <c r="Z211" s="16"/>
      <c r="AA211" s="16"/>
      <c r="AB211" s="16"/>
      <c r="AC211" s="16"/>
      <c r="AD211" s="55"/>
      <c r="AE211" s="56"/>
      <c r="AF211" s="57"/>
      <c r="AG211" s="57"/>
      <c r="AH211" s="57"/>
      <c r="AI211" s="57"/>
      <c r="AJ211" s="58"/>
      <c r="AK211" s="58"/>
      <c r="AL211" s="58"/>
      <c r="AM211" s="59"/>
      <c r="AN211" s="60"/>
      <c r="AO211" s="16"/>
      <c r="AP211" s="16"/>
      <c r="AQ211" s="61"/>
    </row>
    <row r="212" ht="12.75" customHeight="1">
      <c r="A212" s="44"/>
      <c r="B212" s="85" t="s">
        <v>20</v>
      </c>
      <c r="C212" s="69"/>
      <c r="D212" s="70"/>
      <c r="E212" s="70"/>
      <c r="F212" s="70"/>
      <c r="G212" s="86"/>
      <c r="H212" s="87" t="s">
        <v>21</v>
      </c>
      <c r="I212" s="88">
        <v>5502.0</v>
      </c>
      <c r="J212" s="88"/>
      <c r="K212" s="69"/>
      <c r="L212" s="70"/>
      <c r="M212" s="70"/>
      <c r="N212" s="86"/>
      <c r="O212" s="89" t="s">
        <v>22</v>
      </c>
      <c r="P212" s="48"/>
      <c r="Q212" s="16"/>
      <c r="R212" s="16"/>
      <c r="S212" s="16"/>
      <c r="T212" s="16"/>
      <c r="U212" s="16"/>
      <c r="V212" s="16"/>
      <c r="W212" s="16"/>
      <c r="X212" s="16"/>
      <c r="Y212" s="16"/>
      <c r="Z212" s="16"/>
      <c r="AA212" s="16"/>
      <c r="AB212" s="16"/>
      <c r="AC212" s="16"/>
      <c r="AD212" s="55"/>
      <c r="AE212" s="56"/>
      <c r="AF212" s="57"/>
      <c r="AG212" s="57"/>
      <c r="AH212" s="57"/>
      <c r="AI212" s="57"/>
      <c r="AJ212" s="58"/>
      <c r="AK212" s="58"/>
      <c r="AL212" s="58"/>
      <c r="AM212" s="59"/>
      <c r="AN212" s="60"/>
      <c r="AO212" s="16"/>
      <c r="AP212" s="16"/>
      <c r="AQ212" s="61"/>
    </row>
    <row r="213" ht="12.75" customHeight="1">
      <c r="A213" s="44"/>
      <c r="B213" s="90" t="s">
        <v>23</v>
      </c>
      <c r="C213" s="77" t="s">
        <v>24</v>
      </c>
      <c r="D213" s="77" t="s">
        <v>25</v>
      </c>
      <c r="E213" s="77" t="s">
        <v>26</v>
      </c>
      <c r="F213" s="77" t="s">
        <v>27</v>
      </c>
      <c r="G213" s="77" t="s">
        <v>28</v>
      </c>
      <c r="H213" s="77" t="s">
        <v>29</v>
      </c>
      <c r="I213" s="77" t="s">
        <v>30</v>
      </c>
      <c r="J213" s="77" t="s">
        <v>31</v>
      </c>
      <c r="K213" s="77" t="s">
        <v>32</v>
      </c>
      <c r="L213" s="77" t="s">
        <v>33</v>
      </c>
      <c r="M213" s="77" t="s">
        <v>34</v>
      </c>
      <c r="N213" s="91"/>
      <c r="O213" s="92" t="s">
        <v>35</v>
      </c>
      <c r="P213" s="48"/>
      <c r="Q213" s="16"/>
      <c r="R213" s="16"/>
      <c r="S213" s="16"/>
      <c r="T213" s="16"/>
      <c r="U213" s="16"/>
      <c r="V213" s="16"/>
      <c r="W213" s="16"/>
      <c r="X213" s="16"/>
      <c r="Y213" s="16"/>
      <c r="Z213" s="16"/>
      <c r="AA213" s="16"/>
      <c r="AB213" s="16"/>
      <c r="AC213" s="16"/>
      <c r="AD213" s="55"/>
      <c r="AE213" s="56"/>
      <c r="AF213" s="57"/>
      <c r="AG213" s="57"/>
      <c r="AH213" s="57"/>
      <c r="AI213" s="57"/>
      <c r="AJ213" s="58"/>
      <c r="AK213" s="58"/>
      <c r="AL213" s="58"/>
      <c r="AM213" s="59"/>
      <c r="AN213" s="60"/>
      <c r="AO213" s="16"/>
      <c r="AP213" s="16"/>
      <c r="AQ213" s="61"/>
    </row>
    <row r="214" ht="12.75" customHeight="1">
      <c r="A214" s="44"/>
      <c r="B214" s="93" t="str">
        <f t="array" ref="B214">C209</f>
        <v>kΩ</v>
      </c>
      <c r="C214" s="87" t="str">
        <f t="array" ref="C214">$B214</f>
        <v>kΩ</v>
      </c>
      <c r="D214" s="87" t="str">
        <f t="array" ref="D214">$B214</f>
        <v>kΩ</v>
      </c>
      <c r="E214" s="87" t="str">
        <f t="array" ref="E214">$B214</f>
        <v>kΩ</v>
      </c>
      <c r="F214" s="87" t="str">
        <f t="array" ref="F214">$B214</f>
        <v>kΩ</v>
      </c>
      <c r="G214" s="87" t="str">
        <f t="array" ref="G214">$B214</f>
        <v>kΩ</v>
      </c>
      <c r="H214" s="87" t="str">
        <f t="array" ref="H214">$B214</f>
        <v>kΩ</v>
      </c>
      <c r="I214" s="87" t="str">
        <f t="array" ref="I214">$B214</f>
        <v>kΩ</v>
      </c>
      <c r="J214" s="87" t="str">
        <f t="array" ref="J214">$B214</f>
        <v>kΩ</v>
      </c>
      <c r="K214" s="87" t="str">
        <f t="array" ref="K214">$B214</f>
        <v>kΩ</v>
      </c>
      <c r="L214" s="87" t="str">
        <f t="array" ref="L214">$B214</f>
        <v>kΩ</v>
      </c>
      <c r="M214" s="94" t="s">
        <v>36</v>
      </c>
      <c r="N214" s="87" t="s">
        <v>37</v>
      </c>
      <c r="O214" s="95" t="str">
        <f t="array" ref="O214">$B214</f>
        <v>kΩ</v>
      </c>
      <c r="P214" s="48"/>
      <c r="Q214" s="96" t="s">
        <v>38</v>
      </c>
      <c r="R214" s="96" t="s">
        <v>39</v>
      </c>
      <c r="S214" s="96" t="s">
        <v>40</v>
      </c>
      <c r="T214" s="97" t="s">
        <v>41</v>
      </c>
      <c r="U214" s="16"/>
      <c r="V214" s="16"/>
      <c r="W214" s="16"/>
      <c r="X214" s="16"/>
      <c r="Y214" s="16"/>
      <c r="Z214" s="16"/>
      <c r="AA214" s="16"/>
      <c r="AB214" s="16"/>
      <c r="AC214" s="16"/>
      <c r="AD214" s="55"/>
      <c r="AE214" s="56"/>
      <c r="AF214" s="57"/>
      <c r="AG214" s="57"/>
      <c r="AH214" s="57"/>
      <c r="AI214" s="57"/>
      <c r="AJ214" s="58"/>
      <c r="AK214" s="58"/>
      <c r="AL214" s="58"/>
      <c r="AM214" s="59"/>
      <c r="AN214" s="60"/>
      <c r="AO214" s="16"/>
      <c r="AP214" s="16"/>
      <c r="AQ214" s="61"/>
    </row>
    <row r="215" ht="12.75" customHeight="1">
      <c r="A215" s="98"/>
      <c r="B215" s="99">
        <v>1.00032</v>
      </c>
      <c r="C215" s="130">
        <v>1.0</v>
      </c>
      <c r="D215" s="131">
        <v>1.0</v>
      </c>
      <c r="E215" s="131">
        <v>1.0</v>
      </c>
      <c r="F215" s="131">
        <v>1.0</v>
      </c>
      <c r="G215" s="132">
        <v>1.0</v>
      </c>
      <c r="H215" s="103">
        <f t="array" ref="H215">STDEV(C215:G215)*1.4</f>
        <v>0</v>
      </c>
      <c r="I215" s="103">
        <f t="array" ref="I215">(B215*0.009%)</f>
        <v>0.0000900288</v>
      </c>
      <c r="J215" s="103">
        <f t="array" ref="J215">I215/SQRT(3)</f>
        <v>0.00005197815191</v>
      </c>
      <c r="K215" s="103">
        <f t="array" ref="K215">(C$208)/SQRT(12)</f>
        <v>0.0002886751346</v>
      </c>
      <c r="L215" s="105">
        <f t="array" ref="L215">SQRT(H215^2+J215^2+(K215)^2)</f>
        <v>0.0002933173394</v>
      </c>
      <c r="M215" s="91" t="str">
        <f t="array" ref="M215">IF(ISERROR((L215^4)/(H215^4/4))=TRUE,"∞",((L215^4)/(H215^4/4)))</f>
        <v>∞</v>
      </c>
      <c r="N215" s="91">
        <f t="array" ref="N215">IF(ISERROR(TINV(0.05,M215))=TRUE,2,TINV(0.05,M215))</f>
        <v>2</v>
      </c>
      <c r="O215" s="106">
        <f t="array" ref="O215">L215*N215</f>
        <v>0.0005866346789</v>
      </c>
      <c r="P215" s="48"/>
      <c r="Q215" s="107">
        <f t="array" ref="Q215">AVERAGE(C215:G215)-B215</f>
        <v>-0.00032</v>
      </c>
      <c r="R215" s="107">
        <f t="array" ref="R215">Q215+O215</f>
        <v>0.0002666346789</v>
      </c>
      <c r="S215" s="107">
        <f t="array" ref="S215">Q215-O215</f>
        <v>-0.0009066346789</v>
      </c>
      <c r="T215" s="107">
        <f t="array" ref="T215">ABS(Q215)</f>
        <v>0.00032</v>
      </c>
      <c r="U215" s="16"/>
      <c r="V215" s="16"/>
      <c r="W215" s="16"/>
      <c r="X215" s="16"/>
      <c r="Y215" s="16"/>
      <c r="Z215" s="16"/>
      <c r="AA215" s="16"/>
      <c r="AB215" s="16"/>
      <c r="AC215" s="16"/>
      <c r="AD215" s="55"/>
      <c r="AE215" s="56"/>
      <c r="AF215" s="57"/>
      <c r="AG215" s="57"/>
      <c r="AH215" s="57"/>
      <c r="AI215" s="57"/>
      <c r="AJ215" s="58"/>
      <c r="AK215" s="58"/>
      <c r="AL215" s="58"/>
      <c r="AM215" s="59"/>
      <c r="AN215" s="60"/>
      <c r="AO215" s="16"/>
      <c r="AP215" s="16"/>
      <c r="AQ215" s="61"/>
    </row>
    <row r="216" ht="12.75" customHeight="1">
      <c r="A216" s="98"/>
      <c r="B216" s="108">
        <v>9.9996</v>
      </c>
      <c r="C216" s="133">
        <v>10.0</v>
      </c>
      <c r="D216" s="134">
        <v>10.0</v>
      </c>
      <c r="E216" s="134">
        <v>10.0</v>
      </c>
      <c r="F216" s="134">
        <v>10.0</v>
      </c>
      <c r="G216" s="135">
        <v>10.0</v>
      </c>
      <c r="H216" s="112">
        <f t="array" ref="H216">STDEV(C216:G216)*1.4</f>
        <v>0</v>
      </c>
      <c r="I216" s="112">
        <f t="array" ref="I216">(B216*0.009%)</f>
        <v>0.000899964</v>
      </c>
      <c r="J216" s="112">
        <f t="array" ref="J216">I216/SQRT(3)</f>
        <v>0.0005195944577</v>
      </c>
      <c r="K216" s="112">
        <f t="array" ref="K216">(C$208)/SQRT(12)</f>
        <v>0.0002886751346</v>
      </c>
      <c r="L216" s="113">
        <f t="array" ref="L216">SQRT(H216^2+J216^2+(K216)^2)</f>
        <v>0.0005944003144</v>
      </c>
      <c r="M216" s="114" t="str">
        <f t="array" ref="M216">IF(ISERROR((L216^4)/(H216^4/4))=TRUE,"∞",((L216^4)/(H216^4/4)))</f>
        <v>∞</v>
      </c>
      <c r="N216" s="114">
        <f t="array" ref="N216">IF(ISERROR(TINV(0.05,M216))=TRUE,2,TINV(0.05,M216))</f>
        <v>2</v>
      </c>
      <c r="O216" s="115">
        <f t="array" ref="O216">L216*N216</f>
        <v>0.001188800629</v>
      </c>
      <c r="P216" s="48"/>
      <c r="Q216" s="107">
        <f t="array" ref="Q216">AVERAGE(C216:G216)-B216</f>
        <v>0.0004</v>
      </c>
      <c r="R216" s="107">
        <f t="array" ref="R216">Q216+O216</f>
        <v>0.001588800629</v>
      </c>
      <c r="S216" s="107">
        <f t="array" ref="S216">Q216-O216</f>
        <v>-0.0007888006288</v>
      </c>
      <c r="T216" s="107">
        <f t="array" ref="T216">ABS(Q216)</f>
        <v>0.0004</v>
      </c>
      <c r="U216" s="16"/>
      <c r="V216" s="16"/>
      <c r="W216" s="16"/>
      <c r="X216" s="16"/>
      <c r="Y216" s="16"/>
      <c r="Z216" s="16"/>
      <c r="AA216" s="16"/>
      <c r="AB216" s="16"/>
      <c r="AC216" s="16"/>
      <c r="AD216" s="55"/>
      <c r="AE216" s="56"/>
      <c r="AF216" s="57"/>
      <c r="AG216" s="57"/>
      <c r="AH216" s="57"/>
      <c r="AI216" s="57"/>
      <c r="AJ216" s="58"/>
      <c r="AK216" s="58"/>
      <c r="AL216" s="58"/>
      <c r="AM216" s="59"/>
      <c r="AN216" s="60"/>
      <c r="AO216" s="16"/>
      <c r="AP216" s="16"/>
      <c r="AQ216" s="61"/>
    </row>
    <row r="217" ht="12.75" customHeight="1">
      <c r="A217" s="98"/>
      <c r="B217" s="108">
        <v>100.002</v>
      </c>
      <c r="C217" s="133">
        <v>100.0</v>
      </c>
      <c r="D217" s="134">
        <v>100.0</v>
      </c>
      <c r="E217" s="134">
        <v>100.0</v>
      </c>
      <c r="F217" s="134">
        <v>100.0</v>
      </c>
      <c r="G217" s="135">
        <v>100.0</v>
      </c>
      <c r="H217" s="112">
        <f t="array" ref="H217">STDEV(C217:G217)*1.4</f>
        <v>0</v>
      </c>
      <c r="I217" s="112">
        <f t="array" ref="I217">(B217*0.009%)</f>
        <v>0.00900018</v>
      </c>
      <c r="J217" s="112">
        <f t="array" ref="J217">I217/SQRT(3)</f>
        <v>0.005196256346</v>
      </c>
      <c r="K217" s="112">
        <f t="array" ref="K217">(C$208)/SQRT(12)</f>
        <v>0.0002886751346</v>
      </c>
      <c r="L217" s="113">
        <f t="array" ref="L217">SQRT(H217^2+J217^2+(K217)^2)</f>
        <v>0.005204268762</v>
      </c>
      <c r="M217" s="114" t="str">
        <f t="array" ref="M217">IF(ISERROR((L217^4)/(H217^4/4))=TRUE,"∞",((L217^4)/(H217^4/4)))</f>
        <v>∞</v>
      </c>
      <c r="N217" s="114">
        <f t="array" ref="N217">IF(ISERROR(TINV(0.05,M217))=TRUE,2,TINV(0.05,M217))</f>
        <v>2</v>
      </c>
      <c r="O217" s="115">
        <f t="array" ref="O217">L217*N217</f>
        <v>0.01040853752</v>
      </c>
      <c r="P217" s="48"/>
      <c r="Q217" s="107">
        <f t="array" ref="Q217">AVERAGE(C217:G217)-B217</f>
        <v>-0.002</v>
      </c>
      <c r="R217" s="107">
        <f t="array" ref="R217">Q217+O217</f>
        <v>0.008408537523</v>
      </c>
      <c r="S217" s="107">
        <f t="array" ref="S217">Q217-O217</f>
        <v>-0.01240853752</v>
      </c>
      <c r="T217" s="107">
        <f t="array" ref="T217">ABS(Q217)</f>
        <v>0.002</v>
      </c>
      <c r="U217" s="16"/>
      <c r="V217" s="16"/>
      <c r="W217" s="16"/>
      <c r="X217" s="16"/>
      <c r="Y217" s="16"/>
      <c r="Z217" s="16"/>
      <c r="AA217" s="16"/>
      <c r="AB217" s="16"/>
      <c r="AC217" s="16"/>
      <c r="AD217" s="55"/>
      <c r="AE217" s="56"/>
      <c r="AF217" s="57"/>
      <c r="AG217" s="57"/>
      <c r="AH217" s="57"/>
      <c r="AI217" s="57"/>
      <c r="AJ217" s="58"/>
      <c r="AK217" s="58"/>
      <c r="AL217" s="58"/>
      <c r="AM217" s="59"/>
      <c r="AN217" s="60"/>
      <c r="AO217" s="16"/>
      <c r="AP217" s="16"/>
      <c r="AQ217" s="61"/>
    </row>
    <row r="218" ht="12.75" customHeight="1">
      <c r="A218" s="98"/>
      <c r="B218" s="108"/>
      <c r="C218" s="133"/>
      <c r="D218" s="134"/>
      <c r="E218" s="134"/>
      <c r="F218" s="134"/>
      <c r="G218" s="135"/>
      <c r="H218" s="112" t="str">
        <f t="array" ref="H218">STDEV(C218:G218)*1.4</f>
        <v>#DIV/0!</v>
      </c>
      <c r="I218" s="112">
        <f t="array" ref="I218">(B218*0.009%)</f>
        <v>0</v>
      </c>
      <c r="J218" s="112">
        <f t="array" ref="J218">I218/SQRT(3)</f>
        <v>0</v>
      </c>
      <c r="K218" s="112">
        <f t="array" ref="K218">(C$208)/SQRT(12)</f>
        <v>0.0002886751346</v>
      </c>
      <c r="L218" s="113" t="str">
        <f t="array" ref="L218">SQRT(H218^2+J218^2+(K218)^2)</f>
        <v>#DIV/0!</v>
      </c>
      <c r="M218" s="114" t="str">
        <f t="array" ref="M218">IF(ISERROR((L218^4)/(H218^4/4))=TRUE,"∞",((L218^4)/(H218^4/4)))</f>
        <v>∞</v>
      </c>
      <c r="N218" s="114">
        <f t="array" ref="N218">IF(ISERROR(TINV(0.05,M218))=TRUE,2,TINV(0.05,M218))</f>
        <v>2</v>
      </c>
      <c r="O218" s="115" t="str">
        <f t="array" ref="O218">L218*N218</f>
        <v>#DIV/0!</v>
      </c>
      <c r="P218" s="48"/>
      <c r="Q218" s="107" t="str">
        <f t="array" ref="Q218">AVERAGE(C218:G218)-B218</f>
        <v>#DIV/0!</v>
      </c>
      <c r="R218" s="107" t="str">
        <f t="array" ref="R218">Q218+O218</f>
        <v>#DIV/0!</v>
      </c>
      <c r="S218" s="107" t="str">
        <f t="array" ref="S218">Q218-O218</f>
        <v>#DIV/0!</v>
      </c>
      <c r="T218" s="107" t="str">
        <f t="array" ref="T218">ABS(Q218)</f>
        <v>#DIV/0!</v>
      </c>
      <c r="U218" s="16"/>
      <c r="V218" s="16"/>
      <c r="W218" s="16"/>
      <c r="X218" s="16"/>
      <c r="Y218" s="16"/>
      <c r="Z218" s="16"/>
      <c r="AA218" s="16"/>
      <c r="AB218" s="16"/>
      <c r="AC218" s="16"/>
      <c r="AD218" s="55"/>
      <c r="AE218" s="56"/>
      <c r="AF218" s="57"/>
      <c r="AG218" s="57"/>
      <c r="AH218" s="57"/>
      <c r="AI218" s="57"/>
      <c r="AJ218" s="58"/>
      <c r="AK218" s="58"/>
      <c r="AL218" s="58"/>
      <c r="AM218" s="59"/>
      <c r="AN218" s="60"/>
      <c r="AO218" s="16"/>
      <c r="AP218" s="16"/>
      <c r="AQ218" s="61"/>
    </row>
    <row r="219" ht="12.75" customHeight="1">
      <c r="A219" s="98"/>
      <c r="B219" s="116"/>
      <c r="C219" s="136"/>
      <c r="D219" s="137"/>
      <c r="E219" s="137"/>
      <c r="F219" s="137"/>
      <c r="G219" s="138"/>
      <c r="H219" s="120" t="str">
        <f t="array" ref="H219">STDEV(C219:G219)*1.4</f>
        <v>#DIV/0!</v>
      </c>
      <c r="I219" s="120">
        <f t="array" ref="I219">(B219*0.009%)</f>
        <v>0</v>
      </c>
      <c r="J219" s="120">
        <f t="array" ref="J219">I219/SQRT(3)</f>
        <v>0</v>
      </c>
      <c r="K219" s="120">
        <f t="array" ref="K219">(C$208)/SQRT(12)</f>
        <v>0.0002886751346</v>
      </c>
      <c r="L219" s="121" t="str">
        <f t="array" ref="L219">SQRT(H219^2+J219^2+(K219)^2)</f>
        <v>#DIV/0!</v>
      </c>
      <c r="M219" s="122" t="str">
        <f t="array" ref="M219">IF(ISERROR((L219^4)/(H219^4/4))=TRUE,"∞",((L219^4)/(H219^4/4)))</f>
        <v>∞</v>
      </c>
      <c r="N219" s="122">
        <f t="array" ref="N219">IF(ISERROR(TINV(0.05,M219))=TRUE,2,TINV(0.05,M219))</f>
        <v>2</v>
      </c>
      <c r="O219" s="123" t="str">
        <f t="array" ref="O219">L219*N219</f>
        <v>#DIV/0!</v>
      </c>
      <c r="P219" s="48"/>
      <c r="Q219" s="107" t="str">
        <f t="array" ref="Q219">AVERAGE(C219:G219)-B219</f>
        <v>#DIV/0!</v>
      </c>
      <c r="R219" s="107" t="str">
        <f t="array" ref="R219">Q219+O219</f>
        <v>#DIV/0!</v>
      </c>
      <c r="S219" s="107" t="str">
        <f t="array" ref="S219">Q219-O219</f>
        <v>#DIV/0!</v>
      </c>
      <c r="T219" s="107" t="str">
        <f t="array" ref="T219">ABS(Q219)</f>
        <v>#DIV/0!</v>
      </c>
      <c r="U219" s="16"/>
      <c r="V219" s="16"/>
      <c r="W219" s="16"/>
      <c r="X219" s="16"/>
      <c r="Y219" s="16"/>
      <c r="Z219" s="16"/>
      <c r="AA219" s="16"/>
      <c r="AB219" s="16"/>
      <c r="AC219" s="16"/>
      <c r="AD219" s="55"/>
      <c r="AE219" s="56"/>
      <c r="AF219" s="57"/>
      <c r="AG219" s="57"/>
      <c r="AH219" s="57"/>
      <c r="AI219" s="57"/>
      <c r="AJ219" s="58"/>
      <c r="AK219" s="58"/>
      <c r="AL219" s="58"/>
      <c r="AM219" s="59"/>
      <c r="AN219" s="60"/>
      <c r="AO219" s="16"/>
      <c r="AP219" s="16"/>
      <c r="AQ219" s="61"/>
    </row>
    <row r="220" ht="13.5" customHeight="1">
      <c r="A220" s="15"/>
      <c r="B220" s="124"/>
      <c r="C220" s="124"/>
      <c r="D220" s="124"/>
      <c r="E220" s="124"/>
      <c r="F220" s="124"/>
      <c r="G220" s="124"/>
      <c r="H220" s="125"/>
      <c r="I220" s="125"/>
      <c r="J220" s="125"/>
      <c r="K220" s="125"/>
      <c r="L220" s="127"/>
      <c r="M220" s="128"/>
      <c r="N220" s="128"/>
      <c r="O220" s="129"/>
      <c r="P220" s="48"/>
      <c r="Q220" s="107"/>
      <c r="R220" s="107"/>
      <c r="S220" s="107"/>
      <c r="T220" s="107"/>
      <c r="U220" s="16"/>
      <c r="V220" s="16"/>
      <c r="W220" s="16"/>
      <c r="X220" s="16"/>
      <c r="Y220" s="16"/>
      <c r="Z220" s="16"/>
      <c r="AA220" s="16"/>
      <c r="AB220" s="16"/>
      <c r="AC220" s="16"/>
      <c r="AD220" s="55"/>
      <c r="AE220" s="56"/>
      <c r="AF220" s="57"/>
      <c r="AG220" s="57"/>
      <c r="AH220" s="57"/>
      <c r="AI220" s="57"/>
      <c r="AJ220" s="58"/>
      <c r="AK220" s="58"/>
      <c r="AL220" s="58"/>
      <c r="AM220" s="59"/>
      <c r="AN220" s="60"/>
      <c r="AO220" s="16"/>
      <c r="AP220" s="16"/>
      <c r="AQ220" s="61"/>
    </row>
    <row r="221" ht="27.0" customHeight="1">
      <c r="A221" s="44"/>
      <c r="B221" s="45" t="s">
        <v>50</v>
      </c>
      <c r="C221" s="46"/>
      <c r="D221" s="46"/>
      <c r="E221" s="46"/>
      <c r="F221" s="46"/>
      <c r="G221" s="46"/>
      <c r="H221" s="46"/>
      <c r="I221" s="46"/>
      <c r="J221" s="46"/>
      <c r="K221" s="46"/>
      <c r="L221" s="46"/>
      <c r="M221" s="46"/>
      <c r="N221" s="46"/>
      <c r="O221" s="47"/>
      <c r="P221" s="48"/>
      <c r="Q221" s="16"/>
      <c r="R221" s="16"/>
      <c r="S221" s="16"/>
      <c r="T221" s="16"/>
      <c r="U221" s="16"/>
      <c r="V221" s="16"/>
      <c r="W221" s="16"/>
      <c r="X221" s="16"/>
      <c r="Y221" s="16"/>
      <c r="Z221" s="16"/>
      <c r="AA221" s="16"/>
      <c r="AB221" s="16"/>
      <c r="AC221" s="16"/>
      <c r="AD221" s="55"/>
      <c r="AE221" s="56"/>
      <c r="AF221" s="57"/>
      <c r="AG221" s="57"/>
      <c r="AH221" s="57"/>
      <c r="AI221" s="57"/>
      <c r="AJ221" s="58"/>
      <c r="AK221" s="58"/>
      <c r="AL221" s="58"/>
      <c r="AM221" s="59"/>
      <c r="AN221" s="60"/>
      <c r="AO221" s="16"/>
      <c r="AP221" s="16"/>
      <c r="AQ221" s="61"/>
    </row>
    <row r="222" ht="13.5" customHeight="1">
      <c r="A222" s="44"/>
      <c r="B222" s="49" t="s">
        <v>8</v>
      </c>
      <c r="C222" s="50">
        <v>0.0</v>
      </c>
      <c r="D222" s="51" t="s">
        <v>9</v>
      </c>
      <c r="E222" s="50">
        <v>60.0</v>
      </c>
      <c r="F222" s="52"/>
      <c r="G222" s="53"/>
      <c r="H222" s="53"/>
      <c r="I222" s="53"/>
      <c r="J222" s="53"/>
      <c r="K222" s="53"/>
      <c r="L222" s="53"/>
      <c r="M222" s="53"/>
      <c r="N222" s="53"/>
      <c r="O222" s="54"/>
      <c r="P222" s="48"/>
      <c r="Q222" s="16"/>
      <c r="R222" s="16"/>
      <c r="S222" s="16"/>
      <c r="T222" s="16"/>
      <c r="U222" s="16"/>
      <c r="V222" s="16"/>
      <c r="W222" s="16"/>
      <c r="X222" s="16"/>
      <c r="Y222" s="16"/>
      <c r="Z222" s="16"/>
      <c r="AA222" s="16"/>
      <c r="AB222" s="16"/>
      <c r="AC222" s="16"/>
      <c r="AD222" s="55"/>
      <c r="AE222" s="56"/>
      <c r="AF222" s="57"/>
      <c r="AG222" s="57"/>
      <c r="AH222" s="57"/>
      <c r="AI222" s="57"/>
      <c r="AJ222" s="58"/>
      <c r="AK222" s="58"/>
      <c r="AL222" s="58"/>
      <c r="AM222" s="59"/>
      <c r="AN222" s="60"/>
      <c r="AO222" s="16"/>
      <c r="AP222" s="16"/>
      <c r="AQ222" s="61"/>
    </row>
    <row r="223" ht="13.5" customHeight="1">
      <c r="A223" s="44"/>
      <c r="B223" s="62" t="s">
        <v>10</v>
      </c>
      <c r="C223" s="63">
        <v>0.01</v>
      </c>
      <c r="D223" s="64"/>
      <c r="E223" s="65"/>
      <c r="F223" s="66"/>
      <c r="G223" s="67"/>
      <c r="H223" s="68" t="s">
        <v>11</v>
      </c>
      <c r="I223" s="69"/>
      <c r="J223" s="70"/>
      <c r="K223" s="66"/>
      <c r="L223" s="66"/>
      <c r="M223" s="66"/>
      <c r="N223" s="66"/>
      <c r="O223" s="71"/>
      <c r="P223" s="48"/>
      <c r="Q223" s="16"/>
      <c r="R223" s="16"/>
      <c r="S223" s="16"/>
      <c r="T223" s="16"/>
      <c r="U223" s="16"/>
      <c r="V223" s="16"/>
      <c r="W223" s="16"/>
      <c r="X223" s="16"/>
      <c r="Y223" s="16"/>
      <c r="Z223" s="16"/>
      <c r="AA223" s="16"/>
      <c r="AB223" s="16"/>
      <c r="AC223" s="16"/>
      <c r="AD223" s="55"/>
      <c r="AE223" s="56"/>
      <c r="AF223" s="57"/>
      <c r="AG223" s="57"/>
      <c r="AH223" s="57"/>
      <c r="AI223" s="57"/>
      <c r="AJ223" s="58"/>
      <c r="AK223" s="58"/>
      <c r="AL223" s="58"/>
      <c r="AM223" s="59"/>
      <c r="AN223" s="60"/>
      <c r="AO223" s="16"/>
      <c r="AP223" s="16"/>
      <c r="AQ223" s="61"/>
    </row>
    <row r="224" ht="13.5" customHeight="1">
      <c r="A224" s="44"/>
      <c r="B224" s="72" t="s">
        <v>12</v>
      </c>
      <c r="C224" s="73" t="s">
        <v>53</v>
      </c>
      <c r="D224" s="74" t="s">
        <v>14</v>
      </c>
      <c r="E224" s="75" t="str">
        <f t="array" ref="E224">MAX(Q230:Q234)</f>
        <v>#DIV/0!</v>
      </c>
      <c r="F224" s="76" t="str">
        <f t="array" ref="F224">C224</f>
        <v>MΩ</v>
      </c>
      <c r="G224" s="67"/>
      <c r="H224" s="68" t="s">
        <v>15</v>
      </c>
      <c r="I224" s="77" t="s">
        <v>16</v>
      </c>
      <c r="J224" s="78"/>
      <c r="K224" s="79"/>
      <c r="L224" s="66"/>
      <c r="M224" s="66"/>
      <c r="N224" s="66"/>
      <c r="O224" s="71"/>
      <c r="P224" s="48"/>
      <c r="Q224" s="16"/>
      <c r="R224" s="16"/>
      <c r="S224" s="16"/>
      <c r="T224" s="16"/>
      <c r="U224" s="16"/>
      <c r="V224" s="16"/>
      <c r="W224" s="16"/>
      <c r="X224" s="16"/>
      <c r="Y224" s="16"/>
      <c r="Z224" s="16"/>
      <c r="AA224" s="16"/>
      <c r="AB224" s="16"/>
      <c r="AC224" s="16"/>
      <c r="AD224" s="55"/>
      <c r="AE224" s="56"/>
      <c r="AF224" s="57"/>
      <c r="AG224" s="57"/>
      <c r="AH224" s="57"/>
      <c r="AI224" s="57"/>
      <c r="AJ224" s="58"/>
      <c r="AK224" s="58"/>
      <c r="AL224" s="58"/>
      <c r="AM224" s="59"/>
      <c r="AN224" s="60"/>
      <c r="AO224" s="16"/>
      <c r="AP224" s="16"/>
      <c r="AQ224" s="61"/>
    </row>
    <row r="225" ht="12.75" customHeight="1">
      <c r="A225" s="44"/>
      <c r="B225" s="80"/>
      <c r="C225" s="65"/>
      <c r="D225" s="76" t="s">
        <v>17</v>
      </c>
      <c r="E225" s="81" t="str">
        <f t="array" ref="E225">MAX(O230:O234)</f>
        <v>#DIV/0!</v>
      </c>
      <c r="F225" s="76" t="str">
        <f t="array" ref="F225">C224</f>
        <v>MΩ</v>
      </c>
      <c r="G225" s="67"/>
      <c r="H225" s="82"/>
      <c r="I225" s="68" t="s">
        <v>18</v>
      </c>
      <c r="J225" s="82"/>
      <c r="K225" s="79"/>
      <c r="L225" s="66"/>
      <c r="M225" s="66"/>
      <c r="N225" s="66"/>
      <c r="O225" s="71"/>
      <c r="P225" s="48"/>
      <c r="Q225" s="16"/>
      <c r="R225" s="16"/>
      <c r="S225" s="16"/>
      <c r="T225" s="16"/>
      <c r="U225" s="16"/>
      <c r="V225" s="16"/>
      <c r="W225" s="16"/>
      <c r="X225" s="16"/>
      <c r="Y225" s="16"/>
      <c r="Z225" s="16"/>
      <c r="AA225" s="16"/>
      <c r="AB225" s="16"/>
      <c r="AC225" s="16"/>
      <c r="AD225" s="55"/>
      <c r="AE225" s="56"/>
      <c r="AF225" s="57"/>
      <c r="AG225" s="57"/>
      <c r="AH225" s="57"/>
      <c r="AI225" s="57"/>
      <c r="AJ225" s="58"/>
      <c r="AK225" s="58"/>
      <c r="AL225" s="58"/>
      <c r="AM225" s="59"/>
      <c r="AN225" s="60"/>
      <c r="AO225" s="16"/>
      <c r="AP225" s="16"/>
      <c r="AQ225" s="61"/>
    </row>
    <row r="226" ht="12.75" customHeight="1">
      <c r="A226" s="44"/>
      <c r="B226" s="83"/>
      <c r="C226" s="66"/>
      <c r="D226" s="66"/>
      <c r="E226" s="66"/>
      <c r="F226" s="66"/>
      <c r="G226" s="67"/>
      <c r="H226" s="82"/>
      <c r="I226" s="68" t="s">
        <v>19</v>
      </c>
      <c r="J226" s="82"/>
      <c r="K226" s="79"/>
      <c r="L226" s="66"/>
      <c r="M226" s="66"/>
      <c r="N226" s="66"/>
      <c r="O226" s="84"/>
      <c r="P226" s="48"/>
      <c r="Q226" s="16"/>
      <c r="R226" s="16"/>
      <c r="S226" s="16"/>
      <c r="T226" s="16"/>
      <c r="U226" s="16"/>
      <c r="V226" s="16"/>
      <c r="W226" s="16"/>
      <c r="X226" s="16"/>
      <c r="Y226" s="16"/>
      <c r="Z226" s="16"/>
      <c r="AA226" s="16"/>
      <c r="AB226" s="16"/>
      <c r="AC226" s="16"/>
      <c r="AD226" s="55"/>
      <c r="AE226" s="56"/>
      <c r="AF226" s="57"/>
      <c r="AG226" s="57"/>
      <c r="AH226" s="57"/>
      <c r="AI226" s="57"/>
      <c r="AJ226" s="58"/>
      <c r="AK226" s="58"/>
      <c r="AL226" s="58"/>
      <c r="AM226" s="59"/>
      <c r="AN226" s="60"/>
      <c r="AO226" s="16"/>
      <c r="AP226" s="16"/>
      <c r="AQ226" s="61"/>
    </row>
    <row r="227" ht="12.75" customHeight="1">
      <c r="A227" s="44"/>
      <c r="B227" s="85" t="s">
        <v>20</v>
      </c>
      <c r="C227" s="69"/>
      <c r="D227" s="70"/>
      <c r="E227" s="70"/>
      <c r="F227" s="70"/>
      <c r="G227" s="86"/>
      <c r="H227" s="87" t="s">
        <v>21</v>
      </c>
      <c r="I227" s="88">
        <v>5502.0</v>
      </c>
      <c r="J227" s="88"/>
      <c r="K227" s="69"/>
      <c r="L227" s="70"/>
      <c r="M227" s="70"/>
      <c r="N227" s="86"/>
      <c r="O227" s="89" t="s">
        <v>22</v>
      </c>
      <c r="P227" s="48"/>
      <c r="Q227" s="16"/>
      <c r="R227" s="16"/>
      <c r="S227" s="16"/>
      <c r="T227" s="16"/>
      <c r="U227" s="16"/>
      <c r="V227" s="16"/>
      <c r="W227" s="16"/>
      <c r="X227" s="16"/>
      <c r="Y227" s="16"/>
      <c r="Z227" s="16"/>
      <c r="AA227" s="16"/>
      <c r="AB227" s="16"/>
      <c r="AC227" s="16"/>
      <c r="AD227" s="55"/>
      <c r="AE227" s="56"/>
      <c r="AF227" s="57"/>
      <c r="AG227" s="57"/>
      <c r="AH227" s="57"/>
      <c r="AI227" s="57"/>
      <c r="AJ227" s="58"/>
      <c r="AK227" s="58"/>
      <c r="AL227" s="58"/>
      <c r="AM227" s="59"/>
      <c r="AN227" s="60"/>
      <c r="AO227" s="16"/>
      <c r="AP227" s="16"/>
      <c r="AQ227" s="61"/>
    </row>
    <row r="228" ht="12.75" customHeight="1">
      <c r="A228" s="44"/>
      <c r="B228" s="90" t="s">
        <v>23</v>
      </c>
      <c r="C228" s="77" t="s">
        <v>24</v>
      </c>
      <c r="D228" s="77" t="s">
        <v>25</v>
      </c>
      <c r="E228" s="77" t="s">
        <v>26</v>
      </c>
      <c r="F228" s="77" t="s">
        <v>27</v>
      </c>
      <c r="G228" s="77" t="s">
        <v>28</v>
      </c>
      <c r="H228" s="77" t="s">
        <v>29</v>
      </c>
      <c r="I228" s="77" t="s">
        <v>30</v>
      </c>
      <c r="J228" s="77" t="s">
        <v>31</v>
      </c>
      <c r="K228" s="77" t="s">
        <v>32</v>
      </c>
      <c r="L228" s="77" t="s">
        <v>33</v>
      </c>
      <c r="M228" s="77" t="s">
        <v>34</v>
      </c>
      <c r="N228" s="91"/>
      <c r="O228" s="92" t="s">
        <v>35</v>
      </c>
      <c r="P228" s="48"/>
      <c r="Q228" s="16"/>
      <c r="R228" s="16"/>
      <c r="S228" s="16"/>
      <c r="T228" s="16"/>
      <c r="U228" s="16"/>
      <c r="V228" s="16"/>
      <c r="W228" s="16"/>
      <c r="X228" s="16"/>
      <c r="Y228" s="16"/>
      <c r="Z228" s="16"/>
      <c r="AA228" s="16"/>
      <c r="AB228" s="16"/>
      <c r="AC228" s="16"/>
      <c r="AD228" s="55"/>
      <c r="AE228" s="56"/>
      <c r="AF228" s="57"/>
      <c r="AG228" s="57"/>
      <c r="AH228" s="57"/>
      <c r="AI228" s="57"/>
      <c r="AJ228" s="58"/>
      <c r="AK228" s="58"/>
      <c r="AL228" s="58"/>
      <c r="AM228" s="59"/>
      <c r="AN228" s="60"/>
      <c r="AO228" s="16"/>
      <c r="AP228" s="16"/>
      <c r="AQ228" s="61"/>
    </row>
    <row r="229" ht="12.75" customHeight="1">
      <c r="A229" s="44"/>
      <c r="B229" s="93" t="str">
        <f t="array" ref="B229">C224</f>
        <v>MΩ</v>
      </c>
      <c r="C229" s="87" t="str">
        <f t="array" ref="C229">$B229</f>
        <v>MΩ</v>
      </c>
      <c r="D229" s="87" t="str">
        <f t="array" ref="D229">$B229</f>
        <v>MΩ</v>
      </c>
      <c r="E229" s="87" t="str">
        <f t="array" ref="E229">$B229</f>
        <v>MΩ</v>
      </c>
      <c r="F229" s="87" t="str">
        <f t="array" ref="F229">$B229</f>
        <v>MΩ</v>
      </c>
      <c r="G229" s="87" t="str">
        <f t="array" ref="G229">$B229</f>
        <v>MΩ</v>
      </c>
      <c r="H229" s="87" t="str">
        <f t="array" ref="H229">$B229</f>
        <v>MΩ</v>
      </c>
      <c r="I229" s="87" t="str">
        <f t="array" ref="I229">$B229</f>
        <v>MΩ</v>
      </c>
      <c r="J229" s="87" t="str">
        <f t="array" ref="J229">$B229</f>
        <v>MΩ</v>
      </c>
      <c r="K229" s="87" t="str">
        <f t="array" ref="K229">$B229</f>
        <v>MΩ</v>
      </c>
      <c r="L229" s="87" t="str">
        <f t="array" ref="L229">$B229</f>
        <v>MΩ</v>
      </c>
      <c r="M229" s="94" t="s">
        <v>36</v>
      </c>
      <c r="N229" s="87" t="s">
        <v>37</v>
      </c>
      <c r="O229" s="95" t="str">
        <f t="array" ref="O229">$B229</f>
        <v>MΩ</v>
      </c>
      <c r="P229" s="48"/>
      <c r="Q229" s="96" t="s">
        <v>38</v>
      </c>
      <c r="R229" s="96" t="s">
        <v>39</v>
      </c>
      <c r="S229" s="96" t="s">
        <v>40</v>
      </c>
      <c r="T229" s="97" t="s">
        <v>41</v>
      </c>
      <c r="U229" s="16"/>
      <c r="V229" s="16"/>
      <c r="W229" s="16"/>
      <c r="X229" s="16"/>
      <c r="Y229" s="16"/>
      <c r="Z229" s="16"/>
      <c r="AA229" s="16"/>
      <c r="AB229" s="16"/>
      <c r="AC229" s="16"/>
      <c r="AD229" s="55"/>
      <c r="AE229" s="56"/>
      <c r="AF229" s="57"/>
      <c r="AG229" s="57"/>
      <c r="AH229" s="57"/>
      <c r="AI229" s="57"/>
      <c r="AJ229" s="58"/>
      <c r="AK229" s="58"/>
      <c r="AL229" s="58"/>
      <c r="AM229" s="59"/>
      <c r="AN229" s="60"/>
      <c r="AO229" s="16"/>
      <c r="AP229" s="16"/>
      <c r="AQ229" s="61"/>
    </row>
    <row r="230" ht="12.75" customHeight="1">
      <c r="A230" s="98"/>
      <c r="B230" s="99">
        <v>1.00087</v>
      </c>
      <c r="C230" s="130">
        <v>1.001</v>
      </c>
      <c r="D230" s="131">
        <v>1.001</v>
      </c>
      <c r="E230" s="131">
        <v>1.001</v>
      </c>
      <c r="F230" s="131">
        <v>1.001</v>
      </c>
      <c r="G230" s="132">
        <v>1.001</v>
      </c>
      <c r="H230" s="103">
        <f t="array" ref="H230">STDEV(C230:G230)*1.4</f>
        <v>0</v>
      </c>
      <c r="I230" s="103">
        <f t="array" ref="I230">(B230*0.009%)</f>
        <v>0.0000900783</v>
      </c>
      <c r="J230" s="103">
        <f t="array" ref="J230">I230/SQRT(3)</f>
        <v>0.00005200673075</v>
      </c>
      <c r="K230" s="103">
        <f t="array" ref="K230">(C$208)/SQRT(12)</f>
        <v>0.0002886751346</v>
      </c>
      <c r="L230" s="105">
        <f t="array" ref="L230">SQRT(H230^2+J230^2+(K230)^2)</f>
        <v>0.0002933224052</v>
      </c>
      <c r="M230" s="91" t="str">
        <f t="array" ref="M230">IF(ISERROR((L230^4)/(H230^4/4))=TRUE,"∞",((L230^4)/(H230^4/4)))</f>
        <v>∞</v>
      </c>
      <c r="N230" s="91">
        <f t="array" ref="N230">IF(ISERROR(TINV(0.05,M230))=TRUE,2,TINV(0.05,M230))</f>
        <v>2</v>
      </c>
      <c r="O230" s="106">
        <f t="array" ref="O230">L230*N230</f>
        <v>0.0005866448103</v>
      </c>
      <c r="P230" s="48"/>
      <c r="Q230" s="107">
        <f t="array" ref="Q230">AVERAGE(C230:G230)-B230</f>
        <v>0.00013</v>
      </c>
      <c r="R230" s="107">
        <f t="array" ref="R230">Q230+O230</f>
        <v>0.0007166448103</v>
      </c>
      <c r="S230" s="107">
        <f t="array" ref="S230">Q230-O230</f>
        <v>-0.0004566448103</v>
      </c>
      <c r="T230" s="107">
        <f t="array" ref="T230">ABS(Q230)</f>
        <v>0.00013</v>
      </c>
      <c r="U230" s="16"/>
      <c r="V230" s="16"/>
      <c r="W230" s="16"/>
      <c r="X230" s="16"/>
      <c r="Y230" s="16"/>
      <c r="Z230" s="16"/>
      <c r="AA230" s="16"/>
      <c r="AB230" s="16"/>
      <c r="AC230" s="16"/>
      <c r="AD230" s="55"/>
      <c r="AE230" s="56"/>
      <c r="AF230" s="57"/>
      <c r="AG230" s="57"/>
      <c r="AH230" s="57"/>
      <c r="AI230" s="57"/>
      <c r="AJ230" s="58"/>
      <c r="AK230" s="58"/>
      <c r="AL230" s="58"/>
      <c r="AM230" s="59"/>
      <c r="AN230" s="60"/>
      <c r="AO230" s="16"/>
      <c r="AP230" s="16"/>
      <c r="AQ230" s="61"/>
    </row>
    <row r="231" ht="12.75" customHeight="1">
      <c r="A231" s="98"/>
      <c r="B231" s="108">
        <v>9.9747</v>
      </c>
      <c r="C231" s="133">
        <v>9.97</v>
      </c>
      <c r="D231" s="134">
        <v>9.97</v>
      </c>
      <c r="E231" s="134">
        <v>9.97</v>
      </c>
      <c r="F231" s="134">
        <v>9.97</v>
      </c>
      <c r="G231" s="135">
        <v>9.97</v>
      </c>
      <c r="H231" s="112">
        <f t="array" ref="H231">STDEV(C231:G231)*1.4</f>
        <v>0</v>
      </c>
      <c r="I231" s="112">
        <f t="array" ref="I231">(B231*0.009%)</f>
        <v>0.000897723</v>
      </c>
      <c r="J231" s="112">
        <f t="array" ref="J231">I231/SQRT(3)</f>
        <v>0.0005183006157</v>
      </c>
      <c r="K231" s="112">
        <f t="array" ref="K231">(C$208)/SQRT(12)</f>
        <v>0.0002886751346</v>
      </c>
      <c r="L231" s="113">
        <f t="array" ref="L231">SQRT(H231^2+J231^2+(K231)^2)</f>
        <v>0.0005932696365</v>
      </c>
      <c r="M231" s="114" t="str">
        <f t="array" ref="M231">IF(ISERROR((L231^4)/(H231^4/4))=TRUE,"∞",((L231^4)/(H231^4/4)))</f>
        <v>∞</v>
      </c>
      <c r="N231" s="114">
        <f t="array" ref="N231">IF(ISERROR(TINV(0.05,M231))=TRUE,2,TINV(0.05,M231))</f>
        <v>2</v>
      </c>
      <c r="O231" s="115">
        <f t="array" ref="O231">L231*N231</f>
        <v>0.001186539273</v>
      </c>
      <c r="P231" s="48"/>
      <c r="Q231" s="107">
        <f t="array" ref="Q231">AVERAGE(C231:G231)-B231</f>
        <v>-0.0047</v>
      </c>
      <c r="R231" s="107">
        <f t="array" ref="R231">Q231+O231</f>
        <v>-0.003513460727</v>
      </c>
      <c r="S231" s="107">
        <f t="array" ref="S231">Q231-O231</f>
        <v>-0.005886539273</v>
      </c>
      <c r="T231" s="107">
        <f t="array" ref="T231">ABS(Q231)</f>
        <v>0.0047</v>
      </c>
      <c r="U231" s="16"/>
      <c r="V231" s="16"/>
      <c r="W231" s="16"/>
      <c r="X231" s="16"/>
      <c r="Y231" s="16"/>
      <c r="Z231" s="16"/>
      <c r="AA231" s="16"/>
      <c r="AB231" s="16"/>
      <c r="AC231" s="16"/>
      <c r="AD231" s="55"/>
      <c r="AE231" s="56"/>
      <c r="AF231" s="57"/>
      <c r="AG231" s="57"/>
      <c r="AH231" s="57"/>
      <c r="AI231" s="57"/>
      <c r="AJ231" s="58"/>
      <c r="AK231" s="58"/>
      <c r="AL231" s="58"/>
      <c r="AM231" s="59"/>
      <c r="AN231" s="60"/>
      <c r="AO231" s="16"/>
      <c r="AP231" s="16"/>
      <c r="AQ231" s="61"/>
    </row>
    <row r="232" ht="12.75" customHeight="1">
      <c r="A232" s="98"/>
      <c r="B232" s="108"/>
      <c r="C232" s="133"/>
      <c r="D232" s="134"/>
      <c r="E232" s="134"/>
      <c r="F232" s="134"/>
      <c r="G232" s="135"/>
      <c r="H232" s="112" t="str">
        <f t="array" ref="H232">STDEV(C232:G232)*1.4</f>
        <v>#DIV/0!</v>
      </c>
      <c r="I232" s="112">
        <f t="array" ref="I232">(B232*0.009%)</f>
        <v>0</v>
      </c>
      <c r="J232" s="112">
        <f t="array" ref="J232">I232/SQRT(3)</f>
        <v>0</v>
      </c>
      <c r="K232" s="112">
        <f t="array" ref="K232">(C$208)/SQRT(12)</f>
        <v>0.0002886751346</v>
      </c>
      <c r="L232" s="113" t="str">
        <f t="array" ref="L232">SQRT(H232^2+J232^2+(K232)^2)</f>
        <v>#DIV/0!</v>
      </c>
      <c r="M232" s="114" t="str">
        <f t="array" ref="M232">IF(ISERROR((L232^4)/(H232^4/4))=TRUE,"∞",((L232^4)/(H232^4/4)))</f>
        <v>∞</v>
      </c>
      <c r="N232" s="114">
        <f t="array" ref="N232">IF(ISERROR(TINV(0.05,M232))=TRUE,2,TINV(0.05,M232))</f>
        <v>2</v>
      </c>
      <c r="O232" s="115" t="str">
        <f t="array" ref="O232">L232*N232</f>
        <v>#DIV/0!</v>
      </c>
      <c r="P232" s="48"/>
      <c r="Q232" s="107" t="str">
        <f t="array" ref="Q232">AVERAGE(C232:G232)-B232</f>
        <v>#DIV/0!</v>
      </c>
      <c r="R232" s="107" t="str">
        <f t="array" ref="R232">Q232+O232</f>
        <v>#DIV/0!</v>
      </c>
      <c r="S232" s="107" t="str">
        <f t="array" ref="S232">Q232-O232</f>
        <v>#DIV/0!</v>
      </c>
      <c r="T232" s="107" t="str">
        <f t="array" ref="T232">ABS(Q232)</f>
        <v>#DIV/0!</v>
      </c>
      <c r="U232" s="16"/>
      <c r="V232" s="16"/>
      <c r="W232" s="16"/>
      <c r="X232" s="16"/>
      <c r="Y232" s="16"/>
      <c r="Z232" s="16"/>
      <c r="AA232" s="16"/>
      <c r="AB232" s="16"/>
      <c r="AC232" s="16"/>
      <c r="AD232" s="55"/>
      <c r="AE232" s="56"/>
      <c r="AF232" s="57"/>
      <c r="AG232" s="57"/>
      <c r="AH232" s="57"/>
      <c r="AI232" s="57"/>
      <c r="AJ232" s="58"/>
      <c r="AK232" s="58"/>
      <c r="AL232" s="58"/>
      <c r="AM232" s="59"/>
      <c r="AN232" s="60"/>
      <c r="AO232" s="16"/>
      <c r="AP232" s="16"/>
      <c r="AQ232" s="61"/>
    </row>
    <row r="233" ht="12.75" customHeight="1">
      <c r="A233" s="98"/>
      <c r="B233" s="108"/>
      <c r="C233" s="133"/>
      <c r="D233" s="134"/>
      <c r="E233" s="134"/>
      <c r="F233" s="134"/>
      <c r="G233" s="135"/>
      <c r="H233" s="112" t="str">
        <f t="array" ref="H233">STDEV(C233:G233)*1.4</f>
        <v>#DIV/0!</v>
      </c>
      <c r="I233" s="112">
        <f t="array" ref="I233">(B233*0.009%)</f>
        <v>0</v>
      </c>
      <c r="J233" s="112">
        <f t="array" ref="J233">I233/SQRT(3)</f>
        <v>0</v>
      </c>
      <c r="K233" s="112">
        <f t="array" ref="K233">(C$208)/SQRT(12)</f>
        <v>0.0002886751346</v>
      </c>
      <c r="L233" s="113" t="str">
        <f t="array" ref="L233">SQRT(H233^2+J233^2+(K233)^2)</f>
        <v>#DIV/0!</v>
      </c>
      <c r="M233" s="114" t="str">
        <f t="array" ref="M233">IF(ISERROR((L233^4)/(H233^4/4))=TRUE,"∞",((L233^4)/(H233^4/4)))</f>
        <v>∞</v>
      </c>
      <c r="N233" s="114">
        <f t="array" ref="N233">IF(ISERROR(TINV(0.05,M233))=TRUE,2,TINV(0.05,M233))</f>
        <v>2</v>
      </c>
      <c r="O233" s="115" t="str">
        <f t="array" ref="O233">L233*N233</f>
        <v>#DIV/0!</v>
      </c>
      <c r="P233" s="48"/>
      <c r="Q233" s="107" t="str">
        <f t="array" ref="Q233">AVERAGE(C233:G233)-B233</f>
        <v>#DIV/0!</v>
      </c>
      <c r="R233" s="107" t="str">
        <f t="array" ref="R233">Q233+O233</f>
        <v>#DIV/0!</v>
      </c>
      <c r="S233" s="107" t="str">
        <f t="array" ref="S233">Q233-O233</f>
        <v>#DIV/0!</v>
      </c>
      <c r="T233" s="107" t="str">
        <f t="array" ref="T233">ABS(Q233)</f>
        <v>#DIV/0!</v>
      </c>
      <c r="U233" s="16"/>
      <c r="V233" s="16"/>
      <c r="W233" s="16"/>
      <c r="X233" s="16"/>
      <c r="Y233" s="16"/>
      <c r="Z233" s="16"/>
      <c r="AA233" s="16"/>
      <c r="AB233" s="16"/>
      <c r="AC233" s="16"/>
      <c r="AD233" s="55"/>
      <c r="AE233" s="56"/>
      <c r="AF233" s="57"/>
      <c r="AG233" s="57"/>
      <c r="AH233" s="57"/>
      <c r="AI233" s="57"/>
      <c r="AJ233" s="58"/>
      <c r="AK233" s="58"/>
      <c r="AL233" s="58"/>
      <c r="AM233" s="59"/>
      <c r="AN233" s="60"/>
      <c r="AO233" s="16"/>
      <c r="AP233" s="16"/>
      <c r="AQ233" s="61"/>
    </row>
    <row r="234" ht="12.75" customHeight="1">
      <c r="A234" s="98"/>
      <c r="B234" s="116"/>
      <c r="C234" s="136"/>
      <c r="D234" s="137"/>
      <c r="E234" s="137"/>
      <c r="F234" s="137"/>
      <c r="G234" s="138"/>
      <c r="H234" s="120" t="str">
        <f t="array" ref="H234">STDEV(C234:G234)*1.4</f>
        <v>#DIV/0!</v>
      </c>
      <c r="I234" s="120">
        <f t="array" ref="I234">(B234*0.009%)</f>
        <v>0</v>
      </c>
      <c r="J234" s="120">
        <f t="array" ref="J234">I234/SQRT(3)</f>
        <v>0</v>
      </c>
      <c r="K234" s="120">
        <f t="array" ref="K234">(C$208)/SQRT(12)</f>
        <v>0.0002886751346</v>
      </c>
      <c r="L234" s="121" t="str">
        <f t="array" ref="L234">SQRT(H234^2+J234^2+(K234)^2)</f>
        <v>#DIV/0!</v>
      </c>
      <c r="M234" s="122" t="str">
        <f t="array" ref="M234">IF(ISERROR((L234^4)/(H234^4/4))=TRUE,"∞",((L234^4)/(H234^4/4)))</f>
        <v>∞</v>
      </c>
      <c r="N234" s="122">
        <f t="array" ref="N234">IF(ISERROR(TINV(0.05,M234))=TRUE,2,TINV(0.05,M234))</f>
        <v>2</v>
      </c>
      <c r="O234" s="123" t="str">
        <f t="array" ref="O234">L234*N234</f>
        <v>#DIV/0!</v>
      </c>
      <c r="P234" s="48"/>
      <c r="Q234" s="107" t="str">
        <f t="array" ref="Q234">AVERAGE(C234:G234)-B234</f>
        <v>#DIV/0!</v>
      </c>
      <c r="R234" s="107" t="str">
        <f t="array" ref="R234">Q234+O234</f>
        <v>#DIV/0!</v>
      </c>
      <c r="S234" s="107" t="str">
        <f t="array" ref="S234">Q234-O234</f>
        <v>#DIV/0!</v>
      </c>
      <c r="T234" s="107" t="str">
        <f t="array" ref="T234">ABS(Q234)</f>
        <v>#DIV/0!</v>
      </c>
      <c r="U234" s="16"/>
      <c r="V234" s="16"/>
      <c r="W234" s="16"/>
      <c r="X234" s="16"/>
      <c r="Y234" s="16"/>
      <c r="Z234" s="16"/>
      <c r="AA234" s="16"/>
      <c r="AB234" s="16"/>
      <c r="AC234" s="16"/>
      <c r="AD234" s="55"/>
      <c r="AE234" s="56"/>
      <c r="AF234" s="57"/>
      <c r="AG234" s="57"/>
      <c r="AH234" s="57"/>
      <c r="AI234" s="57"/>
      <c r="AJ234" s="58"/>
      <c r="AK234" s="58"/>
      <c r="AL234" s="58"/>
      <c r="AM234" s="59"/>
      <c r="AN234" s="60"/>
      <c r="AO234" s="16"/>
      <c r="AP234" s="16"/>
      <c r="AQ234" s="61"/>
    </row>
    <row r="235" ht="13.5" customHeight="1">
      <c r="A235" s="15"/>
      <c r="B235" s="124"/>
      <c r="C235" s="124"/>
      <c r="D235" s="124"/>
      <c r="E235" s="124"/>
      <c r="F235" s="124"/>
      <c r="G235" s="124"/>
      <c r="H235" s="125"/>
      <c r="I235" s="125"/>
      <c r="J235" s="125"/>
      <c r="K235" s="125"/>
      <c r="L235" s="127"/>
      <c r="M235" s="128"/>
      <c r="N235" s="128"/>
      <c r="O235" s="129"/>
      <c r="P235" s="48"/>
      <c r="Q235" s="107"/>
      <c r="R235" s="107"/>
      <c r="S235" s="107"/>
      <c r="T235" s="107"/>
      <c r="U235" s="16"/>
      <c r="V235" s="16"/>
      <c r="W235" s="16"/>
      <c r="X235" s="16"/>
      <c r="Y235" s="16"/>
      <c r="Z235" s="16"/>
      <c r="AA235" s="16"/>
      <c r="AB235" s="16"/>
      <c r="AC235" s="16"/>
      <c r="AD235" s="55"/>
      <c r="AE235" s="56"/>
      <c r="AF235" s="57"/>
      <c r="AG235" s="57"/>
      <c r="AH235" s="57"/>
      <c r="AI235" s="57"/>
      <c r="AJ235" s="58"/>
      <c r="AK235" s="58"/>
      <c r="AL235" s="58"/>
      <c r="AM235" s="59"/>
      <c r="AN235" s="60"/>
      <c r="AO235" s="16"/>
      <c r="AP235" s="16"/>
      <c r="AQ235" s="61"/>
    </row>
    <row r="236" ht="27.0" customHeight="1">
      <c r="A236" s="44"/>
      <c r="B236" s="45" t="s">
        <v>50</v>
      </c>
      <c r="C236" s="46"/>
      <c r="D236" s="46"/>
      <c r="E236" s="46"/>
      <c r="F236" s="46"/>
      <c r="G236" s="46"/>
      <c r="H236" s="46"/>
      <c r="I236" s="46"/>
      <c r="J236" s="46"/>
      <c r="K236" s="46"/>
      <c r="L236" s="46"/>
      <c r="M236" s="46"/>
      <c r="N236" s="46"/>
      <c r="O236" s="47"/>
      <c r="P236" s="48"/>
      <c r="Q236" s="16"/>
      <c r="R236" s="16"/>
      <c r="S236" s="16"/>
      <c r="T236" s="16"/>
      <c r="U236" s="16"/>
      <c r="V236" s="16"/>
      <c r="W236" s="16"/>
      <c r="X236" s="16"/>
      <c r="Y236" s="16"/>
      <c r="Z236" s="16"/>
      <c r="AA236" s="16"/>
      <c r="AB236" s="16"/>
      <c r="AC236" s="16"/>
      <c r="AD236" s="55"/>
      <c r="AE236" s="56"/>
      <c r="AF236" s="57"/>
      <c r="AG236" s="57"/>
      <c r="AH236" s="57"/>
      <c r="AI236" s="57"/>
      <c r="AJ236" s="58"/>
      <c r="AK236" s="58"/>
      <c r="AL236" s="58"/>
      <c r="AM236" s="59"/>
      <c r="AN236" s="60"/>
      <c r="AO236" s="16"/>
      <c r="AP236" s="16"/>
      <c r="AQ236" s="61"/>
    </row>
    <row r="237" ht="13.5" customHeight="1">
      <c r="A237" s="44"/>
      <c r="B237" s="49" t="s">
        <v>8</v>
      </c>
      <c r="C237" s="50">
        <v>0.0</v>
      </c>
      <c r="D237" s="51" t="s">
        <v>9</v>
      </c>
      <c r="E237" s="50">
        <v>600.0</v>
      </c>
      <c r="F237" s="52"/>
      <c r="G237" s="53"/>
      <c r="H237" s="53"/>
      <c r="I237" s="53"/>
      <c r="J237" s="53"/>
      <c r="K237" s="53"/>
      <c r="L237" s="53"/>
      <c r="M237" s="53"/>
      <c r="N237" s="53"/>
      <c r="O237" s="54"/>
      <c r="P237" s="48"/>
      <c r="Q237" s="16"/>
      <c r="R237" s="16"/>
      <c r="S237" s="16"/>
      <c r="T237" s="16"/>
      <c r="U237" s="16"/>
      <c r="V237" s="16"/>
      <c r="W237" s="16"/>
      <c r="X237" s="16"/>
      <c r="Y237" s="16"/>
      <c r="Z237" s="16"/>
      <c r="AA237" s="16"/>
      <c r="AB237" s="16"/>
      <c r="AC237" s="16"/>
      <c r="AD237" s="55"/>
      <c r="AE237" s="56"/>
      <c r="AF237" s="57"/>
      <c r="AG237" s="57"/>
      <c r="AH237" s="57"/>
      <c r="AI237" s="57"/>
      <c r="AJ237" s="58"/>
      <c r="AK237" s="58"/>
      <c r="AL237" s="58"/>
      <c r="AM237" s="59"/>
      <c r="AN237" s="60"/>
      <c r="AO237" s="16"/>
      <c r="AP237" s="16"/>
      <c r="AQ237" s="61"/>
    </row>
    <row r="238" ht="13.5" customHeight="1">
      <c r="A238" s="44"/>
      <c r="B238" s="62" t="s">
        <v>10</v>
      </c>
      <c r="C238" s="63">
        <v>0.1</v>
      </c>
      <c r="D238" s="64"/>
      <c r="E238" s="65"/>
      <c r="F238" s="66"/>
      <c r="G238" s="67"/>
      <c r="H238" s="68" t="s">
        <v>11</v>
      </c>
      <c r="I238" s="69"/>
      <c r="J238" s="70"/>
      <c r="K238" s="66"/>
      <c r="L238" s="66"/>
      <c r="M238" s="66"/>
      <c r="N238" s="66"/>
      <c r="O238" s="71"/>
      <c r="P238" s="48"/>
      <c r="Q238" s="16"/>
      <c r="R238" s="16"/>
      <c r="S238" s="16"/>
      <c r="T238" s="16"/>
      <c r="U238" s="16"/>
      <c r="V238" s="16"/>
      <c r="W238" s="16"/>
      <c r="X238" s="16"/>
      <c r="Y238" s="16"/>
      <c r="Z238" s="16"/>
      <c r="AA238" s="16"/>
      <c r="AB238" s="16"/>
      <c r="AC238" s="16"/>
      <c r="AD238" s="55"/>
      <c r="AE238" s="56"/>
      <c r="AF238" s="57"/>
      <c r="AG238" s="57"/>
      <c r="AH238" s="57"/>
      <c r="AI238" s="57"/>
      <c r="AJ238" s="58"/>
      <c r="AK238" s="58"/>
      <c r="AL238" s="58"/>
      <c r="AM238" s="59"/>
      <c r="AN238" s="60"/>
      <c r="AO238" s="16"/>
      <c r="AP238" s="16"/>
      <c r="AQ238" s="61"/>
    </row>
    <row r="239" ht="13.5" customHeight="1">
      <c r="A239" s="44"/>
      <c r="B239" s="72" t="s">
        <v>12</v>
      </c>
      <c r="C239" s="73" t="s">
        <v>52</v>
      </c>
      <c r="D239" s="74" t="s">
        <v>14</v>
      </c>
      <c r="E239" s="75">
        <f t="array" ref="E239">MAX(Q245:Q249)</f>
        <v>0.4</v>
      </c>
      <c r="F239" s="76" t="str">
        <f t="array" ref="F239">C239</f>
        <v>kΩ</v>
      </c>
      <c r="G239" s="67"/>
      <c r="H239" s="68" t="s">
        <v>15</v>
      </c>
      <c r="I239" s="77" t="s">
        <v>16</v>
      </c>
      <c r="J239" s="78"/>
      <c r="K239" s="79"/>
      <c r="L239" s="66"/>
      <c r="M239" s="66"/>
      <c r="N239" s="66"/>
      <c r="O239" s="71"/>
      <c r="P239" s="48"/>
      <c r="Q239" s="16"/>
      <c r="R239" s="16"/>
      <c r="S239" s="16"/>
      <c r="T239" s="16"/>
      <c r="U239" s="16"/>
      <c r="V239" s="16"/>
      <c r="W239" s="16"/>
      <c r="X239" s="16"/>
      <c r="Y239" s="16"/>
      <c r="Z239" s="16"/>
      <c r="AA239" s="16"/>
      <c r="AB239" s="16"/>
      <c r="AC239" s="16"/>
      <c r="AD239" s="55"/>
      <c r="AE239" s="56"/>
      <c r="AF239" s="57"/>
      <c r="AG239" s="57"/>
      <c r="AH239" s="57"/>
      <c r="AI239" s="57"/>
      <c r="AJ239" s="58"/>
      <c r="AK239" s="58"/>
      <c r="AL239" s="58"/>
      <c r="AM239" s="59"/>
      <c r="AN239" s="60"/>
      <c r="AO239" s="16"/>
      <c r="AP239" s="16"/>
      <c r="AQ239" s="61"/>
    </row>
    <row r="240" ht="12.75" customHeight="1">
      <c r="A240" s="44"/>
      <c r="B240" s="80"/>
      <c r="C240" s="65"/>
      <c r="D240" s="76" t="s">
        <v>17</v>
      </c>
      <c r="E240" s="81">
        <f t="array" ref="E240">MAX(O245:O249)</f>
        <v>0.056121416</v>
      </c>
      <c r="F240" s="76" t="str">
        <f t="array" ref="F240">C239</f>
        <v>kΩ</v>
      </c>
      <c r="G240" s="67"/>
      <c r="H240" s="82"/>
      <c r="I240" s="68" t="s">
        <v>18</v>
      </c>
      <c r="J240" s="82"/>
      <c r="K240" s="79"/>
      <c r="L240" s="66"/>
      <c r="M240" s="66"/>
      <c r="N240" s="66"/>
      <c r="O240" s="71"/>
      <c r="P240" s="48"/>
      <c r="Q240" s="16"/>
      <c r="R240" s="16"/>
      <c r="S240" s="16"/>
      <c r="T240" s="16"/>
      <c r="U240" s="16"/>
      <c r="V240" s="16"/>
      <c r="W240" s="16"/>
      <c r="X240" s="16"/>
      <c r="Y240" s="16"/>
      <c r="Z240" s="16"/>
      <c r="AA240" s="16"/>
      <c r="AB240" s="16"/>
      <c r="AC240" s="16"/>
      <c r="AD240" s="55"/>
      <c r="AE240" s="56"/>
      <c r="AF240" s="57"/>
      <c r="AG240" s="57"/>
      <c r="AH240" s="57"/>
      <c r="AI240" s="57"/>
      <c r="AJ240" s="58"/>
      <c r="AK240" s="58"/>
      <c r="AL240" s="58"/>
      <c r="AM240" s="59"/>
      <c r="AN240" s="60"/>
      <c r="AO240" s="16"/>
      <c r="AP240" s="16"/>
      <c r="AQ240" s="61"/>
    </row>
    <row r="241" ht="12.75" customHeight="1">
      <c r="A241" s="44"/>
      <c r="B241" s="83"/>
      <c r="C241" s="66"/>
      <c r="D241" s="66"/>
      <c r="E241" s="66"/>
      <c r="F241" s="66"/>
      <c r="G241" s="67"/>
      <c r="H241" s="82"/>
      <c r="I241" s="68" t="s">
        <v>19</v>
      </c>
      <c r="J241" s="82"/>
      <c r="K241" s="79"/>
      <c r="L241" s="66"/>
      <c r="M241" s="66"/>
      <c r="N241" s="66"/>
      <c r="O241" s="84"/>
      <c r="P241" s="48"/>
      <c r="Q241" s="16"/>
      <c r="R241" s="16"/>
      <c r="S241" s="16"/>
      <c r="T241" s="16"/>
      <c r="U241" s="16"/>
      <c r="V241" s="16"/>
      <c r="W241" s="16"/>
      <c r="X241" s="16"/>
      <c r="Y241" s="16"/>
      <c r="Z241" s="16"/>
      <c r="AA241" s="16"/>
      <c r="AB241" s="16"/>
      <c r="AC241" s="16"/>
      <c r="AD241" s="55"/>
      <c r="AE241" s="56"/>
      <c r="AF241" s="57"/>
      <c r="AG241" s="57"/>
      <c r="AH241" s="57"/>
      <c r="AI241" s="57"/>
      <c r="AJ241" s="58"/>
      <c r="AK241" s="58"/>
      <c r="AL241" s="58"/>
      <c r="AM241" s="59"/>
      <c r="AN241" s="60"/>
      <c r="AO241" s="16"/>
      <c r="AP241" s="16"/>
      <c r="AQ241" s="61"/>
    </row>
    <row r="242" ht="12.75" customHeight="1">
      <c r="A242" s="44"/>
      <c r="B242" s="85" t="s">
        <v>20</v>
      </c>
      <c r="C242" s="69"/>
      <c r="D242" s="70"/>
      <c r="E242" s="70"/>
      <c r="F242" s="70"/>
      <c r="G242" s="86"/>
      <c r="H242" s="87" t="s">
        <v>21</v>
      </c>
      <c r="I242" s="88">
        <v>5502.0</v>
      </c>
      <c r="J242" s="88"/>
      <c r="K242" s="69"/>
      <c r="L242" s="70"/>
      <c r="M242" s="70"/>
      <c r="N242" s="86"/>
      <c r="O242" s="89" t="s">
        <v>22</v>
      </c>
      <c r="P242" s="48"/>
      <c r="Q242" s="16"/>
      <c r="R242" s="16"/>
      <c r="S242" s="16"/>
      <c r="T242" s="16"/>
      <c r="U242" s="16"/>
      <c r="V242" s="16"/>
      <c r="W242" s="16"/>
      <c r="X242" s="16"/>
      <c r="Y242" s="16"/>
      <c r="Z242" s="16"/>
      <c r="AA242" s="16"/>
      <c r="AB242" s="16"/>
      <c r="AC242" s="16"/>
      <c r="AD242" s="55"/>
      <c r="AE242" s="56"/>
      <c r="AF242" s="57"/>
      <c r="AG242" s="57"/>
      <c r="AH242" s="57"/>
      <c r="AI242" s="57"/>
      <c r="AJ242" s="58"/>
      <c r="AK242" s="58"/>
      <c r="AL242" s="58"/>
      <c r="AM242" s="59"/>
      <c r="AN242" s="60"/>
      <c r="AO242" s="16"/>
      <c r="AP242" s="16"/>
      <c r="AQ242" s="61"/>
    </row>
    <row r="243" ht="12.75" customHeight="1">
      <c r="A243" s="44"/>
      <c r="B243" s="90" t="s">
        <v>23</v>
      </c>
      <c r="C243" s="77" t="s">
        <v>24</v>
      </c>
      <c r="D243" s="77" t="s">
        <v>25</v>
      </c>
      <c r="E243" s="77" t="s">
        <v>26</v>
      </c>
      <c r="F243" s="77" t="s">
        <v>27</v>
      </c>
      <c r="G243" s="77" t="s">
        <v>28</v>
      </c>
      <c r="H243" s="77" t="s">
        <v>29</v>
      </c>
      <c r="I243" s="77" t="s">
        <v>30</v>
      </c>
      <c r="J243" s="77" t="s">
        <v>31</v>
      </c>
      <c r="K243" s="77" t="s">
        <v>32</v>
      </c>
      <c r="L243" s="77" t="s">
        <v>33</v>
      </c>
      <c r="M243" s="77" t="s">
        <v>34</v>
      </c>
      <c r="N243" s="91"/>
      <c r="O243" s="92" t="s">
        <v>35</v>
      </c>
      <c r="P243" s="48"/>
      <c r="Q243" s="16"/>
      <c r="R243" s="16"/>
      <c r="S243" s="16"/>
      <c r="T243" s="16"/>
      <c r="U243" s="16"/>
      <c r="V243" s="16"/>
      <c r="W243" s="16"/>
      <c r="X243" s="16"/>
      <c r="Y243" s="16"/>
      <c r="Z243" s="16"/>
      <c r="AA243" s="16"/>
      <c r="AB243" s="16"/>
      <c r="AC243" s="16"/>
      <c r="AD243" s="55"/>
      <c r="AE243" s="56"/>
      <c r="AF243" s="57"/>
      <c r="AG243" s="57"/>
      <c r="AH243" s="57"/>
      <c r="AI243" s="57"/>
      <c r="AJ243" s="58"/>
      <c r="AK243" s="58"/>
      <c r="AL243" s="58"/>
      <c r="AM243" s="59"/>
      <c r="AN243" s="60"/>
      <c r="AO243" s="16"/>
      <c r="AP243" s="16"/>
      <c r="AQ243" s="61"/>
    </row>
    <row r="244" ht="12.75" customHeight="1">
      <c r="A244" s="44"/>
      <c r="B244" s="93" t="str">
        <f t="array" ref="B244">C239</f>
        <v>kΩ</v>
      </c>
      <c r="C244" s="87" t="str">
        <f t="array" ref="C244">$B244</f>
        <v>kΩ</v>
      </c>
      <c r="D244" s="87" t="str">
        <f t="array" ref="D244">$B244</f>
        <v>kΩ</v>
      </c>
      <c r="E244" s="87" t="str">
        <f t="array" ref="E244">$B244</f>
        <v>kΩ</v>
      </c>
      <c r="F244" s="87" t="str">
        <f t="array" ref="F244">$B244</f>
        <v>kΩ</v>
      </c>
      <c r="G244" s="87" t="str">
        <f t="array" ref="G244">$B244</f>
        <v>kΩ</v>
      </c>
      <c r="H244" s="87" t="str">
        <f t="array" ref="H244">$B244</f>
        <v>kΩ</v>
      </c>
      <c r="I244" s="87" t="str">
        <f t="array" ref="I244">$B244</f>
        <v>kΩ</v>
      </c>
      <c r="J244" s="87" t="str">
        <f t="array" ref="J244">$B244</f>
        <v>kΩ</v>
      </c>
      <c r="K244" s="87" t="str">
        <f t="array" ref="K244">$B244</f>
        <v>kΩ</v>
      </c>
      <c r="L244" s="87" t="str">
        <f t="array" ref="L244">$B244</f>
        <v>kΩ</v>
      </c>
      <c r="M244" s="94" t="s">
        <v>36</v>
      </c>
      <c r="N244" s="87" t="s">
        <v>37</v>
      </c>
      <c r="O244" s="95" t="str">
        <f t="array" ref="O244">$B244</f>
        <v>kΩ</v>
      </c>
      <c r="P244" s="48"/>
      <c r="Q244" s="96" t="s">
        <v>38</v>
      </c>
      <c r="R244" s="96" t="s">
        <v>39</v>
      </c>
      <c r="S244" s="96" t="s">
        <v>40</v>
      </c>
      <c r="T244" s="97" t="s">
        <v>41</v>
      </c>
      <c r="U244" s="16"/>
      <c r="V244" s="16"/>
      <c r="W244" s="16"/>
      <c r="X244" s="16"/>
      <c r="Y244" s="16"/>
      <c r="Z244" s="16"/>
      <c r="AA244" s="16"/>
      <c r="AB244" s="16"/>
      <c r="AC244" s="16"/>
      <c r="AD244" s="55"/>
      <c r="AE244" s="56"/>
      <c r="AF244" s="57"/>
      <c r="AG244" s="57"/>
      <c r="AH244" s="57"/>
      <c r="AI244" s="57"/>
      <c r="AJ244" s="58"/>
      <c r="AK244" s="58"/>
      <c r="AL244" s="58"/>
      <c r="AM244" s="59"/>
      <c r="AN244" s="60"/>
      <c r="AO244" s="16"/>
      <c r="AP244" s="16"/>
      <c r="AQ244" s="61"/>
    </row>
    <row r="245" ht="12.75" customHeight="1">
      <c r="A245" s="98"/>
      <c r="B245" s="99">
        <f t="array" ref="B245">E237*0.1</f>
        <v>60</v>
      </c>
      <c r="C245" s="130"/>
      <c r="D245" s="131">
        <v>60.4</v>
      </c>
      <c r="E245" s="131">
        <v>60.4</v>
      </c>
      <c r="F245" s="131">
        <v>60.4</v>
      </c>
      <c r="G245" s="132">
        <v>60.4</v>
      </c>
      <c r="H245" s="103">
        <f t="array" ref="H245">STDEV(C245:G245)*1.4</f>
        <v>0</v>
      </c>
      <c r="I245" s="103">
        <f t="array" ref="I245">(B245*0.009%)</f>
        <v>0.0054</v>
      </c>
      <c r="J245" s="103">
        <f t="array" ref="J245">I245/SQRT(3)</f>
        <v>0.003117691454</v>
      </c>
      <c r="K245" s="103">
        <f t="array" ref="K245">(C$208)/SQRT(12)</f>
        <v>0.0002886751346</v>
      </c>
      <c r="L245" s="105">
        <f t="array" ref="L245">SQRT(H245^2+J245^2+(K245)^2)</f>
        <v>0.00313102752</v>
      </c>
      <c r="M245" s="91" t="str">
        <f t="array" ref="M245">IF(ISERROR((L245^4)/(H245^4/4))=TRUE,"∞",((L245^4)/(H245^4/4)))</f>
        <v>∞</v>
      </c>
      <c r="N245" s="91">
        <f t="array" ref="N245">IF(ISERROR(TINV(0.05,M245))=TRUE,2,TINV(0.05,M245))</f>
        <v>2</v>
      </c>
      <c r="O245" s="106">
        <f t="array" ref="O245">L245*N245</f>
        <v>0.006262055041</v>
      </c>
      <c r="P245" s="48"/>
      <c r="Q245" s="107">
        <f t="array" ref="Q245">AVERAGE(C245:G245)-B245</f>
        <v>0.4</v>
      </c>
      <c r="R245" s="107">
        <f t="array" ref="R245">Q245+O245</f>
        <v>0.406262055</v>
      </c>
      <c r="S245" s="107">
        <f t="array" ref="S245">Q245-O245</f>
        <v>0.393737945</v>
      </c>
      <c r="T245" s="107">
        <f t="array" ref="T245">ABS(Q245)</f>
        <v>0.4</v>
      </c>
      <c r="U245" s="16"/>
      <c r="V245" s="16"/>
      <c r="W245" s="16"/>
      <c r="X245" s="16"/>
      <c r="Y245" s="16"/>
      <c r="Z245" s="16"/>
      <c r="AA245" s="16"/>
      <c r="AB245" s="16"/>
      <c r="AC245" s="16"/>
      <c r="AD245" s="55"/>
      <c r="AE245" s="56"/>
      <c r="AF245" s="57"/>
      <c r="AG245" s="57"/>
      <c r="AH245" s="57"/>
      <c r="AI245" s="57"/>
      <c r="AJ245" s="58"/>
      <c r="AK245" s="58"/>
      <c r="AL245" s="58"/>
      <c r="AM245" s="59"/>
      <c r="AN245" s="60"/>
      <c r="AO245" s="16"/>
      <c r="AP245" s="16"/>
      <c r="AQ245" s="61"/>
    </row>
    <row r="246" ht="12.75" customHeight="1">
      <c r="A246" s="98"/>
      <c r="B246" s="108">
        <f t="array" ref="B246">E237*0.25</f>
        <v>150</v>
      </c>
      <c r="C246" s="133"/>
      <c r="D246" s="134">
        <v>150.2</v>
      </c>
      <c r="E246" s="134">
        <v>150.2</v>
      </c>
      <c r="F246" s="134">
        <v>150.2</v>
      </c>
      <c r="G246" s="135">
        <v>150.2</v>
      </c>
      <c r="H246" s="112">
        <f t="array" ref="H246">STDEV(C246:G246)*1.4</f>
        <v>0</v>
      </c>
      <c r="I246" s="112">
        <f t="array" ref="I246">(B246*0.009%)</f>
        <v>0.0135</v>
      </c>
      <c r="J246" s="112">
        <f t="array" ref="J246">I246/SQRT(3)</f>
        <v>0.007794228634</v>
      </c>
      <c r="K246" s="112">
        <f t="array" ref="K246">(C$208)/SQRT(12)</f>
        <v>0.0002886751346</v>
      </c>
      <c r="L246" s="113">
        <f t="array" ref="L246">SQRT(H246^2+J246^2+(K246)^2)</f>
        <v>0.007799572638</v>
      </c>
      <c r="M246" s="114" t="str">
        <f t="array" ref="M246">IF(ISERROR((L246^4)/(H246^4/4))=TRUE,"∞",((L246^4)/(H246^4/4)))</f>
        <v>∞</v>
      </c>
      <c r="N246" s="114">
        <f t="array" ref="N246">IF(ISERROR(TINV(0.05,M246))=TRUE,2,TINV(0.05,M246))</f>
        <v>2</v>
      </c>
      <c r="O246" s="115">
        <f t="array" ref="O246">L246*N246</f>
        <v>0.01559914528</v>
      </c>
      <c r="P246" s="48"/>
      <c r="Q246" s="107">
        <f t="array" ref="Q246">AVERAGE(C246:G246)-B246</f>
        <v>0.2</v>
      </c>
      <c r="R246" s="107">
        <f t="array" ref="R246">Q246+O246</f>
        <v>0.2155991453</v>
      </c>
      <c r="S246" s="107">
        <f t="array" ref="S246">Q246-O246</f>
        <v>0.1844008547</v>
      </c>
      <c r="T246" s="107">
        <f t="array" ref="T246">ABS(Q246)</f>
        <v>0.2</v>
      </c>
      <c r="U246" s="16"/>
      <c r="V246" s="16"/>
      <c r="W246" s="16"/>
      <c r="X246" s="16"/>
      <c r="Y246" s="16"/>
      <c r="Z246" s="16"/>
      <c r="AA246" s="16"/>
      <c r="AB246" s="16"/>
      <c r="AC246" s="16"/>
      <c r="AD246" s="55"/>
      <c r="AE246" s="56"/>
      <c r="AF246" s="57"/>
      <c r="AG246" s="57"/>
      <c r="AH246" s="57"/>
      <c r="AI246" s="57"/>
      <c r="AJ246" s="58"/>
      <c r="AK246" s="58"/>
      <c r="AL246" s="58"/>
      <c r="AM246" s="59"/>
      <c r="AN246" s="60"/>
      <c r="AO246" s="16"/>
      <c r="AP246" s="16"/>
      <c r="AQ246" s="61"/>
    </row>
    <row r="247" ht="12.75" customHeight="1">
      <c r="A247" s="98"/>
      <c r="B247" s="108">
        <f t="array" ref="B247">E237*0.5</f>
        <v>300</v>
      </c>
      <c r="C247" s="133"/>
      <c r="D247" s="134">
        <v>300.3</v>
      </c>
      <c r="E247" s="134">
        <v>300.3</v>
      </c>
      <c r="F247" s="134">
        <v>300.3</v>
      </c>
      <c r="G247" s="135">
        <v>300.3</v>
      </c>
      <c r="H247" s="112">
        <f t="array" ref="H247">STDEV(C247:G247)*1.4</f>
        <v>0</v>
      </c>
      <c r="I247" s="112">
        <f t="array" ref="I247">(B247*0.009%)</f>
        <v>0.027</v>
      </c>
      <c r="J247" s="112">
        <f t="array" ref="J247">I247/SQRT(3)</f>
        <v>0.01558845727</v>
      </c>
      <c r="K247" s="112">
        <f t="array" ref="K247">(C$208)/SQRT(12)</f>
        <v>0.0002886751346</v>
      </c>
      <c r="L247" s="113">
        <f t="array" ref="L247">SQRT(H247^2+J247^2+(K247)^2)</f>
        <v>0.01559112996</v>
      </c>
      <c r="M247" s="114" t="str">
        <f t="array" ref="M247">IF(ISERROR((L247^4)/(H247^4/4))=TRUE,"∞",((L247^4)/(H247^4/4)))</f>
        <v>∞</v>
      </c>
      <c r="N247" s="114">
        <f t="array" ref="N247">IF(ISERROR(TINV(0.05,M247))=TRUE,2,TINV(0.05,M247))</f>
        <v>2</v>
      </c>
      <c r="O247" s="115">
        <f t="array" ref="O247">L247*N247</f>
        <v>0.03118225991</v>
      </c>
      <c r="P247" s="48"/>
      <c r="Q247" s="107">
        <f t="array" ref="Q247">AVERAGE(C247:G247)-B247</f>
        <v>0.3</v>
      </c>
      <c r="R247" s="107">
        <f t="array" ref="R247">Q247+O247</f>
        <v>0.3311822599</v>
      </c>
      <c r="S247" s="107">
        <f t="array" ref="S247">Q247-O247</f>
        <v>0.2688177401</v>
      </c>
      <c r="T247" s="107">
        <f t="array" ref="T247">ABS(Q247)</f>
        <v>0.3</v>
      </c>
      <c r="U247" s="16"/>
      <c r="V247" s="16"/>
      <c r="W247" s="16"/>
      <c r="X247" s="16"/>
      <c r="Y247" s="16"/>
      <c r="Z247" s="16"/>
      <c r="AA247" s="16"/>
      <c r="AB247" s="16"/>
      <c r="AC247" s="16"/>
      <c r="AD247" s="55"/>
      <c r="AE247" s="56"/>
      <c r="AF247" s="57"/>
      <c r="AG247" s="57"/>
      <c r="AH247" s="57"/>
      <c r="AI247" s="57"/>
      <c r="AJ247" s="58"/>
      <c r="AK247" s="58"/>
      <c r="AL247" s="58"/>
      <c r="AM247" s="59"/>
      <c r="AN247" s="60"/>
      <c r="AO247" s="16"/>
      <c r="AP247" s="16"/>
      <c r="AQ247" s="61"/>
    </row>
    <row r="248" ht="12.75" customHeight="1">
      <c r="A248" s="98"/>
      <c r="B248" s="108">
        <f t="array" ref="B248">E237*0.75</f>
        <v>450</v>
      </c>
      <c r="C248" s="133"/>
      <c r="D248" s="134">
        <v>450.3</v>
      </c>
      <c r="E248" s="134">
        <v>450.3</v>
      </c>
      <c r="F248" s="134">
        <v>450.3</v>
      </c>
      <c r="G248" s="135">
        <v>450.3</v>
      </c>
      <c r="H248" s="112">
        <f t="array" ref="H248">STDEV(C248:G248)*1.4</f>
        <v>0</v>
      </c>
      <c r="I248" s="112">
        <f t="array" ref="I248">(B248*0.009%)</f>
        <v>0.0405</v>
      </c>
      <c r="J248" s="112">
        <f t="array" ref="J248">I248/SQRT(3)</f>
        <v>0.0233826859</v>
      </c>
      <c r="K248" s="112">
        <f t="array" ref="K248">(C$208)/SQRT(12)</f>
        <v>0.0002886751346</v>
      </c>
      <c r="L248" s="113">
        <f t="array" ref="L248">SQRT(H248^2+J248^2+(K248)^2)</f>
        <v>0.02338446778</v>
      </c>
      <c r="M248" s="114" t="str">
        <f t="array" ref="M248">IF(ISERROR((L248^4)/(H248^4/4))=TRUE,"∞",((L248^4)/(H248^4/4)))</f>
        <v>∞</v>
      </c>
      <c r="N248" s="114">
        <f t="array" ref="N248">IF(ISERROR(TINV(0.05,M248))=TRUE,2,TINV(0.05,M248))</f>
        <v>2</v>
      </c>
      <c r="O248" s="115">
        <f t="array" ref="O248">L248*N248</f>
        <v>0.04676893556</v>
      </c>
      <c r="P248" s="48"/>
      <c r="Q248" s="107">
        <f t="array" ref="Q248">AVERAGE(C248:G248)-B248</f>
        <v>0.3</v>
      </c>
      <c r="R248" s="107">
        <f t="array" ref="R248">Q248+O248</f>
        <v>0.3467689356</v>
      </c>
      <c r="S248" s="107">
        <f t="array" ref="S248">Q248-O248</f>
        <v>0.2532310644</v>
      </c>
      <c r="T248" s="107">
        <f t="array" ref="T248">ABS(Q248)</f>
        <v>0.3</v>
      </c>
      <c r="U248" s="16"/>
      <c r="V248" s="16"/>
      <c r="W248" s="16"/>
      <c r="X248" s="16"/>
      <c r="Y248" s="16"/>
      <c r="Z248" s="16"/>
      <c r="AA248" s="16"/>
      <c r="AB248" s="16"/>
      <c r="AC248" s="16"/>
      <c r="AD248" s="55"/>
      <c r="AE248" s="56"/>
      <c r="AF248" s="57"/>
      <c r="AG248" s="57"/>
      <c r="AH248" s="57"/>
      <c r="AI248" s="57"/>
      <c r="AJ248" s="58"/>
      <c r="AK248" s="58"/>
      <c r="AL248" s="58"/>
      <c r="AM248" s="59"/>
      <c r="AN248" s="60"/>
      <c r="AO248" s="16"/>
      <c r="AP248" s="16"/>
      <c r="AQ248" s="61"/>
    </row>
    <row r="249" ht="12.75" customHeight="1">
      <c r="A249" s="98"/>
      <c r="B249" s="116">
        <f t="array" ref="B249">E237*0.9</f>
        <v>540</v>
      </c>
      <c r="C249" s="136"/>
      <c r="D249" s="137">
        <v>540.3</v>
      </c>
      <c r="E249" s="137">
        <v>540.3</v>
      </c>
      <c r="F249" s="137">
        <v>540.3</v>
      </c>
      <c r="G249" s="138">
        <v>540.3</v>
      </c>
      <c r="H249" s="120">
        <f t="array" ref="H249">STDEV(C249:G249)*1.4</f>
        <v>0</v>
      </c>
      <c r="I249" s="120">
        <f t="array" ref="I249">(B249*0.009%)</f>
        <v>0.0486</v>
      </c>
      <c r="J249" s="120">
        <f t="array" ref="J249">I249/SQRT(3)</f>
        <v>0.02805922308</v>
      </c>
      <c r="K249" s="120">
        <f t="array" ref="K249">(C$208)/SQRT(12)</f>
        <v>0.0002886751346</v>
      </c>
      <c r="L249" s="121">
        <f t="array" ref="L249">SQRT(H249^2+J249^2+(K249)^2)</f>
        <v>0.028060708</v>
      </c>
      <c r="M249" s="122" t="str">
        <f t="array" ref="M249">IF(ISERROR((L249^4)/(H249^4/4))=TRUE,"∞",((L249^4)/(H249^4/4)))</f>
        <v>∞</v>
      </c>
      <c r="N249" s="122">
        <f t="array" ref="N249">IF(ISERROR(TINV(0.05,M249))=TRUE,2,TINV(0.05,M249))</f>
        <v>2</v>
      </c>
      <c r="O249" s="123">
        <f t="array" ref="O249">L249*N249</f>
        <v>0.056121416</v>
      </c>
      <c r="P249" s="48"/>
      <c r="Q249" s="107">
        <f t="array" ref="Q249">AVERAGE(C249:G249)-B249</f>
        <v>0.3</v>
      </c>
      <c r="R249" s="107">
        <f t="array" ref="R249">Q249+O249</f>
        <v>0.356121416</v>
      </c>
      <c r="S249" s="107">
        <f t="array" ref="S249">Q249-O249</f>
        <v>0.243878584</v>
      </c>
      <c r="T249" s="107">
        <f t="array" ref="T249">ABS(Q249)</f>
        <v>0.3</v>
      </c>
      <c r="U249" s="16"/>
      <c r="V249" s="16"/>
      <c r="W249" s="16"/>
      <c r="X249" s="16"/>
      <c r="Y249" s="16"/>
      <c r="Z249" s="16"/>
      <c r="AA249" s="16"/>
      <c r="AB249" s="16"/>
      <c r="AC249" s="16"/>
      <c r="AD249" s="55"/>
      <c r="AE249" s="56"/>
      <c r="AF249" s="57"/>
      <c r="AG249" s="57"/>
      <c r="AH249" s="57"/>
      <c r="AI249" s="57"/>
      <c r="AJ249" s="58"/>
      <c r="AK249" s="58"/>
      <c r="AL249" s="58"/>
      <c r="AM249" s="59"/>
      <c r="AN249" s="60"/>
      <c r="AO249" s="16"/>
      <c r="AP249" s="16"/>
      <c r="AQ249" s="61"/>
    </row>
    <row r="250" ht="13.5" customHeight="1">
      <c r="A250" s="15"/>
      <c r="B250" s="124"/>
      <c r="C250" s="124"/>
      <c r="D250" s="124"/>
      <c r="E250" s="124"/>
      <c r="F250" s="124"/>
      <c r="G250" s="124"/>
      <c r="H250" s="125"/>
      <c r="I250" s="125"/>
      <c r="J250" s="125"/>
      <c r="K250" s="125"/>
      <c r="L250" s="127"/>
      <c r="M250" s="128"/>
      <c r="N250" s="128"/>
      <c r="O250" s="129"/>
      <c r="P250" s="48"/>
      <c r="Q250" s="107"/>
      <c r="R250" s="107"/>
      <c r="S250" s="107"/>
      <c r="T250" s="107"/>
      <c r="U250" s="16"/>
      <c r="V250" s="16"/>
      <c r="W250" s="16"/>
      <c r="X250" s="16"/>
      <c r="Y250" s="16"/>
      <c r="Z250" s="16"/>
      <c r="AA250" s="16"/>
      <c r="AB250" s="16"/>
      <c r="AC250" s="16"/>
      <c r="AD250" s="55"/>
      <c r="AE250" s="56"/>
      <c r="AF250" s="57"/>
      <c r="AG250" s="57"/>
      <c r="AH250" s="57"/>
      <c r="AI250" s="57"/>
      <c r="AJ250" s="58"/>
      <c r="AK250" s="58"/>
      <c r="AL250" s="58"/>
      <c r="AM250" s="59"/>
      <c r="AN250" s="60"/>
      <c r="AO250" s="16"/>
      <c r="AP250" s="16"/>
      <c r="AQ250" s="61"/>
    </row>
    <row r="251" ht="27.0" customHeight="1">
      <c r="A251" s="44"/>
      <c r="B251" s="45" t="s">
        <v>50</v>
      </c>
      <c r="C251" s="46"/>
      <c r="D251" s="46"/>
      <c r="E251" s="46"/>
      <c r="F251" s="46"/>
      <c r="G251" s="46"/>
      <c r="H251" s="46"/>
      <c r="I251" s="46"/>
      <c r="J251" s="46"/>
      <c r="K251" s="46"/>
      <c r="L251" s="46"/>
      <c r="M251" s="46"/>
      <c r="N251" s="46"/>
      <c r="O251" s="47"/>
      <c r="P251" s="48"/>
      <c r="Q251" s="16"/>
      <c r="R251" s="16"/>
      <c r="S251" s="16"/>
      <c r="T251" s="16"/>
      <c r="U251" s="16"/>
      <c r="V251" s="16"/>
      <c r="W251" s="16"/>
      <c r="X251" s="16"/>
      <c r="Y251" s="16"/>
      <c r="Z251" s="16"/>
      <c r="AA251" s="16"/>
      <c r="AB251" s="16"/>
      <c r="AC251" s="16"/>
      <c r="AD251" s="55"/>
      <c r="AE251" s="56"/>
      <c r="AF251" s="57"/>
      <c r="AG251" s="57"/>
      <c r="AH251" s="57"/>
      <c r="AI251" s="57"/>
      <c r="AJ251" s="58"/>
      <c r="AK251" s="58"/>
      <c r="AL251" s="58"/>
      <c r="AM251" s="59"/>
      <c r="AN251" s="60"/>
      <c r="AO251" s="16"/>
      <c r="AP251" s="16"/>
      <c r="AQ251" s="61"/>
    </row>
    <row r="252" ht="13.5" customHeight="1">
      <c r="A252" s="44"/>
      <c r="B252" s="49" t="s">
        <v>8</v>
      </c>
      <c r="C252" s="50">
        <v>0.0</v>
      </c>
      <c r="D252" s="51" t="s">
        <v>9</v>
      </c>
      <c r="E252" s="50">
        <v>6.0</v>
      </c>
      <c r="F252" s="52"/>
      <c r="G252" s="53"/>
      <c r="H252" s="53"/>
      <c r="I252" s="53"/>
      <c r="J252" s="53"/>
      <c r="K252" s="53"/>
      <c r="L252" s="53"/>
      <c r="M252" s="53"/>
      <c r="N252" s="53"/>
      <c r="O252" s="54"/>
      <c r="P252" s="48"/>
      <c r="Q252" s="16"/>
      <c r="R252" s="16"/>
      <c r="S252" s="16"/>
      <c r="T252" s="16"/>
      <c r="U252" s="16"/>
      <c r="V252" s="16"/>
      <c r="W252" s="16"/>
      <c r="X252" s="16"/>
      <c r="Y252" s="16"/>
      <c r="Z252" s="16"/>
      <c r="AA252" s="16"/>
      <c r="AB252" s="16"/>
      <c r="AC252" s="16"/>
      <c r="AD252" s="55"/>
      <c r="AE252" s="56"/>
      <c r="AF252" s="57"/>
      <c r="AG252" s="57"/>
      <c r="AH252" s="57"/>
      <c r="AI252" s="57"/>
      <c r="AJ252" s="58"/>
      <c r="AK252" s="58"/>
      <c r="AL252" s="58"/>
      <c r="AM252" s="59"/>
      <c r="AN252" s="60"/>
      <c r="AO252" s="16"/>
      <c r="AP252" s="16"/>
      <c r="AQ252" s="61"/>
    </row>
    <row r="253" ht="13.5" customHeight="1">
      <c r="A253" s="44"/>
      <c r="B253" s="62" t="s">
        <v>10</v>
      </c>
      <c r="C253" s="63">
        <v>0.001</v>
      </c>
      <c r="D253" s="64"/>
      <c r="E253" s="65"/>
      <c r="F253" s="66"/>
      <c r="G253" s="67"/>
      <c r="H253" s="68" t="s">
        <v>11</v>
      </c>
      <c r="I253" s="69"/>
      <c r="J253" s="70"/>
      <c r="K253" s="66"/>
      <c r="L253" s="66"/>
      <c r="M253" s="66"/>
      <c r="N253" s="66"/>
      <c r="O253" s="71"/>
      <c r="P253" s="48"/>
      <c r="Q253" s="16"/>
      <c r="R253" s="16"/>
      <c r="S253" s="16"/>
      <c r="T253" s="16"/>
      <c r="U253" s="16"/>
      <c r="V253" s="16"/>
      <c r="W253" s="16"/>
      <c r="X253" s="16"/>
      <c r="Y253" s="16"/>
      <c r="Z253" s="16"/>
      <c r="AA253" s="16"/>
      <c r="AB253" s="16"/>
      <c r="AC253" s="16"/>
      <c r="AD253" s="55"/>
      <c r="AE253" s="56"/>
      <c r="AF253" s="57"/>
      <c r="AG253" s="57"/>
      <c r="AH253" s="57"/>
      <c r="AI253" s="57"/>
      <c r="AJ253" s="58"/>
      <c r="AK253" s="58"/>
      <c r="AL253" s="58"/>
      <c r="AM253" s="59"/>
      <c r="AN253" s="60"/>
      <c r="AO253" s="16"/>
      <c r="AP253" s="16"/>
      <c r="AQ253" s="61"/>
    </row>
    <row r="254" ht="13.5" customHeight="1">
      <c r="A254" s="44"/>
      <c r="B254" s="72" t="s">
        <v>12</v>
      </c>
      <c r="C254" s="73" t="s">
        <v>53</v>
      </c>
      <c r="D254" s="74" t="s">
        <v>14</v>
      </c>
      <c r="E254" s="75">
        <f t="array" ref="E254">MAX(Q260:Q264)</f>
        <v>0.003</v>
      </c>
      <c r="F254" s="76" t="str">
        <f t="array" ref="F254">C254</f>
        <v>MΩ</v>
      </c>
      <c r="G254" s="67"/>
      <c r="H254" s="68" t="s">
        <v>15</v>
      </c>
      <c r="I254" s="77" t="s">
        <v>16</v>
      </c>
      <c r="J254" s="78"/>
      <c r="K254" s="79"/>
      <c r="L254" s="66"/>
      <c r="M254" s="66"/>
      <c r="N254" s="66"/>
      <c r="O254" s="71"/>
      <c r="P254" s="48"/>
      <c r="Q254" s="16"/>
      <c r="R254" s="16"/>
      <c r="S254" s="16"/>
      <c r="T254" s="16"/>
      <c r="U254" s="16"/>
      <c r="V254" s="16"/>
      <c r="W254" s="16"/>
      <c r="X254" s="16"/>
      <c r="Y254" s="16"/>
      <c r="Z254" s="16"/>
      <c r="AA254" s="16"/>
      <c r="AB254" s="16"/>
      <c r="AC254" s="16"/>
      <c r="AD254" s="55"/>
      <c r="AE254" s="56"/>
      <c r="AF254" s="57"/>
      <c r="AG254" s="57"/>
      <c r="AH254" s="57"/>
      <c r="AI254" s="57"/>
      <c r="AJ254" s="58"/>
      <c r="AK254" s="58"/>
      <c r="AL254" s="58"/>
      <c r="AM254" s="59"/>
      <c r="AN254" s="60"/>
      <c r="AO254" s="16"/>
      <c r="AP254" s="16"/>
      <c r="AQ254" s="61"/>
    </row>
    <row r="255" ht="12.75" customHeight="1">
      <c r="A255" s="44"/>
      <c r="B255" s="80"/>
      <c r="C255" s="65"/>
      <c r="D255" s="76" t="s">
        <v>17</v>
      </c>
      <c r="E255" s="81">
        <f t="array" ref="E255">MAX(O260:O264)</f>
        <v>0.006262055041</v>
      </c>
      <c r="F255" s="76" t="str">
        <f t="array" ref="F255">C254</f>
        <v>MΩ</v>
      </c>
      <c r="G255" s="67"/>
      <c r="H255" s="82"/>
      <c r="I255" s="68" t="s">
        <v>18</v>
      </c>
      <c r="J255" s="82"/>
      <c r="K255" s="79"/>
      <c r="L255" s="66"/>
      <c r="M255" s="66"/>
      <c r="N255" s="66"/>
      <c r="O255" s="71"/>
      <c r="P255" s="48"/>
      <c r="Q255" s="16"/>
      <c r="R255" s="16"/>
      <c r="S255" s="16"/>
      <c r="T255" s="16"/>
      <c r="U255" s="16"/>
      <c r="V255" s="16"/>
      <c r="W255" s="16"/>
      <c r="X255" s="16"/>
      <c r="Y255" s="16"/>
      <c r="Z255" s="16"/>
      <c r="AA255" s="16"/>
      <c r="AB255" s="16"/>
      <c r="AC255" s="16"/>
      <c r="AD255" s="55"/>
      <c r="AE255" s="56"/>
      <c r="AF255" s="57"/>
      <c r="AG255" s="57"/>
      <c r="AH255" s="57"/>
      <c r="AI255" s="57"/>
      <c r="AJ255" s="58"/>
      <c r="AK255" s="58"/>
      <c r="AL255" s="58"/>
      <c r="AM255" s="59"/>
      <c r="AN255" s="60"/>
      <c r="AO255" s="16"/>
      <c r="AP255" s="16"/>
      <c r="AQ255" s="61"/>
    </row>
    <row r="256" ht="12.75" customHeight="1">
      <c r="A256" s="44"/>
      <c r="B256" s="83"/>
      <c r="C256" s="66"/>
      <c r="D256" s="66"/>
      <c r="E256" s="66"/>
      <c r="F256" s="66"/>
      <c r="G256" s="67"/>
      <c r="H256" s="82"/>
      <c r="I256" s="68" t="s">
        <v>19</v>
      </c>
      <c r="J256" s="82"/>
      <c r="K256" s="79"/>
      <c r="L256" s="66"/>
      <c r="M256" s="66"/>
      <c r="N256" s="66"/>
      <c r="O256" s="84"/>
      <c r="P256" s="48"/>
      <c r="Q256" s="16"/>
      <c r="R256" s="16"/>
      <c r="S256" s="16"/>
      <c r="T256" s="16"/>
      <c r="U256" s="16"/>
      <c r="V256" s="16"/>
      <c r="W256" s="16"/>
      <c r="X256" s="16"/>
      <c r="Y256" s="16"/>
      <c r="Z256" s="16"/>
      <c r="AA256" s="16"/>
      <c r="AB256" s="16"/>
      <c r="AC256" s="16"/>
      <c r="AD256" s="55"/>
      <c r="AE256" s="56"/>
      <c r="AF256" s="57"/>
      <c r="AG256" s="57"/>
      <c r="AH256" s="57"/>
      <c r="AI256" s="57"/>
      <c r="AJ256" s="58"/>
      <c r="AK256" s="58"/>
      <c r="AL256" s="58"/>
      <c r="AM256" s="59"/>
      <c r="AN256" s="60"/>
      <c r="AO256" s="16"/>
      <c r="AP256" s="16"/>
      <c r="AQ256" s="61"/>
    </row>
    <row r="257" ht="12.75" customHeight="1">
      <c r="A257" s="44"/>
      <c r="B257" s="85" t="s">
        <v>20</v>
      </c>
      <c r="C257" s="69"/>
      <c r="D257" s="70"/>
      <c r="E257" s="70"/>
      <c r="F257" s="70"/>
      <c r="G257" s="86"/>
      <c r="H257" s="87" t="s">
        <v>21</v>
      </c>
      <c r="I257" s="88">
        <v>5502.0</v>
      </c>
      <c r="J257" s="88"/>
      <c r="K257" s="69"/>
      <c r="L257" s="70"/>
      <c r="M257" s="70"/>
      <c r="N257" s="86"/>
      <c r="O257" s="89" t="s">
        <v>22</v>
      </c>
      <c r="P257" s="48"/>
      <c r="Q257" s="16"/>
      <c r="R257" s="16"/>
      <c r="S257" s="16"/>
      <c r="T257" s="16"/>
      <c r="U257" s="16"/>
      <c r="V257" s="16"/>
      <c r="W257" s="16"/>
      <c r="X257" s="16"/>
      <c r="Y257" s="16"/>
      <c r="Z257" s="16"/>
      <c r="AA257" s="16"/>
      <c r="AB257" s="16"/>
      <c r="AC257" s="16"/>
      <c r="AD257" s="55"/>
      <c r="AE257" s="56"/>
      <c r="AF257" s="57"/>
      <c r="AG257" s="57"/>
      <c r="AH257" s="57"/>
      <c r="AI257" s="57"/>
      <c r="AJ257" s="58"/>
      <c r="AK257" s="58"/>
      <c r="AL257" s="58"/>
      <c r="AM257" s="59"/>
      <c r="AN257" s="60"/>
      <c r="AO257" s="16"/>
      <c r="AP257" s="16"/>
      <c r="AQ257" s="61"/>
    </row>
    <row r="258" ht="12.75" customHeight="1">
      <c r="A258" s="44"/>
      <c r="B258" s="90" t="s">
        <v>23</v>
      </c>
      <c r="C258" s="77" t="s">
        <v>24</v>
      </c>
      <c r="D258" s="77" t="s">
        <v>25</v>
      </c>
      <c r="E258" s="77" t="s">
        <v>26</v>
      </c>
      <c r="F258" s="77" t="s">
        <v>27</v>
      </c>
      <c r="G258" s="77" t="s">
        <v>28</v>
      </c>
      <c r="H258" s="77" t="s">
        <v>29</v>
      </c>
      <c r="I258" s="77" t="s">
        <v>30</v>
      </c>
      <c r="J258" s="77" t="s">
        <v>31</v>
      </c>
      <c r="K258" s="77" t="s">
        <v>32</v>
      </c>
      <c r="L258" s="77" t="s">
        <v>33</v>
      </c>
      <c r="M258" s="77" t="s">
        <v>34</v>
      </c>
      <c r="N258" s="91"/>
      <c r="O258" s="92" t="s">
        <v>35</v>
      </c>
      <c r="P258" s="48"/>
      <c r="Q258" s="16"/>
      <c r="R258" s="16"/>
      <c r="S258" s="16"/>
      <c r="T258" s="16"/>
      <c r="U258" s="16"/>
      <c r="V258" s="16"/>
      <c r="W258" s="16"/>
      <c r="X258" s="16"/>
      <c r="Y258" s="16"/>
      <c r="Z258" s="16"/>
      <c r="AA258" s="16"/>
      <c r="AB258" s="16"/>
      <c r="AC258" s="16"/>
      <c r="AD258" s="55"/>
      <c r="AE258" s="56"/>
      <c r="AF258" s="57"/>
      <c r="AG258" s="57"/>
      <c r="AH258" s="57"/>
      <c r="AI258" s="57"/>
      <c r="AJ258" s="58"/>
      <c r="AK258" s="58"/>
      <c r="AL258" s="58"/>
      <c r="AM258" s="59"/>
      <c r="AN258" s="60"/>
      <c r="AO258" s="16"/>
      <c r="AP258" s="16"/>
      <c r="AQ258" s="61"/>
    </row>
    <row r="259" ht="12.75" customHeight="1">
      <c r="A259" s="44"/>
      <c r="B259" s="93" t="str">
        <f t="array" ref="B259">C254</f>
        <v>MΩ</v>
      </c>
      <c r="C259" s="87" t="str">
        <f t="array" ref="C259">$B259</f>
        <v>MΩ</v>
      </c>
      <c r="D259" s="87" t="str">
        <f t="array" ref="D259">$B259</f>
        <v>MΩ</v>
      </c>
      <c r="E259" s="87" t="str">
        <f t="array" ref="E259">$B259</f>
        <v>MΩ</v>
      </c>
      <c r="F259" s="87" t="str">
        <f t="array" ref="F259">$B259</f>
        <v>MΩ</v>
      </c>
      <c r="G259" s="87" t="str">
        <f t="array" ref="G259">$B259</f>
        <v>MΩ</v>
      </c>
      <c r="H259" s="87" t="str">
        <f t="array" ref="H259">$B259</f>
        <v>MΩ</v>
      </c>
      <c r="I259" s="87" t="str">
        <f t="array" ref="I259">$B259</f>
        <v>MΩ</v>
      </c>
      <c r="J259" s="87" t="str">
        <f t="array" ref="J259">$B259</f>
        <v>MΩ</v>
      </c>
      <c r="K259" s="87" t="str">
        <f t="array" ref="K259">$B259</f>
        <v>MΩ</v>
      </c>
      <c r="L259" s="87" t="str">
        <f t="array" ref="L259">$B259</f>
        <v>MΩ</v>
      </c>
      <c r="M259" s="94" t="s">
        <v>36</v>
      </c>
      <c r="N259" s="87" t="s">
        <v>37</v>
      </c>
      <c r="O259" s="95" t="str">
        <f t="array" ref="O259">$B259</f>
        <v>MΩ</v>
      </c>
      <c r="P259" s="48"/>
      <c r="Q259" s="96" t="s">
        <v>38</v>
      </c>
      <c r="R259" s="96" t="s">
        <v>39</v>
      </c>
      <c r="S259" s="96" t="s">
        <v>40</v>
      </c>
      <c r="T259" s="97" t="s">
        <v>41</v>
      </c>
      <c r="U259" s="16"/>
      <c r="V259" s="16"/>
      <c r="W259" s="16"/>
      <c r="X259" s="16"/>
      <c r="Y259" s="16"/>
      <c r="Z259" s="16"/>
      <c r="AA259" s="16"/>
      <c r="AB259" s="16"/>
      <c r="AC259" s="16"/>
      <c r="AD259" s="55"/>
      <c r="AE259" s="56"/>
      <c r="AF259" s="57"/>
      <c r="AG259" s="57"/>
      <c r="AH259" s="57"/>
      <c r="AI259" s="57"/>
      <c r="AJ259" s="58"/>
      <c r="AK259" s="58"/>
      <c r="AL259" s="58"/>
      <c r="AM259" s="59"/>
      <c r="AN259" s="60"/>
      <c r="AO259" s="16"/>
      <c r="AP259" s="16"/>
      <c r="AQ259" s="61"/>
    </row>
    <row r="260" ht="12.75" customHeight="1">
      <c r="A260" s="98"/>
      <c r="B260" s="159">
        <f t="array" ref="B260">E252*0.1</f>
        <v>0.6</v>
      </c>
      <c r="C260" s="130"/>
      <c r="D260" s="131">
        <v>0.603</v>
      </c>
      <c r="E260" s="131">
        <v>0.603</v>
      </c>
      <c r="F260" s="131">
        <v>0.603</v>
      </c>
      <c r="G260" s="132">
        <v>0.603</v>
      </c>
      <c r="H260" s="103">
        <f t="array" ref="H260">STDEV(C260:G260)*1.4</f>
        <v>0</v>
      </c>
      <c r="I260" s="103">
        <f t="array" ref="I260">(B260*0.1%)</f>
        <v>0.0006</v>
      </c>
      <c r="J260" s="103">
        <f t="array" ref="J260">I260/SQRT(3)</f>
        <v>0.0003464101615</v>
      </c>
      <c r="K260" s="103">
        <f t="array" ref="K260">(C$208)/SQRT(12)</f>
        <v>0.0002886751346</v>
      </c>
      <c r="L260" s="105">
        <f t="array" ref="L260">SQRT(H260^2+J260^2+(K260)^2)</f>
        <v>0.0004509249753</v>
      </c>
      <c r="M260" s="91" t="str">
        <f t="array" ref="M260">IF(ISERROR((L260^4)/(H260^4/4))=TRUE,"∞",((L260^4)/(H260^4/4)))</f>
        <v>∞</v>
      </c>
      <c r="N260" s="91">
        <f t="array" ref="N260">IF(ISERROR(TINV(0.05,M260))=TRUE,2,TINV(0.05,M260))</f>
        <v>2</v>
      </c>
      <c r="O260" s="106">
        <f t="array" ref="O260">L260*N260</f>
        <v>0.0009018499506</v>
      </c>
      <c r="P260" s="48"/>
      <c r="Q260" s="107">
        <f t="array" ref="Q260">AVERAGE(C260:G260)-B260</f>
        <v>0.003</v>
      </c>
      <c r="R260" s="107">
        <f t="array" ref="R260">Q260+O260</f>
        <v>0.003901849951</v>
      </c>
      <c r="S260" s="107">
        <f t="array" ref="S260">Q260-O260</f>
        <v>0.002098150049</v>
      </c>
      <c r="T260" s="107">
        <f t="array" ref="T260">ABS(Q260)</f>
        <v>0.003</v>
      </c>
      <c r="U260" s="16"/>
      <c r="V260" s="16"/>
      <c r="W260" s="16"/>
      <c r="X260" s="16"/>
      <c r="Y260" s="16"/>
      <c r="Z260" s="16"/>
      <c r="AA260" s="16"/>
      <c r="AB260" s="16"/>
      <c r="AC260" s="16"/>
      <c r="AD260" s="55"/>
      <c r="AE260" s="56"/>
      <c r="AF260" s="57"/>
      <c r="AG260" s="57"/>
      <c r="AH260" s="57"/>
      <c r="AI260" s="57"/>
      <c r="AJ260" s="58"/>
      <c r="AK260" s="58"/>
      <c r="AL260" s="58"/>
      <c r="AM260" s="59"/>
      <c r="AN260" s="60"/>
      <c r="AO260" s="16"/>
      <c r="AP260" s="16"/>
      <c r="AQ260" s="61"/>
    </row>
    <row r="261" ht="12.75" customHeight="1">
      <c r="A261" s="98"/>
      <c r="B261" s="160">
        <f t="array" ref="B261">E252*0.25</f>
        <v>1.5</v>
      </c>
      <c r="C261" s="133"/>
      <c r="D261" s="134">
        <v>1.501</v>
      </c>
      <c r="E261" s="134">
        <v>1.501</v>
      </c>
      <c r="F261" s="134">
        <v>1.501</v>
      </c>
      <c r="G261" s="135">
        <v>1.501</v>
      </c>
      <c r="H261" s="112">
        <f t="array" ref="H261">STDEV(C261:G261)*1.4</f>
        <v>0</v>
      </c>
      <c r="I261" s="112">
        <f t="array" ref="I261">(B261*0.1%)</f>
        <v>0.0015</v>
      </c>
      <c r="J261" s="112">
        <f t="array" ref="J261">I261/SQRT(3)</f>
        <v>0.0008660254038</v>
      </c>
      <c r="K261" s="112">
        <f t="array" ref="K261">(C$208)/SQRT(12)</f>
        <v>0.0002886751346</v>
      </c>
      <c r="L261" s="113">
        <f t="array" ref="L261">SQRT(H261^2+J261^2+(K261)^2)</f>
        <v>0.0009128709292</v>
      </c>
      <c r="M261" s="114" t="str">
        <f t="array" ref="M261">IF(ISERROR((L261^4)/(H261^4/4))=TRUE,"∞",((L261^4)/(H261^4/4)))</f>
        <v>∞</v>
      </c>
      <c r="N261" s="114">
        <f t="array" ref="N261">IF(ISERROR(TINV(0.05,M261))=TRUE,2,TINV(0.05,M261))</f>
        <v>2</v>
      </c>
      <c r="O261" s="115">
        <f t="array" ref="O261">L261*N261</f>
        <v>0.001825741858</v>
      </c>
      <c r="P261" s="48"/>
      <c r="Q261" s="107">
        <f t="array" ref="Q261">AVERAGE(C261:G261)-B261</f>
        <v>0.001</v>
      </c>
      <c r="R261" s="107">
        <f t="array" ref="R261">Q261+O261</f>
        <v>0.002825741858</v>
      </c>
      <c r="S261" s="107">
        <f t="array" ref="S261">Q261-O261</f>
        <v>-0.0008257418584</v>
      </c>
      <c r="T261" s="107">
        <f t="array" ref="T261">ABS(Q261)</f>
        <v>0.001</v>
      </c>
      <c r="U261" s="16"/>
      <c r="V261" s="16"/>
      <c r="W261" s="16"/>
      <c r="X261" s="16"/>
      <c r="Y261" s="16"/>
      <c r="Z261" s="16"/>
      <c r="AA261" s="16"/>
      <c r="AB261" s="16"/>
      <c r="AC261" s="16"/>
      <c r="AD261" s="55"/>
      <c r="AE261" s="56"/>
      <c r="AF261" s="57"/>
      <c r="AG261" s="57"/>
      <c r="AH261" s="57"/>
      <c r="AI261" s="57"/>
      <c r="AJ261" s="58"/>
      <c r="AK261" s="58"/>
      <c r="AL261" s="58"/>
      <c r="AM261" s="59"/>
      <c r="AN261" s="60"/>
      <c r="AO261" s="16"/>
      <c r="AP261" s="16"/>
      <c r="AQ261" s="61"/>
    </row>
    <row r="262" ht="12.75" customHeight="1">
      <c r="A262" s="98"/>
      <c r="B262" s="160">
        <f t="array" ref="B262">E252*0.5</f>
        <v>3</v>
      </c>
      <c r="C262" s="133"/>
      <c r="D262" s="134">
        <v>3.002</v>
      </c>
      <c r="E262" s="134">
        <v>3.002</v>
      </c>
      <c r="F262" s="134">
        <v>3.002</v>
      </c>
      <c r="G262" s="135">
        <v>3.002</v>
      </c>
      <c r="H262" s="112">
        <f t="array" ref="H262">STDEV(C262:G262)*1.4</f>
        <v>0</v>
      </c>
      <c r="I262" s="112">
        <f t="array" ref="I262">(B262*0.1%)</f>
        <v>0.003</v>
      </c>
      <c r="J262" s="112">
        <f t="array" ref="J262">I262/SQRT(3)</f>
        <v>0.001732050808</v>
      </c>
      <c r="K262" s="112">
        <f t="array" ref="K262">(C$208)/SQRT(12)</f>
        <v>0.0002886751346</v>
      </c>
      <c r="L262" s="113">
        <f t="array" ref="L262">SQRT(H262^2+J262^2+(K262)^2)</f>
        <v>0.001755942292</v>
      </c>
      <c r="M262" s="114" t="str">
        <f t="array" ref="M262">IF(ISERROR((L262^4)/(H262^4/4))=TRUE,"∞",((L262^4)/(H262^4/4)))</f>
        <v>∞</v>
      </c>
      <c r="N262" s="114">
        <f t="array" ref="N262">IF(ISERROR(TINV(0.05,M262))=TRUE,2,TINV(0.05,M262))</f>
        <v>2</v>
      </c>
      <c r="O262" s="115">
        <f t="array" ref="O262">L262*N262</f>
        <v>0.003511884584</v>
      </c>
      <c r="P262" s="48"/>
      <c r="Q262" s="107">
        <f t="array" ref="Q262">AVERAGE(C262:G262)-B262</f>
        <v>0.002</v>
      </c>
      <c r="R262" s="107">
        <f t="array" ref="R262">Q262+O262</f>
        <v>0.005511884584</v>
      </c>
      <c r="S262" s="107">
        <f t="array" ref="S262">Q262-O262</f>
        <v>-0.001511884584</v>
      </c>
      <c r="T262" s="107">
        <f t="array" ref="T262">ABS(Q262)</f>
        <v>0.002</v>
      </c>
      <c r="U262" s="16"/>
      <c r="V262" s="16"/>
      <c r="W262" s="16"/>
      <c r="X262" s="16"/>
      <c r="Y262" s="16"/>
      <c r="Z262" s="16"/>
      <c r="AA262" s="16"/>
      <c r="AB262" s="16"/>
      <c r="AC262" s="16"/>
      <c r="AD262" s="55"/>
      <c r="AE262" s="56"/>
      <c r="AF262" s="57"/>
      <c r="AG262" s="57"/>
      <c r="AH262" s="57"/>
      <c r="AI262" s="57"/>
      <c r="AJ262" s="58"/>
      <c r="AK262" s="58"/>
      <c r="AL262" s="58"/>
      <c r="AM262" s="59"/>
      <c r="AN262" s="60"/>
      <c r="AO262" s="16"/>
      <c r="AP262" s="16"/>
      <c r="AQ262" s="61"/>
    </row>
    <row r="263" ht="12.75" customHeight="1">
      <c r="A263" s="98"/>
      <c r="B263" s="160">
        <f t="array" ref="B263">E252*0.75</f>
        <v>4.5</v>
      </c>
      <c r="C263" s="133"/>
      <c r="D263" s="134">
        <v>4.503</v>
      </c>
      <c r="E263" s="134">
        <v>4.503</v>
      </c>
      <c r="F263" s="134">
        <v>4.503</v>
      </c>
      <c r="G263" s="135">
        <v>4.503</v>
      </c>
      <c r="H263" s="112">
        <f t="array" ref="H263">STDEV(C263:G263)*1.4</f>
        <v>0</v>
      </c>
      <c r="I263" s="112">
        <f t="array" ref="I263">(B263*0.1%)</f>
        <v>0.0045</v>
      </c>
      <c r="J263" s="112">
        <f t="array" ref="J263">I263/SQRT(3)</f>
        <v>0.002598076211</v>
      </c>
      <c r="K263" s="112">
        <f t="array" ref="K263">(C$208)/SQRT(12)</f>
        <v>0.0002886751346</v>
      </c>
      <c r="L263" s="113">
        <f t="array" ref="L263">SQRT(H263^2+J263^2+(K263)^2)</f>
        <v>0.002614064524</v>
      </c>
      <c r="M263" s="114" t="str">
        <f t="array" ref="M263">IF(ISERROR((L263^4)/(H263^4/4))=TRUE,"∞",((L263^4)/(H263^4/4)))</f>
        <v>∞</v>
      </c>
      <c r="N263" s="114">
        <f t="array" ref="N263">IF(ISERROR(TINV(0.05,M263))=TRUE,2,TINV(0.05,M263))</f>
        <v>2</v>
      </c>
      <c r="O263" s="115">
        <f t="array" ref="O263">L263*N263</f>
        <v>0.005228129047</v>
      </c>
      <c r="P263" s="48"/>
      <c r="Q263" s="107">
        <f t="array" ref="Q263">AVERAGE(C263:G263)-B263</f>
        <v>0.003</v>
      </c>
      <c r="R263" s="107">
        <f t="array" ref="R263">Q263+O263</f>
        <v>0.008228129047</v>
      </c>
      <c r="S263" s="107">
        <f t="array" ref="S263">Q263-O263</f>
        <v>-0.002228129047</v>
      </c>
      <c r="T263" s="107">
        <f t="array" ref="T263">ABS(Q263)</f>
        <v>0.003</v>
      </c>
      <c r="U263" s="16"/>
      <c r="V263" s="16"/>
      <c r="W263" s="16"/>
      <c r="X263" s="16"/>
      <c r="Y263" s="16"/>
      <c r="Z263" s="16"/>
      <c r="AA263" s="16"/>
      <c r="AB263" s="16"/>
      <c r="AC263" s="16"/>
      <c r="AD263" s="55"/>
      <c r="AE263" s="56"/>
      <c r="AF263" s="57"/>
      <c r="AG263" s="57"/>
      <c r="AH263" s="57"/>
      <c r="AI263" s="57"/>
      <c r="AJ263" s="58"/>
      <c r="AK263" s="58"/>
      <c r="AL263" s="58"/>
      <c r="AM263" s="59"/>
      <c r="AN263" s="60"/>
      <c r="AO263" s="16"/>
      <c r="AP263" s="16"/>
      <c r="AQ263" s="61"/>
    </row>
    <row r="264" ht="12.75" customHeight="1">
      <c r="A264" s="98"/>
      <c r="B264" s="161">
        <f t="array" ref="B264">E252*0.9</f>
        <v>5.4</v>
      </c>
      <c r="C264" s="136"/>
      <c r="D264" s="137">
        <v>5.402</v>
      </c>
      <c r="E264" s="137">
        <v>5.402</v>
      </c>
      <c r="F264" s="137">
        <v>5.402</v>
      </c>
      <c r="G264" s="138">
        <v>5.402</v>
      </c>
      <c r="H264" s="120">
        <f t="array" ref="H264">STDEV(C264:G264)*1.4</f>
        <v>0</v>
      </c>
      <c r="I264" s="120">
        <f t="array" ref="I264">(B264*0.1%)</f>
        <v>0.0054</v>
      </c>
      <c r="J264" s="120">
        <f t="array" ref="J264">I264/SQRT(3)</f>
        <v>0.003117691454</v>
      </c>
      <c r="K264" s="120">
        <f t="array" ref="K264">(C$208)/SQRT(12)</f>
        <v>0.0002886751346</v>
      </c>
      <c r="L264" s="121">
        <f t="array" ref="L264">SQRT(H264^2+J264^2+(K264)^2)</f>
        <v>0.00313102752</v>
      </c>
      <c r="M264" s="122" t="str">
        <f t="array" ref="M264">IF(ISERROR((L264^4)/(H264^4/4))=TRUE,"∞",((L264^4)/(H264^4/4)))</f>
        <v>∞</v>
      </c>
      <c r="N264" s="122">
        <f t="array" ref="N264">IF(ISERROR(TINV(0.05,M264))=TRUE,2,TINV(0.05,M264))</f>
        <v>2</v>
      </c>
      <c r="O264" s="123">
        <f t="array" ref="O264">L264*N264</f>
        <v>0.006262055041</v>
      </c>
      <c r="P264" s="48"/>
      <c r="Q264" s="107">
        <f t="array" ref="Q264">AVERAGE(C264:G264)-B264</f>
        <v>0.002</v>
      </c>
      <c r="R264" s="107">
        <f t="array" ref="R264">Q264+O264</f>
        <v>0.008262055041</v>
      </c>
      <c r="S264" s="107">
        <f t="array" ref="S264">Q264-O264</f>
        <v>-0.004262055041</v>
      </c>
      <c r="T264" s="107">
        <f t="array" ref="T264">ABS(Q264)</f>
        <v>0.002</v>
      </c>
      <c r="U264" s="16"/>
      <c r="V264" s="16"/>
      <c r="W264" s="16"/>
      <c r="X264" s="16"/>
      <c r="Y264" s="16"/>
      <c r="Z264" s="16"/>
      <c r="AA264" s="16"/>
      <c r="AB264" s="16"/>
      <c r="AC264" s="16"/>
      <c r="AD264" s="55"/>
      <c r="AE264" s="56"/>
      <c r="AF264" s="57"/>
      <c r="AG264" s="57"/>
      <c r="AH264" s="57"/>
      <c r="AI264" s="57"/>
      <c r="AJ264" s="58"/>
      <c r="AK264" s="58"/>
      <c r="AL264" s="58"/>
      <c r="AM264" s="59"/>
      <c r="AN264" s="60"/>
      <c r="AO264" s="16"/>
      <c r="AP264" s="16"/>
      <c r="AQ264" s="61"/>
    </row>
    <row r="265" ht="13.5" customHeight="1">
      <c r="A265" s="15"/>
      <c r="B265" s="124"/>
      <c r="C265" s="124"/>
      <c r="D265" s="124"/>
      <c r="E265" s="124"/>
      <c r="F265" s="124"/>
      <c r="G265" s="124"/>
      <c r="H265" s="125"/>
      <c r="I265" s="125"/>
      <c r="J265" s="125"/>
      <c r="K265" s="125"/>
      <c r="L265" s="127"/>
      <c r="M265" s="128"/>
      <c r="N265" s="128"/>
      <c r="O265" s="129"/>
      <c r="P265" s="48"/>
      <c r="Q265" s="107"/>
      <c r="R265" s="107"/>
      <c r="S265" s="107"/>
      <c r="T265" s="107"/>
      <c r="U265" s="16"/>
      <c r="V265" s="16"/>
      <c r="W265" s="16"/>
      <c r="X265" s="16"/>
      <c r="Y265" s="16"/>
      <c r="Z265" s="16"/>
      <c r="AA265" s="16"/>
      <c r="AB265" s="16"/>
      <c r="AC265" s="16"/>
      <c r="AD265" s="55"/>
      <c r="AE265" s="56"/>
      <c r="AF265" s="57"/>
      <c r="AG265" s="57"/>
      <c r="AH265" s="57"/>
      <c r="AI265" s="57"/>
      <c r="AJ265" s="58"/>
      <c r="AK265" s="58"/>
      <c r="AL265" s="58"/>
      <c r="AM265" s="59"/>
      <c r="AN265" s="60"/>
      <c r="AO265" s="16"/>
      <c r="AP265" s="16"/>
      <c r="AQ265" s="61"/>
    </row>
    <row r="266" ht="27.0" customHeight="1">
      <c r="A266" s="44"/>
      <c r="B266" s="45" t="s">
        <v>50</v>
      </c>
      <c r="C266" s="46"/>
      <c r="D266" s="46"/>
      <c r="E266" s="46"/>
      <c r="F266" s="46"/>
      <c r="G266" s="46"/>
      <c r="H266" s="46"/>
      <c r="I266" s="46"/>
      <c r="J266" s="46"/>
      <c r="K266" s="46"/>
      <c r="L266" s="46"/>
      <c r="M266" s="46"/>
      <c r="N266" s="46"/>
      <c r="O266" s="47"/>
      <c r="P266" s="48"/>
      <c r="Q266" s="16"/>
      <c r="R266" s="16"/>
      <c r="S266" s="16"/>
      <c r="T266" s="16"/>
      <c r="U266" s="16"/>
      <c r="V266" s="16"/>
      <c r="W266" s="16"/>
      <c r="X266" s="16"/>
      <c r="Y266" s="16"/>
      <c r="Z266" s="16"/>
      <c r="AA266" s="16"/>
      <c r="AB266" s="16"/>
      <c r="AC266" s="16"/>
      <c r="AD266" s="55"/>
      <c r="AE266" s="56"/>
      <c r="AF266" s="57"/>
      <c r="AG266" s="57"/>
      <c r="AH266" s="57"/>
      <c r="AI266" s="57"/>
      <c r="AJ266" s="58"/>
      <c r="AK266" s="58"/>
      <c r="AL266" s="58"/>
      <c r="AM266" s="59"/>
      <c r="AN266" s="60"/>
      <c r="AO266" s="16"/>
      <c r="AP266" s="16"/>
      <c r="AQ266" s="61"/>
    </row>
    <row r="267" ht="13.5" customHeight="1">
      <c r="A267" s="44"/>
      <c r="B267" s="49" t="s">
        <v>8</v>
      </c>
      <c r="C267" s="50">
        <v>0.0</v>
      </c>
      <c r="D267" s="51" t="s">
        <v>9</v>
      </c>
      <c r="E267" s="50">
        <v>60.0</v>
      </c>
      <c r="F267" s="52"/>
      <c r="G267" s="53"/>
      <c r="H267" s="53"/>
      <c r="I267" s="53"/>
      <c r="J267" s="53"/>
      <c r="K267" s="53"/>
      <c r="L267" s="53"/>
      <c r="M267" s="53"/>
      <c r="N267" s="53"/>
      <c r="O267" s="54"/>
      <c r="P267" s="48"/>
      <c r="Q267" s="16"/>
      <c r="R267" s="16"/>
      <c r="S267" s="16"/>
      <c r="T267" s="16"/>
      <c r="U267" s="16"/>
      <c r="V267" s="16"/>
      <c r="W267" s="16"/>
      <c r="X267" s="16"/>
      <c r="Y267" s="16"/>
      <c r="Z267" s="16"/>
      <c r="AA267" s="16"/>
      <c r="AB267" s="16"/>
      <c r="AC267" s="16"/>
      <c r="AD267" s="55"/>
      <c r="AE267" s="56"/>
      <c r="AF267" s="57"/>
      <c r="AG267" s="57"/>
      <c r="AH267" s="57"/>
      <c r="AI267" s="57"/>
      <c r="AJ267" s="58"/>
      <c r="AK267" s="58"/>
      <c r="AL267" s="58"/>
      <c r="AM267" s="59"/>
      <c r="AN267" s="60"/>
      <c r="AO267" s="16"/>
      <c r="AP267" s="16"/>
      <c r="AQ267" s="61"/>
    </row>
    <row r="268" ht="13.5" customHeight="1">
      <c r="A268" s="44"/>
      <c r="B268" s="62" t="s">
        <v>10</v>
      </c>
      <c r="C268" s="63">
        <v>0.01</v>
      </c>
      <c r="D268" s="64"/>
      <c r="E268" s="65"/>
      <c r="F268" s="66"/>
      <c r="G268" s="67"/>
      <c r="H268" s="68" t="s">
        <v>11</v>
      </c>
      <c r="I268" s="69"/>
      <c r="J268" s="70"/>
      <c r="K268" s="66"/>
      <c r="L268" s="66"/>
      <c r="M268" s="66"/>
      <c r="N268" s="66"/>
      <c r="O268" s="71"/>
      <c r="P268" s="48"/>
      <c r="Q268" s="16"/>
      <c r="R268" s="16"/>
      <c r="S268" s="16"/>
      <c r="T268" s="16"/>
      <c r="U268" s="16"/>
      <c r="V268" s="16"/>
      <c r="W268" s="16"/>
      <c r="X268" s="16"/>
      <c r="Y268" s="16"/>
      <c r="Z268" s="16"/>
      <c r="AA268" s="16"/>
      <c r="AB268" s="16"/>
      <c r="AC268" s="16"/>
      <c r="AD268" s="55"/>
      <c r="AE268" s="56"/>
      <c r="AF268" s="57"/>
      <c r="AG268" s="57"/>
      <c r="AH268" s="57"/>
      <c r="AI268" s="57"/>
      <c r="AJ268" s="58"/>
      <c r="AK268" s="58"/>
      <c r="AL268" s="58"/>
      <c r="AM268" s="59"/>
      <c r="AN268" s="60"/>
      <c r="AO268" s="16"/>
      <c r="AP268" s="16"/>
      <c r="AQ268" s="61"/>
    </row>
    <row r="269" ht="13.5" customHeight="1">
      <c r="A269" s="44"/>
      <c r="B269" s="72" t="s">
        <v>12</v>
      </c>
      <c r="C269" s="73" t="s">
        <v>53</v>
      </c>
      <c r="D269" s="74" t="s">
        <v>14</v>
      </c>
      <c r="E269" s="75">
        <f t="array" ref="E269">MAX(Q275:Q279)</f>
        <v>0.02</v>
      </c>
      <c r="F269" s="76" t="str">
        <f t="array" ref="F269">C269</f>
        <v>MΩ</v>
      </c>
      <c r="G269" s="67"/>
      <c r="H269" s="68" t="s">
        <v>15</v>
      </c>
      <c r="I269" s="77" t="s">
        <v>16</v>
      </c>
      <c r="J269" s="78"/>
      <c r="K269" s="79"/>
      <c r="L269" s="66"/>
      <c r="M269" s="66"/>
      <c r="N269" s="66"/>
      <c r="O269" s="71"/>
      <c r="P269" s="48"/>
      <c r="Q269" s="16"/>
      <c r="R269" s="16"/>
      <c r="S269" s="16"/>
      <c r="T269" s="16"/>
      <c r="U269" s="16"/>
      <c r="V269" s="16"/>
      <c r="W269" s="16"/>
      <c r="X269" s="16"/>
      <c r="Y269" s="16"/>
      <c r="Z269" s="16"/>
      <c r="AA269" s="16"/>
      <c r="AB269" s="16"/>
      <c r="AC269" s="16"/>
      <c r="AD269" s="55"/>
      <c r="AE269" s="56"/>
      <c r="AF269" s="57"/>
      <c r="AG269" s="57"/>
      <c r="AH269" s="57"/>
      <c r="AI269" s="57"/>
      <c r="AJ269" s="58"/>
      <c r="AK269" s="58"/>
      <c r="AL269" s="58"/>
      <c r="AM269" s="59"/>
      <c r="AN269" s="60"/>
      <c r="AO269" s="16"/>
      <c r="AP269" s="16"/>
      <c r="AQ269" s="61"/>
    </row>
    <row r="270" ht="12.75" customHeight="1">
      <c r="A270" s="44"/>
      <c r="B270" s="80"/>
      <c r="C270" s="65"/>
      <c r="D270" s="76" t="s">
        <v>17</v>
      </c>
      <c r="E270" s="81">
        <f t="array" ref="E270">MAX(O275:O279)</f>
        <v>0.04082482905</v>
      </c>
      <c r="F270" s="76" t="str">
        <f t="array" ref="F270">C269</f>
        <v>MΩ</v>
      </c>
      <c r="G270" s="67"/>
      <c r="H270" s="82"/>
      <c r="I270" s="68" t="s">
        <v>18</v>
      </c>
      <c r="J270" s="82"/>
      <c r="K270" s="79"/>
      <c r="L270" s="66"/>
      <c r="M270" s="66"/>
      <c r="N270" s="66"/>
      <c r="O270" s="71"/>
      <c r="P270" s="48"/>
      <c r="Q270" s="16"/>
      <c r="R270" s="16"/>
      <c r="S270" s="16"/>
      <c r="T270" s="16"/>
      <c r="U270" s="16"/>
      <c r="V270" s="16"/>
      <c r="W270" s="16"/>
      <c r="X270" s="16"/>
      <c r="Y270" s="16"/>
      <c r="Z270" s="16"/>
      <c r="AA270" s="16"/>
      <c r="AB270" s="16"/>
      <c r="AC270" s="16"/>
      <c r="AD270" s="55"/>
      <c r="AE270" s="56"/>
      <c r="AF270" s="57"/>
      <c r="AG270" s="57"/>
      <c r="AH270" s="57"/>
      <c r="AI270" s="57"/>
      <c r="AJ270" s="58"/>
      <c r="AK270" s="58"/>
      <c r="AL270" s="58"/>
      <c r="AM270" s="59"/>
      <c r="AN270" s="60"/>
      <c r="AO270" s="16"/>
      <c r="AP270" s="16"/>
      <c r="AQ270" s="61"/>
    </row>
    <row r="271" ht="12.75" customHeight="1">
      <c r="A271" s="44"/>
      <c r="B271" s="83"/>
      <c r="C271" s="66"/>
      <c r="D271" s="66"/>
      <c r="E271" s="66"/>
      <c r="F271" s="66"/>
      <c r="G271" s="67"/>
      <c r="H271" s="82"/>
      <c r="I271" s="68" t="s">
        <v>19</v>
      </c>
      <c r="J271" s="82"/>
      <c r="K271" s="79"/>
      <c r="L271" s="66"/>
      <c r="M271" s="66"/>
      <c r="N271" s="66"/>
      <c r="O271" s="84"/>
      <c r="P271" s="48"/>
      <c r="Q271" s="16"/>
      <c r="R271" s="16"/>
      <c r="S271" s="16"/>
      <c r="T271" s="16"/>
      <c r="U271" s="16"/>
      <c r="V271" s="16"/>
      <c r="W271" s="16"/>
      <c r="X271" s="16"/>
      <c r="Y271" s="16"/>
      <c r="Z271" s="16"/>
      <c r="AA271" s="16"/>
      <c r="AB271" s="16"/>
      <c r="AC271" s="16"/>
      <c r="AD271" s="55"/>
      <c r="AE271" s="56"/>
      <c r="AF271" s="57"/>
      <c r="AG271" s="57"/>
      <c r="AH271" s="57"/>
      <c r="AI271" s="57"/>
      <c r="AJ271" s="58"/>
      <c r="AK271" s="58"/>
      <c r="AL271" s="58"/>
      <c r="AM271" s="59"/>
      <c r="AN271" s="60"/>
      <c r="AO271" s="16"/>
      <c r="AP271" s="16"/>
      <c r="AQ271" s="61"/>
    </row>
    <row r="272" ht="12.75" customHeight="1">
      <c r="A272" s="44"/>
      <c r="B272" s="85" t="s">
        <v>20</v>
      </c>
      <c r="C272" s="69"/>
      <c r="D272" s="70"/>
      <c r="E272" s="70"/>
      <c r="F272" s="70"/>
      <c r="G272" s="86"/>
      <c r="H272" s="87" t="s">
        <v>21</v>
      </c>
      <c r="I272" s="88">
        <v>5502.0</v>
      </c>
      <c r="J272" s="88"/>
      <c r="K272" s="69"/>
      <c r="L272" s="70"/>
      <c r="M272" s="70"/>
      <c r="N272" s="86"/>
      <c r="O272" s="89" t="s">
        <v>22</v>
      </c>
      <c r="P272" s="48"/>
      <c r="Q272" s="16"/>
      <c r="R272" s="16"/>
      <c r="S272" s="16"/>
      <c r="T272" s="16"/>
      <c r="U272" s="16"/>
      <c r="V272" s="16"/>
      <c r="W272" s="16"/>
      <c r="X272" s="16"/>
      <c r="Y272" s="16"/>
      <c r="Z272" s="16"/>
      <c r="AA272" s="16"/>
      <c r="AB272" s="16"/>
      <c r="AC272" s="16"/>
      <c r="AD272" s="55"/>
      <c r="AE272" s="56"/>
      <c r="AF272" s="57"/>
      <c r="AG272" s="57"/>
      <c r="AH272" s="57"/>
      <c r="AI272" s="57"/>
      <c r="AJ272" s="58"/>
      <c r="AK272" s="58"/>
      <c r="AL272" s="58"/>
      <c r="AM272" s="59"/>
      <c r="AN272" s="60"/>
      <c r="AO272" s="16"/>
      <c r="AP272" s="16"/>
      <c r="AQ272" s="61"/>
    </row>
    <row r="273" ht="12.75" customHeight="1">
      <c r="A273" s="44"/>
      <c r="B273" s="90" t="s">
        <v>23</v>
      </c>
      <c r="C273" s="77" t="s">
        <v>24</v>
      </c>
      <c r="D273" s="77" t="s">
        <v>25</v>
      </c>
      <c r="E273" s="77" t="s">
        <v>26</v>
      </c>
      <c r="F273" s="77" t="s">
        <v>27</v>
      </c>
      <c r="G273" s="77" t="s">
        <v>28</v>
      </c>
      <c r="H273" s="77" t="s">
        <v>29</v>
      </c>
      <c r="I273" s="77" t="s">
        <v>30</v>
      </c>
      <c r="J273" s="77" t="s">
        <v>31</v>
      </c>
      <c r="K273" s="77" t="s">
        <v>32</v>
      </c>
      <c r="L273" s="77" t="s">
        <v>33</v>
      </c>
      <c r="M273" s="77" t="s">
        <v>34</v>
      </c>
      <c r="N273" s="91"/>
      <c r="O273" s="92" t="s">
        <v>35</v>
      </c>
      <c r="P273" s="48"/>
      <c r="Q273" s="16"/>
      <c r="R273" s="16"/>
      <c r="S273" s="16"/>
      <c r="T273" s="16"/>
      <c r="U273" s="16"/>
      <c r="V273" s="16"/>
      <c r="W273" s="16"/>
      <c r="X273" s="16"/>
      <c r="Y273" s="16"/>
      <c r="Z273" s="16"/>
      <c r="AA273" s="16"/>
      <c r="AB273" s="16"/>
      <c r="AC273" s="16"/>
      <c r="AD273" s="55"/>
      <c r="AE273" s="56"/>
      <c r="AF273" s="57"/>
      <c r="AG273" s="57"/>
      <c r="AH273" s="57"/>
      <c r="AI273" s="57"/>
      <c r="AJ273" s="58"/>
      <c r="AK273" s="58"/>
      <c r="AL273" s="58"/>
      <c r="AM273" s="59"/>
      <c r="AN273" s="60"/>
      <c r="AO273" s="16"/>
      <c r="AP273" s="16"/>
      <c r="AQ273" s="61"/>
    </row>
    <row r="274" ht="12.75" customHeight="1">
      <c r="A274" s="44"/>
      <c r="B274" s="93" t="str">
        <f t="array" ref="B274">C269</f>
        <v>MΩ</v>
      </c>
      <c r="C274" s="87" t="str">
        <f t="array" ref="C274">$B274</f>
        <v>MΩ</v>
      </c>
      <c r="D274" s="87" t="str">
        <f t="array" ref="D274">$B274</f>
        <v>MΩ</v>
      </c>
      <c r="E274" s="87" t="str">
        <f t="array" ref="E274">$B274</f>
        <v>MΩ</v>
      </c>
      <c r="F274" s="87" t="str">
        <f t="array" ref="F274">$B274</f>
        <v>MΩ</v>
      </c>
      <c r="G274" s="87" t="str">
        <f t="array" ref="G274">$B274</f>
        <v>MΩ</v>
      </c>
      <c r="H274" s="87" t="str">
        <f t="array" ref="H274">$B274</f>
        <v>MΩ</v>
      </c>
      <c r="I274" s="87" t="str">
        <f t="array" ref="I274">$B274</f>
        <v>MΩ</v>
      </c>
      <c r="J274" s="87" t="str">
        <f t="array" ref="J274">$B274</f>
        <v>MΩ</v>
      </c>
      <c r="K274" s="87" t="str">
        <f t="array" ref="K274">$B274</f>
        <v>MΩ</v>
      </c>
      <c r="L274" s="87" t="str">
        <f t="array" ref="L274">$B274</f>
        <v>MΩ</v>
      </c>
      <c r="M274" s="94" t="s">
        <v>36</v>
      </c>
      <c r="N274" s="87" t="s">
        <v>37</v>
      </c>
      <c r="O274" s="95" t="str">
        <f t="array" ref="O274">$B274</f>
        <v>MΩ</v>
      </c>
      <c r="P274" s="48"/>
      <c r="Q274" s="96" t="s">
        <v>38</v>
      </c>
      <c r="R274" s="96" t="s">
        <v>39</v>
      </c>
      <c r="S274" s="96" t="s">
        <v>40</v>
      </c>
      <c r="T274" s="97" t="s">
        <v>41</v>
      </c>
      <c r="U274" s="16"/>
      <c r="V274" s="16"/>
      <c r="W274" s="16"/>
      <c r="X274" s="16"/>
      <c r="Y274" s="16"/>
      <c r="Z274" s="16"/>
      <c r="AA274" s="16"/>
      <c r="AB274" s="16"/>
      <c r="AC274" s="16"/>
      <c r="AD274" s="55"/>
      <c r="AE274" s="56"/>
      <c r="AF274" s="57"/>
      <c r="AG274" s="57"/>
      <c r="AH274" s="57"/>
      <c r="AI274" s="57"/>
      <c r="AJ274" s="58"/>
      <c r="AK274" s="58"/>
      <c r="AL274" s="58"/>
      <c r="AM274" s="59"/>
      <c r="AN274" s="60"/>
      <c r="AO274" s="16"/>
      <c r="AP274" s="16"/>
      <c r="AQ274" s="61"/>
    </row>
    <row r="275" ht="12.75" customHeight="1">
      <c r="A275" s="98"/>
      <c r="B275" s="99">
        <f t="array" ref="B275">E267*0.1</f>
        <v>6</v>
      </c>
      <c r="C275" s="139"/>
      <c r="D275" s="140">
        <v>6.01</v>
      </c>
      <c r="E275" s="140">
        <v>6.01</v>
      </c>
      <c r="F275" s="140">
        <v>6.01</v>
      </c>
      <c r="G275" s="141">
        <v>6.01</v>
      </c>
      <c r="H275" s="103">
        <f t="array" ref="H275">STDEV(C275:G275)*1.4</f>
        <v>0</v>
      </c>
      <c r="I275" s="103">
        <f t="array" ref="I275">(B275*0.1%)</f>
        <v>0.006</v>
      </c>
      <c r="J275" s="103">
        <f t="array" ref="J275">I275/SQRT(3)</f>
        <v>0.003464101615</v>
      </c>
      <c r="K275" s="103">
        <f t="array" ref="K275">(C$268)/SQRT(12)</f>
        <v>0.002886751346</v>
      </c>
      <c r="L275" s="105">
        <f t="array" ref="L275">SQRT(H275^2+J275^2+(K275)^2)</f>
        <v>0.004509249753</v>
      </c>
      <c r="M275" s="91" t="str">
        <f t="array" ref="M275">IF(ISERROR((L275^4)/(H275^4/4))=TRUE,"∞",((L275^4)/(H275^4/4)))</f>
        <v>∞</v>
      </c>
      <c r="N275" s="91">
        <f t="array" ref="N275">IF(ISERROR(TINV(0.05,M275))=TRUE,2,TINV(0.05,M275))</f>
        <v>2</v>
      </c>
      <c r="O275" s="106">
        <f t="array" ref="O275">L275*N275</f>
        <v>0.009018499506</v>
      </c>
      <c r="P275" s="48"/>
      <c r="Q275" s="107">
        <f t="array" ref="Q275">AVERAGE(C275:G275)-B275</f>
        <v>0.01</v>
      </c>
      <c r="R275" s="107">
        <f t="array" ref="R275">Q275+O275</f>
        <v>0.01901849951</v>
      </c>
      <c r="S275" s="107">
        <f t="array" ref="S275">Q275-O275</f>
        <v>0.0009815004944</v>
      </c>
      <c r="T275" s="107">
        <f t="array" ref="T275">ABS(Q275)</f>
        <v>0.01</v>
      </c>
      <c r="U275" s="16"/>
      <c r="V275" s="16"/>
      <c r="W275" s="16"/>
      <c r="X275" s="16"/>
      <c r="Y275" s="16"/>
      <c r="Z275" s="16"/>
      <c r="AA275" s="16"/>
      <c r="AB275" s="16"/>
      <c r="AC275" s="16"/>
      <c r="AD275" s="55"/>
      <c r="AE275" s="56"/>
      <c r="AF275" s="57"/>
      <c r="AG275" s="57"/>
      <c r="AH275" s="57"/>
      <c r="AI275" s="57"/>
      <c r="AJ275" s="58"/>
      <c r="AK275" s="58"/>
      <c r="AL275" s="58"/>
      <c r="AM275" s="59"/>
      <c r="AN275" s="60"/>
      <c r="AO275" s="16"/>
      <c r="AP275" s="16"/>
      <c r="AQ275" s="61"/>
    </row>
    <row r="276" ht="12.75" customHeight="1">
      <c r="A276" s="98"/>
      <c r="B276" s="108">
        <f t="array" ref="B276">E267*0.25</f>
        <v>15</v>
      </c>
      <c r="C276" s="142"/>
      <c r="D276" s="143">
        <v>15.02</v>
      </c>
      <c r="E276" s="143">
        <v>15.02</v>
      </c>
      <c r="F276" s="143">
        <v>15.02</v>
      </c>
      <c r="G276" s="144">
        <v>15.02</v>
      </c>
      <c r="H276" s="112">
        <f t="array" ref="H276">STDEV(C276:G276)*1.4</f>
        <v>0</v>
      </c>
      <c r="I276" s="112">
        <f t="array" ref="I276">(B276*0.1%)</f>
        <v>0.015</v>
      </c>
      <c r="J276" s="112">
        <f t="array" ref="J276">I276/SQRT(3)</f>
        <v>0.008660254038</v>
      </c>
      <c r="K276" s="112">
        <f t="array" ref="K276">(C$268)/SQRT(12)</f>
        <v>0.002886751346</v>
      </c>
      <c r="L276" s="113">
        <f t="array" ref="L276">SQRT(H276^2+J276^2+(K276)^2)</f>
        <v>0.009128709292</v>
      </c>
      <c r="M276" s="114" t="str">
        <f t="array" ref="M276">IF(ISERROR((L276^4)/(H276^4/4))=TRUE,"∞",((L276^4)/(H276^4/4)))</f>
        <v>∞</v>
      </c>
      <c r="N276" s="114">
        <f t="array" ref="N276">IF(ISERROR(TINV(0.05,M276))=TRUE,2,TINV(0.05,M276))</f>
        <v>2</v>
      </c>
      <c r="O276" s="115">
        <f t="array" ref="O276">L276*N276</f>
        <v>0.01825741858</v>
      </c>
      <c r="P276" s="48"/>
      <c r="Q276" s="107">
        <f t="array" ref="Q276">AVERAGE(C276:G276)-B276</f>
        <v>0.02</v>
      </c>
      <c r="R276" s="107">
        <f t="array" ref="R276">Q276+O276</f>
        <v>0.03825741858</v>
      </c>
      <c r="S276" s="107">
        <f t="array" ref="S276">Q276-O276</f>
        <v>0.001742581416</v>
      </c>
      <c r="T276" s="107">
        <f t="array" ref="T276">ABS(Q276)</f>
        <v>0.02</v>
      </c>
      <c r="U276" s="16"/>
      <c r="V276" s="16"/>
      <c r="W276" s="16"/>
      <c r="X276" s="16"/>
      <c r="Y276" s="16"/>
      <c r="Z276" s="16"/>
      <c r="AA276" s="16"/>
      <c r="AB276" s="16"/>
      <c r="AC276" s="16"/>
      <c r="AD276" s="55"/>
      <c r="AE276" s="56"/>
      <c r="AF276" s="57"/>
      <c r="AG276" s="57"/>
      <c r="AH276" s="57"/>
      <c r="AI276" s="57"/>
      <c r="AJ276" s="58"/>
      <c r="AK276" s="58"/>
      <c r="AL276" s="58"/>
      <c r="AM276" s="59"/>
      <c r="AN276" s="60"/>
      <c r="AO276" s="16"/>
      <c r="AP276" s="16"/>
      <c r="AQ276" s="61"/>
    </row>
    <row r="277" ht="12.75" customHeight="1">
      <c r="A277" s="98"/>
      <c r="B277" s="108">
        <v>25.0</v>
      </c>
      <c r="C277" s="142"/>
      <c r="D277" s="143">
        <v>25.02</v>
      </c>
      <c r="E277" s="143">
        <v>25.02</v>
      </c>
      <c r="F277" s="143">
        <v>25.02</v>
      </c>
      <c r="G277" s="144">
        <v>25.02</v>
      </c>
      <c r="H277" s="112">
        <f t="array" ref="H277">STDEV(C277:G277)*1.4</f>
        <v>0</v>
      </c>
      <c r="I277" s="112">
        <f t="array" ref="I277">(B277*0.1%)</f>
        <v>0.025</v>
      </c>
      <c r="J277" s="112">
        <f t="array" ref="J277">I277/SQRT(3)</f>
        <v>0.01443375673</v>
      </c>
      <c r="K277" s="112">
        <f t="array" ref="K277">(C$268)/SQRT(12)</f>
        <v>0.002886751346</v>
      </c>
      <c r="L277" s="113">
        <f t="array" ref="L277">SQRT(H277^2+J277^2+(K277)^2)</f>
        <v>0.01471960144</v>
      </c>
      <c r="M277" s="114" t="str">
        <f t="array" ref="M277">IF(ISERROR((L277^4)/(H277^4/4))=TRUE,"∞",((L277^4)/(H277^4/4)))</f>
        <v>∞</v>
      </c>
      <c r="N277" s="114">
        <f t="array" ref="N277">IF(ISERROR(TINV(0.05,M277))=TRUE,2,TINV(0.05,M277))</f>
        <v>2</v>
      </c>
      <c r="O277" s="115">
        <f t="array" ref="O277">L277*N277</f>
        <v>0.02943920289</v>
      </c>
      <c r="P277" s="48"/>
      <c r="Q277" s="107">
        <f t="array" ref="Q277">AVERAGE(C277:G277)-B277</f>
        <v>0.02</v>
      </c>
      <c r="R277" s="107">
        <f t="array" ref="R277">Q277+O277</f>
        <v>0.04943920289</v>
      </c>
      <c r="S277" s="107">
        <f t="array" ref="S277">Q277-O277</f>
        <v>-0.009439202888</v>
      </c>
      <c r="T277" s="107">
        <f t="array" ref="T277">ABS(Q277)</f>
        <v>0.02</v>
      </c>
      <c r="U277" s="16"/>
      <c r="V277" s="16"/>
      <c r="W277" s="16"/>
      <c r="X277" s="16"/>
      <c r="Y277" s="16"/>
      <c r="Z277" s="16"/>
      <c r="AA277" s="16"/>
      <c r="AB277" s="16"/>
      <c r="AC277" s="16"/>
      <c r="AD277" s="55"/>
      <c r="AE277" s="56"/>
      <c r="AF277" s="57"/>
      <c r="AG277" s="57"/>
      <c r="AH277" s="57"/>
      <c r="AI277" s="57"/>
      <c r="AJ277" s="58"/>
      <c r="AK277" s="58"/>
      <c r="AL277" s="58"/>
      <c r="AM277" s="59"/>
      <c r="AN277" s="60"/>
      <c r="AO277" s="16"/>
      <c r="AP277" s="16"/>
      <c r="AQ277" s="61"/>
    </row>
    <row r="278" ht="12.75" customHeight="1">
      <c r="A278" s="98"/>
      <c r="B278" s="108">
        <v>30.0</v>
      </c>
      <c r="C278" s="142"/>
      <c r="D278" s="143">
        <v>30.02</v>
      </c>
      <c r="E278" s="143">
        <v>30.02</v>
      </c>
      <c r="F278" s="143">
        <v>30.02</v>
      </c>
      <c r="G278" s="144">
        <v>30.02</v>
      </c>
      <c r="H278" s="112">
        <f t="array" ref="H278">STDEV(C278:G278)*1.4</f>
        <v>0</v>
      </c>
      <c r="I278" s="112">
        <f t="array" ref="I278">(B278*0.1%)</f>
        <v>0.03</v>
      </c>
      <c r="J278" s="112">
        <f t="array" ref="J278">I278/SQRT(3)</f>
        <v>0.01732050808</v>
      </c>
      <c r="K278" s="112">
        <f t="array" ref="K278">(C$268)/SQRT(12)</f>
        <v>0.002886751346</v>
      </c>
      <c r="L278" s="113">
        <f t="array" ref="L278">SQRT(H278^2+J278^2+(K278)^2)</f>
        <v>0.01755942292</v>
      </c>
      <c r="M278" s="114" t="str">
        <f t="array" ref="M278">IF(ISERROR((L278^4)/(H278^4/4))=TRUE,"∞",((L278^4)/(H278^4/4)))</f>
        <v>∞</v>
      </c>
      <c r="N278" s="114">
        <f t="array" ref="N278">IF(ISERROR(TINV(0.05,M278))=TRUE,2,TINV(0.05,M278))</f>
        <v>2</v>
      </c>
      <c r="O278" s="115">
        <f t="array" ref="O278">L278*N278</f>
        <v>0.03511884584</v>
      </c>
      <c r="P278" s="48"/>
      <c r="Q278" s="107">
        <f t="array" ref="Q278">AVERAGE(C278:G278)-B278</f>
        <v>0.02</v>
      </c>
      <c r="R278" s="107">
        <f t="array" ref="R278">Q278+O278</f>
        <v>0.05511884584</v>
      </c>
      <c r="S278" s="107">
        <f t="array" ref="S278">Q278-O278</f>
        <v>-0.01511884584</v>
      </c>
      <c r="T278" s="107">
        <f t="array" ref="T278">ABS(Q278)</f>
        <v>0.02</v>
      </c>
      <c r="U278" s="16"/>
      <c r="V278" s="16"/>
      <c r="W278" s="16"/>
      <c r="X278" s="16"/>
      <c r="Y278" s="16"/>
      <c r="Z278" s="16"/>
      <c r="AA278" s="16"/>
      <c r="AB278" s="16"/>
      <c r="AC278" s="16"/>
      <c r="AD278" s="55"/>
      <c r="AE278" s="56"/>
      <c r="AF278" s="57"/>
      <c r="AG278" s="57"/>
      <c r="AH278" s="57"/>
      <c r="AI278" s="57"/>
      <c r="AJ278" s="58"/>
      <c r="AK278" s="58"/>
      <c r="AL278" s="58"/>
      <c r="AM278" s="59"/>
      <c r="AN278" s="60"/>
      <c r="AO278" s="16"/>
      <c r="AP278" s="16"/>
      <c r="AQ278" s="61"/>
    </row>
    <row r="279" ht="12.75" customHeight="1">
      <c r="A279" s="98"/>
      <c r="B279" s="116">
        <v>35.0</v>
      </c>
      <c r="C279" s="145"/>
      <c r="D279" s="146">
        <v>35.02</v>
      </c>
      <c r="E279" s="146">
        <v>35.02</v>
      </c>
      <c r="F279" s="146">
        <v>35.02</v>
      </c>
      <c r="G279" s="147">
        <v>35.02</v>
      </c>
      <c r="H279" s="120">
        <f t="array" ref="H279">STDEV(C279:G279)*1.4</f>
        <v>0</v>
      </c>
      <c r="I279" s="120">
        <f t="array" ref="I279">(B279*0.1%)</f>
        <v>0.035</v>
      </c>
      <c r="J279" s="120">
        <f t="array" ref="J279">I279/SQRT(3)</f>
        <v>0.02020725942</v>
      </c>
      <c r="K279" s="120">
        <f t="array" ref="K279">(C$268)/SQRT(12)</f>
        <v>0.002886751346</v>
      </c>
      <c r="L279" s="121">
        <f t="array" ref="L279">SQRT(H279^2+J279^2+(K279)^2)</f>
        <v>0.02041241452</v>
      </c>
      <c r="M279" s="122" t="str">
        <f t="array" ref="M279">IF(ISERROR((L279^4)/(H279^4/4))=TRUE,"∞",((L279^4)/(H279^4/4)))</f>
        <v>∞</v>
      </c>
      <c r="N279" s="122">
        <f t="array" ref="N279">IF(ISERROR(TINV(0.05,M279))=TRUE,2,TINV(0.05,M279))</f>
        <v>2</v>
      </c>
      <c r="O279" s="123">
        <f t="array" ref="O279">L279*N279</f>
        <v>0.04082482905</v>
      </c>
      <c r="P279" s="48"/>
      <c r="Q279" s="107">
        <f t="array" ref="Q279">AVERAGE(C279:G279)-B279</f>
        <v>0.02</v>
      </c>
      <c r="R279" s="107">
        <f t="array" ref="R279">Q279+O279</f>
        <v>0.06082482905</v>
      </c>
      <c r="S279" s="107">
        <f t="array" ref="S279">Q279-O279</f>
        <v>-0.02082482905</v>
      </c>
      <c r="T279" s="107">
        <f t="array" ref="T279">ABS(Q279)</f>
        <v>0.02</v>
      </c>
      <c r="U279" s="16"/>
      <c r="V279" s="16"/>
      <c r="W279" s="16"/>
      <c r="X279" s="16"/>
      <c r="Y279" s="16"/>
      <c r="Z279" s="16"/>
      <c r="AA279" s="16"/>
      <c r="AB279" s="16"/>
      <c r="AC279" s="16"/>
      <c r="AD279" s="55"/>
      <c r="AE279" s="56"/>
      <c r="AF279" s="57"/>
      <c r="AG279" s="57"/>
      <c r="AH279" s="57"/>
      <c r="AI279" s="57"/>
      <c r="AJ279" s="58"/>
      <c r="AK279" s="58"/>
      <c r="AL279" s="58"/>
      <c r="AM279" s="59"/>
      <c r="AN279" s="60"/>
      <c r="AO279" s="16"/>
      <c r="AP279" s="16"/>
      <c r="AQ279" s="61"/>
    </row>
    <row r="280" ht="12.75" customHeight="1">
      <c r="A280" s="15"/>
      <c r="B280" s="149"/>
      <c r="C280" s="149"/>
      <c r="D280" s="149"/>
      <c r="E280" s="149"/>
      <c r="F280" s="149"/>
      <c r="G280" s="149"/>
      <c r="H280" s="150"/>
      <c r="I280" s="150"/>
      <c r="J280" s="150"/>
      <c r="K280" s="150"/>
      <c r="L280" s="152"/>
      <c r="M280" s="153"/>
      <c r="N280" s="153"/>
      <c r="O280" s="154"/>
      <c r="P280" s="48"/>
      <c r="Q280" s="107"/>
      <c r="R280" s="107"/>
      <c r="S280" s="107"/>
      <c r="T280" s="107"/>
      <c r="U280" s="16"/>
      <c r="V280" s="16"/>
      <c r="W280" s="16"/>
      <c r="X280" s="16"/>
      <c r="Y280" s="16"/>
      <c r="Z280" s="16"/>
      <c r="AA280" s="16"/>
      <c r="AB280" s="16"/>
      <c r="AC280" s="16"/>
      <c r="AD280" s="55"/>
      <c r="AE280" s="56"/>
      <c r="AF280" s="57"/>
      <c r="AG280" s="57"/>
      <c r="AH280" s="57"/>
      <c r="AI280" s="57"/>
      <c r="AJ280" s="58"/>
      <c r="AK280" s="58"/>
      <c r="AL280" s="58"/>
      <c r="AM280" s="59"/>
      <c r="AN280" s="60"/>
      <c r="AO280" s="16"/>
      <c r="AP280" s="16"/>
      <c r="AQ280" s="61"/>
    </row>
    <row r="281" ht="12.75" customHeight="1">
      <c r="A281" s="15"/>
      <c r="B281" s="162"/>
      <c r="C281" s="162"/>
      <c r="D281" s="162"/>
      <c r="E281" s="162"/>
      <c r="F281" s="162"/>
      <c r="G281" s="162"/>
      <c r="H281" s="151"/>
      <c r="I281" s="151"/>
      <c r="J281" s="151"/>
      <c r="K281" s="151"/>
      <c r="L281" s="163"/>
      <c r="M281" s="164"/>
      <c r="N281" s="164"/>
      <c r="O281" s="165"/>
      <c r="P281" s="48"/>
      <c r="Q281" s="107"/>
      <c r="R281" s="107"/>
      <c r="S281" s="107"/>
      <c r="T281" s="107"/>
      <c r="U281" s="16"/>
      <c r="V281" s="16"/>
      <c r="W281" s="16"/>
      <c r="X281" s="16"/>
      <c r="Y281" s="16"/>
      <c r="Z281" s="16"/>
      <c r="AA281" s="16"/>
      <c r="AB281" s="16"/>
      <c r="AC281" s="16"/>
      <c r="AD281" s="55"/>
      <c r="AE281" s="56"/>
      <c r="AF281" s="57"/>
      <c r="AG281" s="57"/>
      <c r="AH281" s="57"/>
      <c r="AI281" s="57"/>
      <c r="AJ281" s="58"/>
      <c r="AK281" s="58"/>
      <c r="AL281" s="58"/>
      <c r="AM281" s="59"/>
      <c r="AN281" s="60"/>
      <c r="AO281" s="16"/>
      <c r="AP281" s="16"/>
      <c r="AQ281" s="61"/>
    </row>
    <row r="282" ht="12.75" customHeight="1">
      <c r="A282" s="15"/>
      <c r="B282" s="162"/>
      <c r="C282" s="162"/>
      <c r="D282" s="162"/>
      <c r="E282" s="162"/>
      <c r="F282" s="162"/>
      <c r="G282" s="162"/>
      <c r="H282" s="151"/>
      <c r="I282" s="151"/>
      <c r="J282" s="151"/>
      <c r="K282" s="151"/>
      <c r="L282" s="163"/>
      <c r="M282" s="164"/>
      <c r="N282" s="164"/>
      <c r="O282" s="165"/>
      <c r="P282" s="48"/>
      <c r="Q282" s="107"/>
      <c r="R282" s="107"/>
      <c r="S282" s="107"/>
      <c r="T282" s="107"/>
      <c r="U282" s="16"/>
      <c r="V282" s="16"/>
      <c r="W282" s="16"/>
      <c r="X282" s="16"/>
      <c r="Y282" s="16"/>
      <c r="Z282" s="16"/>
      <c r="AA282" s="16"/>
      <c r="AB282" s="16"/>
      <c r="AC282" s="16"/>
      <c r="AD282" s="55"/>
      <c r="AE282" s="56"/>
      <c r="AF282" s="57"/>
      <c r="AG282" s="57"/>
      <c r="AH282" s="57"/>
      <c r="AI282" s="57"/>
      <c r="AJ282" s="58"/>
      <c r="AK282" s="58"/>
      <c r="AL282" s="58"/>
      <c r="AM282" s="59"/>
      <c r="AN282" s="60"/>
      <c r="AO282" s="16"/>
      <c r="AP282" s="16"/>
      <c r="AQ282" s="61"/>
    </row>
    <row r="283" ht="12.75" customHeight="1">
      <c r="A283" s="15"/>
      <c r="B283" s="162"/>
      <c r="C283" s="162"/>
      <c r="D283" s="162"/>
      <c r="E283" s="162"/>
      <c r="F283" s="162"/>
      <c r="G283" s="162"/>
      <c r="H283" s="151"/>
      <c r="I283" s="151"/>
      <c r="J283" s="151"/>
      <c r="K283" s="151"/>
      <c r="L283" s="163"/>
      <c r="M283" s="164"/>
      <c r="N283" s="164"/>
      <c r="O283" s="165"/>
      <c r="P283" s="48"/>
      <c r="Q283" s="107"/>
      <c r="R283" s="107"/>
      <c r="S283" s="107"/>
      <c r="T283" s="107"/>
      <c r="U283" s="16"/>
      <c r="V283" s="16"/>
      <c r="W283" s="16"/>
      <c r="X283" s="16"/>
      <c r="Y283" s="16"/>
      <c r="Z283" s="16"/>
      <c r="AA283" s="16"/>
      <c r="AB283" s="16"/>
      <c r="AC283" s="16"/>
      <c r="AD283" s="55"/>
      <c r="AE283" s="56"/>
      <c r="AF283" s="57"/>
      <c r="AG283" s="57"/>
      <c r="AH283" s="57"/>
      <c r="AI283" s="57"/>
      <c r="AJ283" s="58"/>
      <c r="AK283" s="58"/>
      <c r="AL283" s="58"/>
      <c r="AM283" s="59"/>
      <c r="AN283" s="60"/>
      <c r="AO283" s="16"/>
      <c r="AP283" s="16"/>
      <c r="AQ283" s="61"/>
    </row>
    <row r="284" ht="12.75" customHeight="1">
      <c r="A284" s="15"/>
      <c r="B284" s="162"/>
      <c r="C284" s="162"/>
      <c r="D284" s="162"/>
      <c r="E284" s="162"/>
      <c r="F284" s="162"/>
      <c r="G284" s="162"/>
      <c r="H284" s="151"/>
      <c r="I284" s="151"/>
      <c r="J284" s="151"/>
      <c r="K284" s="151"/>
      <c r="L284" s="163"/>
      <c r="M284" s="164"/>
      <c r="N284" s="164"/>
      <c r="O284" s="165"/>
      <c r="P284" s="48"/>
      <c r="Q284" s="107"/>
      <c r="R284" s="107"/>
      <c r="S284" s="107"/>
      <c r="T284" s="107"/>
      <c r="U284" s="16"/>
      <c r="V284" s="16"/>
      <c r="W284" s="16"/>
      <c r="X284" s="16"/>
      <c r="Y284" s="16"/>
      <c r="Z284" s="16"/>
      <c r="AA284" s="16"/>
      <c r="AB284" s="16"/>
      <c r="AC284" s="16"/>
      <c r="AD284" s="55"/>
      <c r="AE284" s="56"/>
      <c r="AF284" s="57"/>
      <c r="AG284" s="57"/>
      <c r="AH284" s="57"/>
      <c r="AI284" s="57"/>
      <c r="AJ284" s="58"/>
      <c r="AK284" s="58"/>
      <c r="AL284" s="58"/>
      <c r="AM284" s="59"/>
      <c r="AN284" s="60"/>
      <c r="AO284" s="16"/>
      <c r="AP284" s="16"/>
      <c r="AQ284" s="61"/>
    </row>
    <row r="285" ht="12.75" customHeight="1">
      <c r="A285" s="15"/>
      <c r="B285" s="162"/>
      <c r="C285" s="162"/>
      <c r="D285" s="162"/>
      <c r="E285" s="162"/>
      <c r="F285" s="162"/>
      <c r="G285" s="162"/>
      <c r="H285" s="151"/>
      <c r="I285" s="151"/>
      <c r="J285" s="151"/>
      <c r="K285" s="151"/>
      <c r="L285" s="163"/>
      <c r="M285" s="164"/>
      <c r="N285" s="164"/>
      <c r="O285" s="165"/>
      <c r="P285" s="48"/>
      <c r="Q285" s="107"/>
      <c r="R285" s="107"/>
      <c r="S285" s="107"/>
      <c r="T285" s="107"/>
      <c r="U285" s="16"/>
      <c r="V285" s="16"/>
      <c r="W285" s="16"/>
      <c r="X285" s="16"/>
      <c r="Y285" s="16"/>
      <c r="Z285" s="16"/>
      <c r="AA285" s="16"/>
      <c r="AB285" s="16"/>
      <c r="AC285" s="16"/>
      <c r="AD285" s="55"/>
      <c r="AE285" s="56"/>
      <c r="AF285" s="57"/>
      <c r="AG285" s="57"/>
      <c r="AH285" s="57"/>
      <c r="AI285" s="57"/>
      <c r="AJ285" s="58"/>
      <c r="AK285" s="58"/>
      <c r="AL285" s="58"/>
      <c r="AM285" s="59"/>
      <c r="AN285" s="60"/>
      <c r="AO285" s="16"/>
      <c r="AP285" s="16"/>
      <c r="AQ285" s="61"/>
    </row>
    <row r="286" ht="12.75" customHeight="1">
      <c r="A286" s="15"/>
      <c r="B286" s="162"/>
      <c r="C286" s="162"/>
      <c r="D286" s="162"/>
      <c r="E286" s="162"/>
      <c r="F286" s="162"/>
      <c r="G286" s="162"/>
      <c r="H286" s="151"/>
      <c r="I286" s="151"/>
      <c r="J286" s="151"/>
      <c r="K286" s="151"/>
      <c r="L286" s="163"/>
      <c r="M286" s="164"/>
      <c r="N286" s="164"/>
      <c r="O286" s="165"/>
      <c r="P286" s="48"/>
      <c r="Q286" s="107"/>
      <c r="R286" s="107"/>
      <c r="S286" s="107"/>
      <c r="T286" s="107"/>
      <c r="U286" s="16"/>
      <c r="V286" s="16"/>
      <c r="W286" s="16"/>
      <c r="X286" s="16"/>
      <c r="Y286" s="16"/>
      <c r="Z286" s="16"/>
      <c r="AA286" s="16"/>
      <c r="AB286" s="16"/>
      <c r="AC286" s="16"/>
      <c r="AD286" s="55"/>
      <c r="AE286" s="56"/>
      <c r="AF286" s="57"/>
      <c r="AG286" s="57"/>
      <c r="AH286" s="57"/>
      <c r="AI286" s="57"/>
      <c r="AJ286" s="58"/>
      <c r="AK286" s="58"/>
      <c r="AL286" s="58"/>
      <c r="AM286" s="59"/>
      <c r="AN286" s="60"/>
      <c r="AO286" s="16"/>
      <c r="AP286" s="16"/>
      <c r="AQ286" s="61"/>
    </row>
    <row r="287" ht="12.75" customHeight="1">
      <c r="A287" s="15"/>
      <c r="B287" s="162"/>
      <c r="C287" s="162"/>
      <c r="D287" s="162"/>
      <c r="E287" s="162"/>
      <c r="F287" s="162"/>
      <c r="G287" s="162"/>
      <c r="H287" s="151"/>
      <c r="I287" s="151"/>
      <c r="J287" s="151"/>
      <c r="K287" s="151"/>
      <c r="L287" s="163"/>
      <c r="M287" s="164"/>
      <c r="N287" s="164"/>
      <c r="O287" s="165"/>
      <c r="P287" s="48"/>
      <c r="Q287" s="107"/>
      <c r="R287" s="107"/>
      <c r="S287" s="107"/>
      <c r="T287" s="107"/>
      <c r="U287" s="16"/>
      <c r="V287" s="16"/>
      <c r="W287" s="16"/>
      <c r="X287" s="16"/>
      <c r="Y287" s="16"/>
      <c r="Z287" s="16"/>
      <c r="AA287" s="16"/>
      <c r="AB287" s="16"/>
      <c r="AC287" s="16"/>
      <c r="AD287" s="55"/>
      <c r="AE287" s="56"/>
      <c r="AF287" s="57"/>
      <c r="AG287" s="57"/>
      <c r="AH287" s="57"/>
      <c r="AI287" s="57"/>
      <c r="AJ287" s="58"/>
      <c r="AK287" s="58"/>
      <c r="AL287" s="58"/>
      <c r="AM287" s="59"/>
      <c r="AN287" s="60"/>
      <c r="AO287" s="16"/>
      <c r="AP287" s="16"/>
      <c r="AQ287" s="61"/>
    </row>
    <row r="288" ht="12.75" customHeight="1">
      <c r="A288" s="15"/>
      <c r="B288" s="162"/>
      <c r="C288" s="162"/>
      <c r="D288" s="162"/>
      <c r="E288" s="162"/>
      <c r="F288" s="162"/>
      <c r="G288" s="162"/>
      <c r="H288" s="151"/>
      <c r="I288" s="151"/>
      <c r="J288" s="151"/>
      <c r="K288" s="151"/>
      <c r="L288" s="163"/>
      <c r="M288" s="164"/>
      <c r="N288" s="164"/>
      <c r="O288" s="165"/>
      <c r="P288" s="48"/>
      <c r="Q288" s="107"/>
      <c r="R288" s="107"/>
      <c r="S288" s="107"/>
      <c r="T288" s="107"/>
      <c r="U288" s="16"/>
      <c r="V288" s="16"/>
      <c r="W288" s="16"/>
      <c r="X288" s="16"/>
      <c r="Y288" s="16"/>
      <c r="Z288" s="16"/>
      <c r="AA288" s="16"/>
      <c r="AB288" s="16"/>
      <c r="AC288" s="16"/>
      <c r="AD288" s="55"/>
      <c r="AE288" s="56"/>
      <c r="AF288" s="57"/>
      <c r="AG288" s="57"/>
      <c r="AH288" s="57"/>
      <c r="AI288" s="57"/>
      <c r="AJ288" s="58"/>
      <c r="AK288" s="58"/>
      <c r="AL288" s="58"/>
      <c r="AM288" s="59"/>
      <c r="AN288" s="60"/>
      <c r="AO288" s="16"/>
      <c r="AP288" s="16"/>
      <c r="AQ288" s="61"/>
    </row>
    <row r="289" ht="12.75" customHeight="1">
      <c r="A289" s="15"/>
      <c r="B289" s="162"/>
      <c r="C289" s="162"/>
      <c r="D289" s="162"/>
      <c r="E289" s="162"/>
      <c r="F289" s="162"/>
      <c r="G289" s="162"/>
      <c r="H289" s="151"/>
      <c r="I289" s="151"/>
      <c r="J289" s="151"/>
      <c r="K289" s="151"/>
      <c r="L289" s="163"/>
      <c r="M289" s="164"/>
      <c r="N289" s="164"/>
      <c r="O289" s="165"/>
      <c r="P289" s="48"/>
      <c r="Q289" s="107"/>
      <c r="R289" s="107"/>
      <c r="S289" s="107"/>
      <c r="T289" s="107"/>
      <c r="U289" s="16"/>
      <c r="V289" s="16"/>
      <c r="W289" s="16"/>
      <c r="X289" s="16"/>
      <c r="Y289" s="16"/>
      <c r="Z289" s="16"/>
      <c r="AA289" s="16"/>
      <c r="AB289" s="16"/>
      <c r="AC289" s="16"/>
      <c r="AD289" s="55"/>
      <c r="AE289" s="56"/>
      <c r="AF289" s="57"/>
      <c r="AG289" s="57"/>
      <c r="AH289" s="57"/>
      <c r="AI289" s="57"/>
      <c r="AJ289" s="58"/>
      <c r="AK289" s="58"/>
      <c r="AL289" s="58"/>
      <c r="AM289" s="59"/>
      <c r="AN289" s="60"/>
      <c r="AO289" s="16"/>
      <c r="AP289" s="16"/>
      <c r="AQ289" s="61"/>
    </row>
    <row r="290" ht="12.75" customHeight="1">
      <c r="A290" s="15"/>
      <c r="B290" s="162"/>
      <c r="C290" s="162"/>
      <c r="D290" s="162"/>
      <c r="E290" s="162"/>
      <c r="F290" s="162"/>
      <c r="G290" s="162"/>
      <c r="H290" s="151"/>
      <c r="I290" s="151"/>
      <c r="J290" s="151"/>
      <c r="K290" s="151"/>
      <c r="L290" s="163"/>
      <c r="M290" s="164"/>
      <c r="N290" s="164"/>
      <c r="O290" s="165"/>
      <c r="P290" s="48"/>
      <c r="Q290" s="107"/>
      <c r="R290" s="107"/>
      <c r="S290" s="107"/>
      <c r="T290" s="107"/>
      <c r="U290" s="16"/>
      <c r="V290" s="16"/>
      <c r="W290" s="16"/>
      <c r="X290" s="16"/>
      <c r="Y290" s="16"/>
      <c r="Z290" s="16"/>
      <c r="AA290" s="16"/>
      <c r="AB290" s="16"/>
      <c r="AC290" s="16"/>
      <c r="AD290" s="55"/>
      <c r="AE290" s="56"/>
      <c r="AF290" s="57"/>
      <c r="AG290" s="57"/>
      <c r="AH290" s="57"/>
      <c r="AI290" s="57"/>
      <c r="AJ290" s="58"/>
      <c r="AK290" s="58"/>
      <c r="AL290" s="58"/>
      <c r="AM290" s="59"/>
      <c r="AN290" s="60"/>
      <c r="AO290" s="16"/>
      <c r="AP290" s="16"/>
      <c r="AQ290" s="61"/>
    </row>
    <row r="291" ht="12.75" customHeight="1">
      <c r="A291" s="15"/>
      <c r="B291" s="162"/>
      <c r="C291" s="162"/>
      <c r="D291" s="162"/>
      <c r="E291" s="162"/>
      <c r="F291" s="162"/>
      <c r="G291" s="162"/>
      <c r="H291" s="151"/>
      <c r="I291" s="151"/>
      <c r="J291" s="151"/>
      <c r="K291" s="151"/>
      <c r="L291" s="163"/>
      <c r="M291" s="164"/>
      <c r="N291" s="164"/>
      <c r="O291" s="165"/>
      <c r="P291" s="48"/>
      <c r="Q291" s="107"/>
      <c r="R291" s="107"/>
      <c r="S291" s="107"/>
      <c r="T291" s="107"/>
      <c r="U291" s="16"/>
      <c r="V291" s="16"/>
      <c r="W291" s="16"/>
      <c r="X291" s="16"/>
      <c r="Y291" s="16"/>
      <c r="Z291" s="16"/>
      <c r="AA291" s="16"/>
      <c r="AB291" s="16"/>
      <c r="AC291" s="16"/>
      <c r="AD291" s="55"/>
      <c r="AE291" s="56"/>
      <c r="AF291" s="57"/>
      <c r="AG291" s="57"/>
      <c r="AH291" s="57"/>
      <c r="AI291" s="57"/>
      <c r="AJ291" s="58"/>
      <c r="AK291" s="58"/>
      <c r="AL291" s="58"/>
      <c r="AM291" s="59"/>
      <c r="AN291" s="60"/>
      <c r="AO291" s="16"/>
      <c r="AP291" s="16"/>
      <c r="AQ291" s="61"/>
    </row>
    <row r="292" ht="12.75" customHeight="1">
      <c r="A292" s="15"/>
      <c r="B292" s="162"/>
      <c r="C292" s="162"/>
      <c r="D292" s="162"/>
      <c r="E292" s="162"/>
      <c r="F292" s="162"/>
      <c r="G292" s="162"/>
      <c r="H292" s="151"/>
      <c r="I292" s="151"/>
      <c r="J292" s="151"/>
      <c r="K292" s="151"/>
      <c r="L292" s="163"/>
      <c r="M292" s="164"/>
      <c r="N292" s="164"/>
      <c r="O292" s="165"/>
      <c r="P292" s="48"/>
      <c r="Q292" s="107"/>
      <c r="R292" s="107"/>
      <c r="S292" s="107"/>
      <c r="T292" s="107"/>
      <c r="U292" s="16"/>
      <c r="V292" s="16"/>
      <c r="W292" s="16"/>
      <c r="X292" s="16"/>
      <c r="Y292" s="16"/>
      <c r="Z292" s="16"/>
      <c r="AA292" s="16"/>
      <c r="AB292" s="16"/>
      <c r="AC292" s="16"/>
      <c r="AD292" s="55"/>
      <c r="AE292" s="56"/>
      <c r="AF292" s="57"/>
      <c r="AG292" s="57"/>
      <c r="AH292" s="57"/>
      <c r="AI292" s="57"/>
      <c r="AJ292" s="58"/>
      <c r="AK292" s="58"/>
      <c r="AL292" s="58"/>
      <c r="AM292" s="59"/>
      <c r="AN292" s="60"/>
      <c r="AO292" s="16"/>
      <c r="AP292" s="16"/>
      <c r="AQ292" s="61"/>
    </row>
    <row r="293" ht="12.75" customHeight="1">
      <c r="A293" s="15"/>
      <c r="B293" s="162"/>
      <c r="C293" s="162"/>
      <c r="D293" s="162"/>
      <c r="E293" s="162"/>
      <c r="F293" s="162"/>
      <c r="G293" s="162"/>
      <c r="H293" s="151"/>
      <c r="I293" s="151"/>
      <c r="J293" s="151"/>
      <c r="K293" s="151"/>
      <c r="L293" s="163"/>
      <c r="M293" s="164"/>
      <c r="N293" s="164"/>
      <c r="O293" s="165"/>
      <c r="P293" s="48"/>
      <c r="Q293" s="107"/>
      <c r="R293" s="107"/>
      <c r="S293" s="107"/>
      <c r="T293" s="107"/>
      <c r="U293" s="16"/>
      <c r="V293" s="16"/>
      <c r="W293" s="16"/>
      <c r="X293" s="16"/>
      <c r="Y293" s="16"/>
      <c r="Z293" s="16"/>
      <c r="AA293" s="16"/>
      <c r="AB293" s="16"/>
      <c r="AC293" s="16"/>
      <c r="AD293" s="55"/>
      <c r="AE293" s="56"/>
      <c r="AF293" s="57"/>
      <c r="AG293" s="57"/>
      <c r="AH293" s="57"/>
      <c r="AI293" s="57"/>
      <c r="AJ293" s="58"/>
      <c r="AK293" s="58"/>
      <c r="AL293" s="58"/>
      <c r="AM293" s="59"/>
      <c r="AN293" s="60"/>
      <c r="AO293" s="16"/>
      <c r="AP293" s="16"/>
      <c r="AQ293" s="61"/>
    </row>
    <row r="294" ht="12.75" customHeight="1">
      <c r="A294" s="15"/>
      <c r="B294" s="162"/>
      <c r="C294" s="162"/>
      <c r="D294" s="162"/>
      <c r="E294" s="162"/>
      <c r="F294" s="162"/>
      <c r="G294" s="162"/>
      <c r="H294" s="151"/>
      <c r="I294" s="151"/>
      <c r="J294" s="151"/>
      <c r="K294" s="151"/>
      <c r="L294" s="163"/>
      <c r="M294" s="164"/>
      <c r="N294" s="164"/>
      <c r="O294" s="165"/>
      <c r="P294" s="48"/>
      <c r="Q294" s="107"/>
      <c r="R294" s="107"/>
      <c r="S294" s="107"/>
      <c r="T294" s="107"/>
      <c r="U294" s="16"/>
      <c r="V294" s="16"/>
      <c r="W294" s="16"/>
      <c r="X294" s="16"/>
      <c r="Y294" s="16"/>
      <c r="Z294" s="16"/>
      <c r="AA294" s="16"/>
      <c r="AB294" s="16"/>
      <c r="AC294" s="16"/>
      <c r="AD294" s="55"/>
      <c r="AE294" s="56"/>
      <c r="AF294" s="57"/>
      <c r="AG294" s="57"/>
      <c r="AH294" s="57"/>
      <c r="AI294" s="57"/>
      <c r="AJ294" s="58"/>
      <c r="AK294" s="58"/>
      <c r="AL294" s="58"/>
      <c r="AM294" s="59"/>
      <c r="AN294" s="60"/>
      <c r="AO294" s="16"/>
      <c r="AP294" s="16"/>
      <c r="AQ294" s="61"/>
    </row>
    <row r="295" ht="12.75" customHeight="1">
      <c r="A295" s="15"/>
      <c r="B295" s="162"/>
      <c r="C295" s="162"/>
      <c r="D295" s="162"/>
      <c r="E295" s="162"/>
      <c r="F295" s="162"/>
      <c r="G295" s="162"/>
      <c r="H295" s="151"/>
      <c r="I295" s="151"/>
      <c r="J295" s="151"/>
      <c r="K295" s="151"/>
      <c r="L295" s="163"/>
      <c r="M295" s="164"/>
      <c r="N295" s="164"/>
      <c r="O295" s="165"/>
      <c r="P295" s="48"/>
      <c r="Q295" s="107"/>
      <c r="R295" s="107"/>
      <c r="S295" s="107"/>
      <c r="T295" s="107"/>
      <c r="U295" s="16"/>
      <c r="V295" s="16"/>
      <c r="W295" s="16"/>
      <c r="X295" s="16"/>
      <c r="Y295" s="16"/>
      <c r="Z295" s="16"/>
      <c r="AA295" s="16"/>
      <c r="AB295" s="16"/>
      <c r="AC295" s="16"/>
      <c r="AD295" s="55"/>
      <c r="AE295" s="56"/>
      <c r="AF295" s="57"/>
      <c r="AG295" s="57"/>
      <c r="AH295" s="57"/>
      <c r="AI295" s="57"/>
      <c r="AJ295" s="58"/>
      <c r="AK295" s="58"/>
      <c r="AL295" s="58"/>
      <c r="AM295" s="59"/>
      <c r="AN295" s="60"/>
      <c r="AO295" s="16"/>
      <c r="AP295" s="16"/>
      <c r="AQ295" s="61"/>
    </row>
    <row r="296" ht="12.75" customHeight="1">
      <c r="A296" s="15"/>
      <c r="B296" s="162"/>
      <c r="C296" s="162"/>
      <c r="D296" s="162"/>
      <c r="E296" s="162"/>
      <c r="F296" s="162"/>
      <c r="G296" s="162"/>
      <c r="H296" s="151"/>
      <c r="I296" s="151"/>
      <c r="J296" s="151"/>
      <c r="K296" s="151"/>
      <c r="L296" s="163"/>
      <c r="M296" s="164"/>
      <c r="N296" s="164"/>
      <c r="O296" s="165"/>
      <c r="P296" s="48"/>
      <c r="Q296" s="107"/>
      <c r="R296" s="107"/>
      <c r="S296" s="107"/>
      <c r="T296" s="107"/>
      <c r="U296" s="16"/>
      <c r="V296" s="16"/>
      <c r="W296" s="16"/>
      <c r="X296" s="16"/>
      <c r="Y296" s="16"/>
      <c r="Z296" s="16"/>
      <c r="AA296" s="16"/>
      <c r="AB296" s="16"/>
      <c r="AC296" s="16"/>
      <c r="AD296" s="55"/>
      <c r="AE296" s="56"/>
      <c r="AF296" s="57"/>
      <c r="AG296" s="57"/>
      <c r="AH296" s="57"/>
      <c r="AI296" s="57"/>
      <c r="AJ296" s="58"/>
      <c r="AK296" s="58"/>
      <c r="AL296" s="58"/>
      <c r="AM296" s="59"/>
      <c r="AN296" s="60"/>
      <c r="AO296" s="16"/>
      <c r="AP296" s="16"/>
      <c r="AQ296" s="61"/>
    </row>
    <row r="297" ht="12.75" customHeight="1">
      <c r="A297" s="15"/>
      <c r="B297" s="162"/>
      <c r="C297" s="162"/>
      <c r="D297" s="162"/>
      <c r="E297" s="162"/>
      <c r="F297" s="162"/>
      <c r="G297" s="162"/>
      <c r="H297" s="151"/>
      <c r="I297" s="151"/>
      <c r="J297" s="151"/>
      <c r="K297" s="151"/>
      <c r="L297" s="163"/>
      <c r="M297" s="164"/>
      <c r="N297" s="164"/>
      <c r="O297" s="165"/>
      <c r="P297" s="48"/>
      <c r="Q297" s="107"/>
      <c r="R297" s="107"/>
      <c r="S297" s="107"/>
      <c r="T297" s="107"/>
      <c r="U297" s="16"/>
      <c r="V297" s="16"/>
      <c r="W297" s="16"/>
      <c r="X297" s="16"/>
      <c r="Y297" s="16"/>
      <c r="Z297" s="16"/>
      <c r="AA297" s="16"/>
      <c r="AB297" s="16"/>
      <c r="AC297" s="16"/>
      <c r="AD297" s="55"/>
      <c r="AE297" s="56"/>
      <c r="AF297" s="57"/>
      <c r="AG297" s="57"/>
      <c r="AH297" s="57"/>
      <c r="AI297" s="57"/>
      <c r="AJ297" s="58"/>
      <c r="AK297" s="58"/>
      <c r="AL297" s="58"/>
      <c r="AM297" s="59"/>
      <c r="AN297" s="60"/>
      <c r="AO297" s="16"/>
      <c r="AP297" s="16"/>
      <c r="AQ297" s="61"/>
    </row>
    <row r="298" ht="12.75" customHeight="1">
      <c r="A298" s="15"/>
      <c r="B298" s="162"/>
      <c r="C298" s="162"/>
      <c r="D298" s="162"/>
      <c r="E298" s="162"/>
      <c r="F298" s="162"/>
      <c r="G298" s="162"/>
      <c r="H298" s="151"/>
      <c r="I298" s="151"/>
      <c r="J298" s="151"/>
      <c r="K298" s="151"/>
      <c r="L298" s="163"/>
      <c r="M298" s="164"/>
      <c r="N298" s="164"/>
      <c r="O298" s="165"/>
      <c r="P298" s="48"/>
      <c r="Q298" s="107"/>
      <c r="R298" s="107"/>
      <c r="S298" s="107"/>
      <c r="T298" s="107"/>
      <c r="U298" s="16"/>
      <c r="V298" s="16"/>
      <c r="W298" s="16"/>
      <c r="X298" s="16"/>
      <c r="Y298" s="16"/>
      <c r="Z298" s="16"/>
      <c r="AA298" s="16"/>
      <c r="AB298" s="16"/>
      <c r="AC298" s="16"/>
      <c r="AD298" s="55"/>
      <c r="AE298" s="56"/>
      <c r="AF298" s="57"/>
      <c r="AG298" s="57"/>
      <c r="AH298" s="57"/>
      <c r="AI298" s="57"/>
      <c r="AJ298" s="58"/>
      <c r="AK298" s="58"/>
      <c r="AL298" s="58"/>
      <c r="AM298" s="59"/>
      <c r="AN298" s="60"/>
      <c r="AO298" s="16"/>
      <c r="AP298" s="16"/>
      <c r="AQ298" s="61"/>
    </row>
    <row r="299" ht="12.75" customHeight="1">
      <c r="A299" s="15"/>
      <c r="B299" s="162"/>
      <c r="C299" s="162"/>
      <c r="D299" s="162"/>
      <c r="E299" s="162"/>
      <c r="F299" s="162"/>
      <c r="G299" s="162"/>
      <c r="H299" s="151"/>
      <c r="I299" s="151"/>
      <c r="J299" s="151"/>
      <c r="K299" s="151"/>
      <c r="L299" s="163"/>
      <c r="M299" s="164"/>
      <c r="N299" s="164"/>
      <c r="O299" s="165"/>
      <c r="P299" s="48"/>
      <c r="Q299" s="107"/>
      <c r="R299" s="107"/>
      <c r="S299" s="107"/>
      <c r="T299" s="107"/>
      <c r="U299" s="16"/>
      <c r="V299" s="16"/>
      <c r="W299" s="16"/>
      <c r="X299" s="16"/>
      <c r="Y299" s="16"/>
      <c r="Z299" s="16"/>
      <c r="AA299" s="16"/>
      <c r="AB299" s="16"/>
      <c r="AC299" s="16"/>
      <c r="AD299" s="55"/>
      <c r="AE299" s="56"/>
      <c r="AF299" s="57"/>
      <c r="AG299" s="57"/>
      <c r="AH299" s="57"/>
      <c r="AI299" s="57"/>
      <c r="AJ299" s="58"/>
      <c r="AK299" s="58"/>
      <c r="AL299" s="58"/>
      <c r="AM299" s="59"/>
      <c r="AN299" s="60"/>
      <c r="AO299" s="16"/>
      <c r="AP299" s="16"/>
      <c r="AQ299" s="61"/>
    </row>
    <row r="300" ht="12.75" customHeight="1">
      <c r="A300" s="15"/>
      <c r="B300" s="162"/>
      <c r="C300" s="162"/>
      <c r="D300" s="162"/>
      <c r="E300" s="162"/>
      <c r="F300" s="162"/>
      <c r="G300" s="162"/>
      <c r="H300" s="151"/>
      <c r="I300" s="151"/>
      <c r="J300" s="151"/>
      <c r="K300" s="151"/>
      <c r="L300" s="163"/>
      <c r="M300" s="164"/>
      <c r="N300" s="164"/>
      <c r="O300" s="165"/>
      <c r="P300" s="48"/>
      <c r="Q300" s="107"/>
      <c r="R300" s="107"/>
      <c r="S300" s="107"/>
      <c r="T300" s="107"/>
      <c r="U300" s="16"/>
      <c r="V300" s="16"/>
      <c r="W300" s="16"/>
      <c r="X300" s="16"/>
      <c r="Y300" s="16"/>
      <c r="Z300" s="16"/>
      <c r="AA300" s="16"/>
      <c r="AB300" s="16"/>
      <c r="AC300" s="16"/>
      <c r="AD300" s="55"/>
      <c r="AE300" s="56"/>
      <c r="AF300" s="57"/>
      <c r="AG300" s="57"/>
      <c r="AH300" s="57"/>
      <c r="AI300" s="57"/>
      <c r="AJ300" s="58"/>
      <c r="AK300" s="58"/>
      <c r="AL300" s="58"/>
      <c r="AM300" s="59"/>
      <c r="AN300" s="60"/>
      <c r="AO300" s="16"/>
      <c r="AP300" s="16"/>
      <c r="AQ300" s="61"/>
    </row>
    <row r="301" ht="12.75" customHeight="1">
      <c r="A301" s="15"/>
      <c r="B301" s="162"/>
      <c r="C301" s="162"/>
      <c r="D301" s="162"/>
      <c r="E301" s="162"/>
      <c r="F301" s="162"/>
      <c r="G301" s="162"/>
      <c r="H301" s="151"/>
      <c r="I301" s="151"/>
      <c r="J301" s="151"/>
      <c r="K301" s="151"/>
      <c r="L301" s="163"/>
      <c r="M301" s="164"/>
      <c r="N301" s="164"/>
      <c r="O301" s="165"/>
      <c r="P301" s="48"/>
      <c r="Q301" s="107"/>
      <c r="R301" s="107"/>
      <c r="S301" s="107"/>
      <c r="T301" s="107"/>
      <c r="U301" s="16"/>
      <c r="V301" s="16"/>
      <c r="W301" s="16"/>
      <c r="X301" s="16"/>
      <c r="Y301" s="16"/>
      <c r="Z301" s="16"/>
      <c r="AA301" s="16"/>
      <c r="AB301" s="16"/>
      <c r="AC301" s="16"/>
      <c r="AD301" s="55"/>
      <c r="AE301" s="56"/>
      <c r="AF301" s="57"/>
      <c r="AG301" s="57"/>
      <c r="AH301" s="57"/>
      <c r="AI301" s="57"/>
      <c r="AJ301" s="58"/>
      <c r="AK301" s="58"/>
      <c r="AL301" s="58"/>
      <c r="AM301" s="59"/>
      <c r="AN301" s="60"/>
      <c r="AO301" s="16"/>
      <c r="AP301" s="16"/>
      <c r="AQ301" s="61"/>
    </row>
    <row r="302" ht="12.75" customHeight="1">
      <c r="A302" s="15"/>
      <c r="B302" s="162"/>
      <c r="C302" s="162"/>
      <c r="D302" s="162"/>
      <c r="E302" s="162"/>
      <c r="F302" s="162"/>
      <c r="G302" s="162"/>
      <c r="H302" s="151"/>
      <c r="I302" s="151"/>
      <c r="J302" s="151"/>
      <c r="K302" s="151"/>
      <c r="L302" s="163"/>
      <c r="M302" s="164"/>
      <c r="N302" s="164"/>
      <c r="O302" s="165"/>
      <c r="P302" s="48"/>
      <c r="Q302" s="107"/>
      <c r="R302" s="107"/>
      <c r="S302" s="107"/>
      <c r="T302" s="107"/>
      <c r="U302" s="16"/>
      <c r="V302" s="16"/>
      <c r="W302" s="16"/>
      <c r="X302" s="16"/>
      <c r="Y302" s="16"/>
      <c r="Z302" s="16"/>
      <c r="AA302" s="16"/>
      <c r="AB302" s="16"/>
      <c r="AC302" s="16"/>
      <c r="AD302" s="55"/>
      <c r="AE302" s="56"/>
      <c r="AF302" s="57"/>
      <c r="AG302" s="57"/>
      <c r="AH302" s="57"/>
      <c r="AI302" s="57"/>
      <c r="AJ302" s="58"/>
      <c r="AK302" s="58"/>
      <c r="AL302" s="58"/>
      <c r="AM302" s="59"/>
      <c r="AN302" s="60"/>
      <c r="AO302" s="16"/>
      <c r="AP302" s="16"/>
      <c r="AQ302" s="61"/>
    </row>
    <row r="303" ht="12.75" customHeight="1">
      <c r="A303" s="15"/>
      <c r="B303" s="162"/>
      <c r="C303" s="162"/>
      <c r="D303" s="162"/>
      <c r="E303" s="162"/>
      <c r="F303" s="162"/>
      <c r="G303" s="162"/>
      <c r="H303" s="151"/>
      <c r="I303" s="151"/>
      <c r="J303" s="151"/>
      <c r="K303" s="151"/>
      <c r="L303" s="163"/>
      <c r="M303" s="164"/>
      <c r="N303" s="164"/>
      <c r="O303" s="165"/>
      <c r="P303" s="48"/>
      <c r="Q303" s="107"/>
      <c r="R303" s="107"/>
      <c r="S303" s="107"/>
      <c r="T303" s="107"/>
      <c r="U303" s="16"/>
      <c r="V303" s="16"/>
      <c r="W303" s="16"/>
      <c r="X303" s="16"/>
      <c r="Y303" s="16"/>
      <c r="Z303" s="16"/>
      <c r="AA303" s="16"/>
      <c r="AB303" s="16"/>
      <c r="AC303" s="16"/>
      <c r="AD303" s="55"/>
      <c r="AE303" s="56"/>
      <c r="AF303" s="57"/>
      <c r="AG303" s="57"/>
      <c r="AH303" s="57"/>
      <c r="AI303" s="57"/>
      <c r="AJ303" s="58"/>
      <c r="AK303" s="58"/>
      <c r="AL303" s="58"/>
      <c r="AM303" s="59"/>
      <c r="AN303" s="60"/>
      <c r="AO303" s="16"/>
      <c r="AP303" s="16"/>
      <c r="AQ303" s="61"/>
    </row>
    <row r="304" ht="12.75" customHeight="1">
      <c r="A304" s="15"/>
      <c r="B304" s="162"/>
      <c r="C304" s="162"/>
      <c r="D304" s="162"/>
      <c r="E304" s="162"/>
      <c r="F304" s="162"/>
      <c r="G304" s="162"/>
      <c r="H304" s="151"/>
      <c r="I304" s="151"/>
      <c r="J304" s="151"/>
      <c r="K304" s="151"/>
      <c r="L304" s="163"/>
      <c r="M304" s="164"/>
      <c r="N304" s="164"/>
      <c r="O304" s="165"/>
      <c r="P304" s="48"/>
      <c r="Q304" s="107"/>
      <c r="R304" s="107"/>
      <c r="S304" s="107"/>
      <c r="T304" s="107"/>
      <c r="U304" s="16"/>
      <c r="V304" s="16"/>
      <c r="W304" s="16"/>
      <c r="X304" s="16"/>
      <c r="Y304" s="16"/>
      <c r="Z304" s="16"/>
      <c r="AA304" s="16"/>
      <c r="AB304" s="16"/>
      <c r="AC304" s="16"/>
      <c r="AD304" s="55"/>
      <c r="AE304" s="56"/>
      <c r="AF304" s="57"/>
      <c r="AG304" s="57"/>
      <c r="AH304" s="57"/>
      <c r="AI304" s="57"/>
      <c r="AJ304" s="58"/>
      <c r="AK304" s="58"/>
      <c r="AL304" s="58"/>
      <c r="AM304" s="59"/>
      <c r="AN304" s="60"/>
      <c r="AO304" s="16"/>
      <c r="AP304" s="16"/>
      <c r="AQ304" s="61"/>
    </row>
    <row r="305" ht="12.75" customHeight="1">
      <c r="A305" s="15"/>
      <c r="B305" s="162"/>
      <c r="C305" s="162"/>
      <c r="D305" s="162"/>
      <c r="E305" s="162"/>
      <c r="F305" s="162"/>
      <c r="G305" s="162"/>
      <c r="H305" s="151"/>
      <c r="I305" s="151"/>
      <c r="J305" s="151"/>
      <c r="K305" s="151"/>
      <c r="L305" s="163"/>
      <c r="M305" s="164"/>
      <c r="N305" s="164"/>
      <c r="O305" s="165"/>
      <c r="P305" s="48"/>
      <c r="Q305" s="107"/>
      <c r="R305" s="107"/>
      <c r="S305" s="107"/>
      <c r="T305" s="107"/>
      <c r="U305" s="16"/>
      <c r="V305" s="16"/>
      <c r="W305" s="16"/>
      <c r="X305" s="16"/>
      <c r="Y305" s="16"/>
      <c r="Z305" s="16"/>
      <c r="AA305" s="16"/>
      <c r="AB305" s="16"/>
      <c r="AC305" s="16"/>
      <c r="AD305" s="55"/>
      <c r="AE305" s="56"/>
      <c r="AF305" s="57"/>
      <c r="AG305" s="57"/>
      <c r="AH305" s="57"/>
      <c r="AI305" s="57"/>
      <c r="AJ305" s="58"/>
      <c r="AK305" s="58"/>
      <c r="AL305" s="58"/>
      <c r="AM305" s="59"/>
      <c r="AN305" s="60"/>
      <c r="AO305" s="16"/>
      <c r="AP305" s="16"/>
      <c r="AQ305" s="61"/>
    </row>
    <row r="306" ht="12.75" customHeight="1">
      <c r="A306" s="15"/>
      <c r="B306" s="162"/>
      <c r="C306" s="162"/>
      <c r="D306" s="162"/>
      <c r="E306" s="162"/>
      <c r="F306" s="162"/>
      <c r="G306" s="162"/>
      <c r="H306" s="151"/>
      <c r="I306" s="151"/>
      <c r="J306" s="151"/>
      <c r="K306" s="151"/>
      <c r="L306" s="163"/>
      <c r="M306" s="164"/>
      <c r="N306" s="164"/>
      <c r="O306" s="165"/>
      <c r="P306" s="48"/>
      <c r="Q306" s="107"/>
      <c r="R306" s="107"/>
      <c r="S306" s="107"/>
      <c r="T306" s="107"/>
      <c r="U306" s="16"/>
      <c r="V306" s="16"/>
      <c r="W306" s="16"/>
      <c r="X306" s="16"/>
      <c r="Y306" s="16"/>
      <c r="Z306" s="16"/>
      <c r="AA306" s="16"/>
      <c r="AB306" s="16"/>
      <c r="AC306" s="16"/>
      <c r="AD306" s="55"/>
      <c r="AE306" s="56"/>
      <c r="AF306" s="57"/>
      <c r="AG306" s="57"/>
      <c r="AH306" s="57"/>
      <c r="AI306" s="57"/>
      <c r="AJ306" s="58"/>
      <c r="AK306" s="58"/>
      <c r="AL306" s="58"/>
      <c r="AM306" s="59"/>
      <c r="AN306" s="60"/>
      <c r="AO306" s="16"/>
      <c r="AP306" s="16"/>
      <c r="AQ306" s="61"/>
    </row>
    <row r="307" ht="12.75" customHeight="1">
      <c r="A307" s="15"/>
      <c r="B307" s="162"/>
      <c r="C307" s="162"/>
      <c r="D307" s="162"/>
      <c r="E307" s="162"/>
      <c r="F307" s="162"/>
      <c r="G307" s="162"/>
      <c r="H307" s="151"/>
      <c r="I307" s="151"/>
      <c r="J307" s="151"/>
      <c r="K307" s="151"/>
      <c r="L307" s="163"/>
      <c r="M307" s="164"/>
      <c r="N307" s="164"/>
      <c r="O307" s="165"/>
      <c r="P307" s="48"/>
      <c r="Q307" s="107"/>
      <c r="R307" s="107"/>
      <c r="S307" s="107"/>
      <c r="T307" s="107"/>
      <c r="U307" s="16"/>
      <c r="V307" s="16"/>
      <c r="W307" s="16"/>
      <c r="X307" s="16"/>
      <c r="Y307" s="16"/>
      <c r="Z307" s="16"/>
      <c r="AA307" s="16"/>
      <c r="AB307" s="16"/>
      <c r="AC307" s="16"/>
      <c r="AD307" s="55"/>
      <c r="AE307" s="56"/>
      <c r="AF307" s="57"/>
      <c r="AG307" s="57"/>
      <c r="AH307" s="57"/>
      <c r="AI307" s="57"/>
      <c r="AJ307" s="58"/>
      <c r="AK307" s="58"/>
      <c r="AL307" s="58"/>
      <c r="AM307" s="59"/>
      <c r="AN307" s="60"/>
      <c r="AO307" s="16"/>
      <c r="AP307" s="16"/>
      <c r="AQ307" s="61"/>
    </row>
    <row r="308" ht="12.75" customHeight="1">
      <c r="A308" s="15"/>
      <c r="B308" s="162"/>
      <c r="C308" s="162"/>
      <c r="D308" s="162"/>
      <c r="E308" s="162"/>
      <c r="F308" s="162"/>
      <c r="G308" s="162"/>
      <c r="H308" s="151"/>
      <c r="I308" s="151"/>
      <c r="J308" s="151"/>
      <c r="K308" s="151"/>
      <c r="L308" s="163"/>
      <c r="M308" s="164"/>
      <c r="N308" s="164"/>
      <c r="O308" s="165"/>
      <c r="P308" s="48"/>
      <c r="Q308" s="107"/>
      <c r="R308" s="107"/>
      <c r="S308" s="107"/>
      <c r="T308" s="107"/>
      <c r="U308" s="16"/>
      <c r="V308" s="16"/>
      <c r="W308" s="16"/>
      <c r="X308" s="16"/>
      <c r="Y308" s="16"/>
      <c r="Z308" s="16"/>
      <c r="AA308" s="16"/>
      <c r="AB308" s="16"/>
      <c r="AC308" s="16"/>
      <c r="AD308" s="55"/>
      <c r="AE308" s="56"/>
      <c r="AF308" s="57"/>
      <c r="AG308" s="57"/>
      <c r="AH308" s="57"/>
      <c r="AI308" s="57"/>
      <c r="AJ308" s="58"/>
      <c r="AK308" s="58"/>
      <c r="AL308" s="58"/>
      <c r="AM308" s="59"/>
      <c r="AN308" s="60"/>
      <c r="AO308" s="16"/>
      <c r="AP308" s="16"/>
      <c r="AQ308" s="61"/>
    </row>
    <row r="309" ht="12.75" customHeight="1">
      <c r="A309" s="15"/>
      <c r="B309" s="162"/>
      <c r="C309" s="162"/>
      <c r="D309" s="162"/>
      <c r="E309" s="162"/>
      <c r="F309" s="162"/>
      <c r="G309" s="162"/>
      <c r="H309" s="151"/>
      <c r="I309" s="151"/>
      <c r="J309" s="151"/>
      <c r="K309" s="151"/>
      <c r="L309" s="163"/>
      <c r="M309" s="164"/>
      <c r="N309" s="164"/>
      <c r="O309" s="165"/>
      <c r="P309" s="48"/>
      <c r="Q309" s="107"/>
      <c r="R309" s="107"/>
      <c r="S309" s="107"/>
      <c r="T309" s="107"/>
      <c r="U309" s="16"/>
      <c r="V309" s="16"/>
      <c r="W309" s="16"/>
      <c r="X309" s="16"/>
      <c r="Y309" s="16"/>
      <c r="Z309" s="16"/>
      <c r="AA309" s="16"/>
      <c r="AB309" s="16"/>
      <c r="AC309" s="16"/>
      <c r="AD309" s="55"/>
      <c r="AE309" s="56"/>
      <c r="AF309" s="57"/>
      <c r="AG309" s="57"/>
      <c r="AH309" s="57"/>
      <c r="AI309" s="57"/>
      <c r="AJ309" s="58"/>
      <c r="AK309" s="58"/>
      <c r="AL309" s="58"/>
      <c r="AM309" s="59"/>
      <c r="AN309" s="60"/>
      <c r="AO309" s="16"/>
      <c r="AP309" s="16"/>
      <c r="AQ309" s="61"/>
    </row>
    <row r="310" ht="12.75" customHeight="1">
      <c r="A310" s="15"/>
      <c r="B310" s="162"/>
      <c r="C310" s="162"/>
      <c r="D310" s="162"/>
      <c r="E310" s="162"/>
      <c r="F310" s="162"/>
      <c r="G310" s="162"/>
      <c r="H310" s="151"/>
      <c r="I310" s="151"/>
      <c r="J310" s="151"/>
      <c r="K310" s="151"/>
      <c r="L310" s="163"/>
      <c r="M310" s="164"/>
      <c r="N310" s="164"/>
      <c r="O310" s="165"/>
      <c r="P310" s="48"/>
      <c r="Q310" s="107"/>
      <c r="R310" s="107"/>
      <c r="S310" s="107"/>
      <c r="T310" s="107"/>
      <c r="U310" s="16"/>
      <c r="V310" s="16"/>
      <c r="W310" s="16"/>
      <c r="X310" s="16"/>
      <c r="Y310" s="16"/>
      <c r="Z310" s="16"/>
      <c r="AA310" s="16"/>
      <c r="AB310" s="16"/>
      <c r="AC310" s="16"/>
      <c r="AD310" s="55"/>
      <c r="AE310" s="56"/>
      <c r="AF310" s="57"/>
      <c r="AG310" s="57"/>
      <c r="AH310" s="57"/>
      <c r="AI310" s="57"/>
      <c r="AJ310" s="58"/>
      <c r="AK310" s="58"/>
      <c r="AL310" s="58"/>
      <c r="AM310" s="59"/>
      <c r="AN310" s="60"/>
      <c r="AO310" s="16"/>
      <c r="AP310" s="16"/>
      <c r="AQ310" s="61"/>
    </row>
    <row r="311" ht="12.75" customHeight="1">
      <c r="A311" s="15"/>
      <c r="B311" s="162"/>
      <c r="C311" s="162"/>
      <c r="D311" s="162"/>
      <c r="E311" s="162"/>
      <c r="F311" s="162"/>
      <c r="G311" s="162"/>
      <c r="H311" s="151"/>
      <c r="I311" s="151"/>
      <c r="J311" s="151"/>
      <c r="K311" s="151"/>
      <c r="L311" s="163"/>
      <c r="M311" s="164"/>
      <c r="N311" s="164"/>
      <c r="O311" s="165"/>
      <c r="P311" s="48"/>
      <c r="Q311" s="107"/>
      <c r="R311" s="107"/>
      <c r="S311" s="107"/>
      <c r="T311" s="107"/>
      <c r="U311" s="16"/>
      <c r="V311" s="16"/>
      <c r="W311" s="16"/>
      <c r="X311" s="16"/>
      <c r="Y311" s="16"/>
      <c r="Z311" s="16"/>
      <c r="AA311" s="16"/>
      <c r="AB311" s="16"/>
      <c r="AC311" s="16"/>
      <c r="AD311" s="55"/>
      <c r="AE311" s="56"/>
      <c r="AF311" s="57"/>
      <c r="AG311" s="57"/>
      <c r="AH311" s="57"/>
      <c r="AI311" s="57"/>
      <c r="AJ311" s="58"/>
      <c r="AK311" s="58"/>
      <c r="AL311" s="58"/>
      <c r="AM311" s="59"/>
      <c r="AN311" s="60"/>
      <c r="AO311" s="16"/>
      <c r="AP311" s="16"/>
      <c r="AQ311" s="61"/>
    </row>
    <row r="312" ht="12.75" customHeight="1">
      <c r="A312" s="15"/>
      <c r="B312" s="162"/>
      <c r="C312" s="162"/>
      <c r="D312" s="162"/>
      <c r="E312" s="162"/>
      <c r="F312" s="162"/>
      <c r="G312" s="162"/>
      <c r="H312" s="151"/>
      <c r="I312" s="151"/>
      <c r="J312" s="151"/>
      <c r="K312" s="151"/>
      <c r="L312" s="163"/>
      <c r="M312" s="164"/>
      <c r="N312" s="164"/>
      <c r="O312" s="165"/>
      <c r="P312" s="48"/>
      <c r="Q312" s="107"/>
      <c r="R312" s="107"/>
      <c r="S312" s="107"/>
      <c r="T312" s="107"/>
      <c r="U312" s="16"/>
      <c r="V312" s="16"/>
      <c r="W312" s="16"/>
      <c r="X312" s="16"/>
      <c r="Y312" s="16"/>
      <c r="Z312" s="16"/>
      <c r="AA312" s="16"/>
      <c r="AB312" s="16"/>
      <c r="AC312" s="16"/>
      <c r="AD312" s="55"/>
      <c r="AE312" s="56"/>
      <c r="AF312" s="57"/>
      <c r="AG312" s="57"/>
      <c r="AH312" s="57"/>
      <c r="AI312" s="57"/>
      <c r="AJ312" s="58"/>
      <c r="AK312" s="58"/>
      <c r="AL312" s="58"/>
      <c r="AM312" s="59"/>
      <c r="AN312" s="60"/>
      <c r="AO312" s="16"/>
      <c r="AP312" s="16"/>
      <c r="AQ312" s="61"/>
    </row>
    <row r="313" ht="12.75" customHeight="1">
      <c r="A313" s="15"/>
      <c r="B313" s="162"/>
      <c r="C313" s="162"/>
      <c r="D313" s="162"/>
      <c r="E313" s="162"/>
      <c r="F313" s="162"/>
      <c r="G313" s="162"/>
      <c r="H313" s="151"/>
      <c r="I313" s="151"/>
      <c r="J313" s="151"/>
      <c r="K313" s="151"/>
      <c r="L313" s="163"/>
      <c r="M313" s="164"/>
      <c r="N313" s="164"/>
      <c r="O313" s="165"/>
      <c r="P313" s="48"/>
      <c r="Q313" s="107"/>
      <c r="R313" s="107"/>
      <c r="S313" s="107"/>
      <c r="T313" s="107"/>
      <c r="U313" s="16"/>
      <c r="V313" s="16"/>
      <c r="W313" s="16"/>
      <c r="X313" s="16"/>
      <c r="Y313" s="16"/>
      <c r="Z313" s="16"/>
      <c r="AA313" s="16"/>
      <c r="AB313" s="16"/>
      <c r="AC313" s="16"/>
      <c r="AD313" s="55"/>
      <c r="AE313" s="56"/>
      <c r="AF313" s="57"/>
      <c r="AG313" s="57"/>
      <c r="AH313" s="57"/>
      <c r="AI313" s="57"/>
      <c r="AJ313" s="58"/>
      <c r="AK313" s="58"/>
      <c r="AL313" s="58"/>
      <c r="AM313" s="59"/>
      <c r="AN313" s="60"/>
      <c r="AO313" s="16"/>
      <c r="AP313" s="16"/>
      <c r="AQ313" s="61"/>
    </row>
    <row r="314" ht="12.75" customHeight="1">
      <c r="A314" s="15"/>
      <c r="B314" s="162"/>
      <c r="C314" s="162"/>
      <c r="D314" s="162"/>
      <c r="E314" s="162"/>
      <c r="F314" s="162"/>
      <c r="G314" s="162"/>
      <c r="H314" s="151"/>
      <c r="I314" s="151"/>
      <c r="J314" s="151"/>
      <c r="K314" s="151"/>
      <c r="L314" s="163"/>
      <c r="M314" s="164"/>
      <c r="N314" s="164"/>
      <c r="O314" s="165"/>
      <c r="P314" s="48"/>
      <c r="Q314" s="107"/>
      <c r="R314" s="107"/>
      <c r="S314" s="107"/>
      <c r="T314" s="107"/>
      <c r="U314" s="16"/>
      <c r="V314" s="16"/>
      <c r="W314" s="16"/>
      <c r="X314" s="16"/>
      <c r="Y314" s="16"/>
      <c r="Z314" s="16"/>
      <c r="AA314" s="16"/>
      <c r="AB314" s="16"/>
      <c r="AC314" s="16"/>
      <c r="AD314" s="55"/>
      <c r="AE314" s="56"/>
      <c r="AF314" s="57"/>
      <c r="AG314" s="57"/>
      <c r="AH314" s="57"/>
      <c r="AI314" s="57"/>
      <c r="AJ314" s="58"/>
      <c r="AK314" s="58"/>
      <c r="AL314" s="58"/>
      <c r="AM314" s="59"/>
      <c r="AN314" s="60"/>
      <c r="AO314" s="16"/>
      <c r="AP314" s="16"/>
      <c r="AQ314" s="61"/>
    </row>
    <row r="315" ht="12.75" customHeight="1">
      <c r="A315" s="15"/>
      <c r="B315" s="162"/>
      <c r="C315" s="162"/>
      <c r="D315" s="162"/>
      <c r="E315" s="162"/>
      <c r="F315" s="162"/>
      <c r="G315" s="162"/>
      <c r="H315" s="151"/>
      <c r="I315" s="151"/>
      <c r="J315" s="151"/>
      <c r="K315" s="151"/>
      <c r="L315" s="163"/>
      <c r="M315" s="164"/>
      <c r="N315" s="164"/>
      <c r="O315" s="165"/>
      <c r="P315" s="48"/>
      <c r="Q315" s="107"/>
      <c r="R315" s="107"/>
      <c r="S315" s="107"/>
      <c r="T315" s="107"/>
      <c r="U315" s="16"/>
      <c r="V315" s="16"/>
      <c r="W315" s="16"/>
      <c r="X315" s="16"/>
      <c r="Y315" s="16"/>
      <c r="Z315" s="16"/>
      <c r="AA315" s="16"/>
      <c r="AB315" s="16"/>
      <c r="AC315" s="16"/>
      <c r="AD315" s="55"/>
      <c r="AE315" s="56"/>
      <c r="AF315" s="57"/>
      <c r="AG315" s="57"/>
      <c r="AH315" s="57"/>
      <c r="AI315" s="57"/>
      <c r="AJ315" s="58"/>
      <c r="AK315" s="58"/>
      <c r="AL315" s="58"/>
      <c r="AM315" s="59"/>
      <c r="AN315" s="60"/>
      <c r="AO315" s="16"/>
      <c r="AP315" s="16"/>
      <c r="AQ315" s="61"/>
    </row>
    <row r="316" ht="12.75" customHeight="1">
      <c r="A316" s="15"/>
      <c r="B316" s="162"/>
      <c r="C316" s="162"/>
      <c r="D316" s="162"/>
      <c r="E316" s="162"/>
      <c r="F316" s="162"/>
      <c r="G316" s="162"/>
      <c r="H316" s="151"/>
      <c r="I316" s="151"/>
      <c r="J316" s="151"/>
      <c r="K316" s="151"/>
      <c r="L316" s="163"/>
      <c r="M316" s="164"/>
      <c r="N316" s="164"/>
      <c r="O316" s="165"/>
      <c r="P316" s="48"/>
      <c r="Q316" s="107"/>
      <c r="R316" s="107"/>
      <c r="S316" s="107"/>
      <c r="T316" s="107"/>
      <c r="U316" s="16"/>
      <c r="V316" s="16"/>
      <c r="W316" s="16"/>
      <c r="X316" s="16"/>
      <c r="Y316" s="16"/>
      <c r="Z316" s="16"/>
      <c r="AA316" s="16"/>
      <c r="AB316" s="16"/>
      <c r="AC316" s="16"/>
      <c r="AD316" s="55"/>
      <c r="AE316" s="56"/>
      <c r="AF316" s="57"/>
      <c r="AG316" s="57"/>
      <c r="AH316" s="57"/>
      <c r="AI316" s="57"/>
      <c r="AJ316" s="58"/>
      <c r="AK316" s="58"/>
      <c r="AL316" s="58"/>
      <c r="AM316" s="59"/>
      <c r="AN316" s="60"/>
      <c r="AO316" s="16"/>
      <c r="AP316" s="16"/>
      <c r="AQ316" s="61"/>
    </row>
    <row r="317" ht="12.75" customHeight="1">
      <c r="A317" s="15"/>
      <c r="B317" s="162"/>
      <c r="C317" s="162"/>
      <c r="D317" s="162"/>
      <c r="E317" s="162"/>
      <c r="F317" s="162"/>
      <c r="G317" s="162"/>
      <c r="H317" s="151"/>
      <c r="I317" s="151"/>
      <c r="J317" s="151"/>
      <c r="K317" s="151"/>
      <c r="L317" s="163"/>
      <c r="M317" s="164"/>
      <c r="N317" s="164"/>
      <c r="O317" s="165"/>
      <c r="P317" s="48"/>
      <c r="Q317" s="107"/>
      <c r="R317" s="107"/>
      <c r="S317" s="107"/>
      <c r="T317" s="107"/>
      <c r="U317" s="16"/>
      <c r="V317" s="16"/>
      <c r="W317" s="16"/>
      <c r="X317" s="16"/>
      <c r="Y317" s="16"/>
      <c r="Z317" s="16"/>
      <c r="AA317" s="16"/>
      <c r="AB317" s="16"/>
      <c r="AC317" s="16"/>
      <c r="AD317" s="55"/>
      <c r="AE317" s="56"/>
      <c r="AF317" s="57"/>
      <c r="AG317" s="57"/>
      <c r="AH317" s="57"/>
      <c r="AI317" s="57"/>
      <c r="AJ317" s="58"/>
      <c r="AK317" s="58"/>
      <c r="AL317" s="58"/>
      <c r="AM317" s="59"/>
      <c r="AN317" s="60"/>
      <c r="AO317" s="16"/>
      <c r="AP317" s="16"/>
      <c r="AQ317" s="61"/>
    </row>
    <row r="318" ht="12.75" customHeight="1">
      <c r="A318" s="15"/>
      <c r="B318" s="162"/>
      <c r="C318" s="162"/>
      <c r="D318" s="162"/>
      <c r="E318" s="162"/>
      <c r="F318" s="162"/>
      <c r="G318" s="162"/>
      <c r="H318" s="151"/>
      <c r="I318" s="151"/>
      <c r="J318" s="151"/>
      <c r="K318" s="151"/>
      <c r="L318" s="163"/>
      <c r="M318" s="164"/>
      <c r="N318" s="164"/>
      <c r="O318" s="165"/>
      <c r="P318" s="48"/>
      <c r="Q318" s="107"/>
      <c r="R318" s="107"/>
      <c r="S318" s="107"/>
      <c r="T318" s="107"/>
      <c r="U318" s="16"/>
      <c r="V318" s="16"/>
      <c r="W318" s="16"/>
      <c r="X318" s="16"/>
      <c r="Y318" s="16"/>
      <c r="Z318" s="16"/>
      <c r="AA318" s="16"/>
      <c r="AB318" s="16"/>
      <c r="AC318" s="16"/>
      <c r="AD318" s="55"/>
      <c r="AE318" s="56"/>
      <c r="AF318" s="57"/>
      <c r="AG318" s="57"/>
      <c r="AH318" s="57"/>
      <c r="AI318" s="57"/>
      <c r="AJ318" s="58"/>
      <c r="AK318" s="58"/>
      <c r="AL318" s="58"/>
      <c r="AM318" s="59"/>
      <c r="AN318" s="60"/>
      <c r="AO318" s="16"/>
      <c r="AP318" s="16"/>
      <c r="AQ318" s="61"/>
    </row>
    <row r="319" ht="12.75" customHeight="1">
      <c r="A319" s="15"/>
      <c r="B319" s="162"/>
      <c r="C319" s="162"/>
      <c r="D319" s="162"/>
      <c r="E319" s="162"/>
      <c r="F319" s="162"/>
      <c r="G319" s="162"/>
      <c r="H319" s="151"/>
      <c r="I319" s="151"/>
      <c r="J319" s="151"/>
      <c r="K319" s="151"/>
      <c r="L319" s="163"/>
      <c r="M319" s="164"/>
      <c r="N319" s="164"/>
      <c r="O319" s="165"/>
      <c r="P319" s="48"/>
      <c r="Q319" s="107"/>
      <c r="R319" s="107"/>
      <c r="S319" s="107"/>
      <c r="T319" s="107"/>
      <c r="U319" s="16"/>
      <c r="V319" s="16"/>
      <c r="W319" s="16"/>
      <c r="X319" s="16"/>
      <c r="Y319" s="16"/>
      <c r="Z319" s="16"/>
      <c r="AA319" s="16"/>
      <c r="AB319" s="16"/>
      <c r="AC319" s="16"/>
      <c r="AD319" s="55"/>
      <c r="AE319" s="56"/>
      <c r="AF319" s="57"/>
      <c r="AG319" s="57"/>
      <c r="AH319" s="57"/>
      <c r="AI319" s="57"/>
      <c r="AJ319" s="58"/>
      <c r="AK319" s="58"/>
      <c r="AL319" s="58"/>
      <c r="AM319" s="59"/>
      <c r="AN319" s="60"/>
      <c r="AO319" s="16"/>
      <c r="AP319" s="16"/>
      <c r="AQ319" s="61"/>
    </row>
    <row r="320" ht="12.75" customHeight="1">
      <c r="A320" s="15"/>
      <c r="B320" s="162"/>
      <c r="C320" s="162"/>
      <c r="D320" s="162"/>
      <c r="E320" s="162"/>
      <c r="F320" s="162"/>
      <c r="G320" s="162"/>
      <c r="H320" s="151"/>
      <c r="I320" s="151"/>
      <c r="J320" s="151"/>
      <c r="K320" s="151"/>
      <c r="L320" s="163"/>
      <c r="M320" s="164"/>
      <c r="N320" s="164"/>
      <c r="O320" s="165"/>
      <c r="P320" s="48"/>
      <c r="Q320" s="107"/>
      <c r="R320" s="107"/>
      <c r="S320" s="107"/>
      <c r="T320" s="107"/>
      <c r="U320" s="16"/>
      <c r="V320" s="16"/>
      <c r="W320" s="16"/>
      <c r="X320" s="16"/>
      <c r="Y320" s="16"/>
      <c r="Z320" s="16"/>
      <c r="AA320" s="16"/>
      <c r="AB320" s="16"/>
      <c r="AC320" s="16"/>
      <c r="AD320" s="55"/>
      <c r="AE320" s="56"/>
      <c r="AF320" s="57"/>
      <c r="AG320" s="57"/>
      <c r="AH320" s="57"/>
      <c r="AI320" s="57"/>
      <c r="AJ320" s="58"/>
      <c r="AK320" s="58"/>
      <c r="AL320" s="58"/>
      <c r="AM320" s="59"/>
      <c r="AN320" s="60"/>
      <c r="AO320" s="16"/>
      <c r="AP320" s="16"/>
      <c r="AQ320" s="61"/>
    </row>
    <row r="321" ht="12.75" customHeight="1">
      <c r="A321" s="15"/>
      <c r="B321" s="162"/>
      <c r="C321" s="162"/>
      <c r="D321" s="162"/>
      <c r="E321" s="162"/>
      <c r="F321" s="162"/>
      <c r="G321" s="162"/>
      <c r="H321" s="151"/>
      <c r="I321" s="151"/>
      <c r="J321" s="151"/>
      <c r="K321" s="151"/>
      <c r="L321" s="163"/>
      <c r="M321" s="164"/>
      <c r="N321" s="164"/>
      <c r="O321" s="165"/>
      <c r="P321" s="48"/>
      <c r="Q321" s="107"/>
      <c r="R321" s="107"/>
      <c r="S321" s="107"/>
      <c r="T321" s="107"/>
      <c r="U321" s="16"/>
      <c r="V321" s="16"/>
      <c r="W321" s="16"/>
      <c r="X321" s="16"/>
      <c r="Y321" s="16"/>
      <c r="Z321" s="16"/>
      <c r="AA321" s="16"/>
      <c r="AB321" s="16"/>
      <c r="AC321" s="16"/>
      <c r="AD321" s="55"/>
      <c r="AE321" s="56"/>
      <c r="AF321" s="57"/>
      <c r="AG321" s="57"/>
      <c r="AH321" s="57"/>
      <c r="AI321" s="57"/>
      <c r="AJ321" s="58"/>
      <c r="AK321" s="58"/>
      <c r="AL321" s="58"/>
      <c r="AM321" s="59"/>
      <c r="AN321" s="60"/>
      <c r="AO321" s="16"/>
      <c r="AP321" s="16"/>
      <c r="AQ321" s="61"/>
    </row>
    <row r="322" ht="12.75" customHeight="1">
      <c r="A322" s="15"/>
      <c r="B322" s="162"/>
      <c r="C322" s="162"/>
      <c r="D322" s="162"/>
      <c r="E322" s="162"/>
      <c r="F322" s="162"/>
      <c r="G322" s="162"/>
      <c r="H322" s="151"/>
      <c r="I322" s="151"/>
      <c r="J322" s="151"/>
      <c r="K322" s="151"/>
      <c r="L322" s="163"/>
      <c r="M322" s="164"/>
      <c r="N322" s="164"/>
      <c r="O322" s="165"/>
      <c r="P322" s="48"/>
      <c r="Q322" s="107"/>
      <c r="R322" s="107"/>
      <c r="S322" s="107"/>
      <c r="T322" s="107"/>
      <c r="U322" s="16"/>
      <c r="V322" s="16"/>
      <c r="W322" s="16"/>
      <c r="X322" s="16"/>
      <c r="Y322" s="16"/>
      <c r="Z322" s="16"/>
      <c r="AA322" s="16"/>
      <c r="AB322" s="16"/>
      <c r="AC322" s="16"/>
      <c r="AD322" s="55"/>
      <c r="AE322" s="56"/>
      <c r="AF322" s="57"/>
      <c r="AG322" s="57"/>
      <c r="AH322" s="57"/>
      <c r="AI322" s="57"/>
      <c r="AJ322" s="58"/>
      <c r="AK322" s="58"/>
      <c r="AL322" s="58"/>
      <c r="AM322" s="59"/>
      <c r="AN322" s="60"/>
      <c r="AO322" s="16"/>
      <c r="AP322" s="16"/>
      <c r="AQ322" s="61"/>
    </row>
    <row r="323" ht="12.75" customHeight="1">
      <c r="A323" s="15"/>
      <c r="B323" s="162"/>
      <c r="C323" s="162"/>
      <c r="D323" s="162"/>
      <c r="E323" s="162"/>
      <c r="F323" s="162"/>
      <c r="G323" s="162"/>
      <c r="H323" s="151"/>
      <c r="I323" s="151"/>
      <c r="J323" s="151"/>
      <c r="K323" s="151"/>
      <c r="L323" s="163"/>
      <c r="M323" s="164"/>
      <c r="N323" s="164"/>
      <c r="O323" s="165"/>
      <c r="P323" s="48"/>
      <c r="Q323" s="107"/>
      <c r="R323" s="107"/>
      <c r="S323" s="107"/>
      <c r="T323" s="107"/>
      <c r="U323" s="16"/>
      <c r="V323" s="16"/>
      <c r="W323" s="16"/>
      <c r="X323" s="16"/>
      <c r="Y323" s="16"/>
      <c r="Z323" s="16"/>
      <c r="AA323" s="16"/>
      <c r="AB323" s="16"/>
      <c r="AC323" s="16"/>
      <c r="AD323" s="55"/>
      <c r="AE323" s="56"/>
      <c r="AF323" s="57"/>
      <c r="AG323" s="57"/>
      <c r="AH323" s="57"/>
      <c r="AI323" s="57"/>
      <c r="AJ323" s="58"/>
      <c r="AK323" s="58"/>
      <c r="AL323" s="58"/>
      <c r="AM323" s="59"/>
      <c r="AN323" s="60"/>
      <c r="AO323" s="16"/>
      <c r="AP323" s="16"/>
      <c r="AQ323" s="61"/>
    </row>
    <row r="324" ht="12.75" customHeight="1">
      <c r="A324" s="15"/>
      <c r="B324" s="162"/>
      <c r="C324" s="162"/>
      <c r="D324" s="162"/>
      <c r="E324" s="162"/>
      <c r="F324" s="162"/>
      <c r="G324" s="162"/>
      <c r="H324" s="151"/>
      <c r="I324" s="151"/>
      <c r="J324" s="151"/>
      <c r="K324" s="151"/>
      <c r="L324" s="163"/>
      <c r="M324" s="164"/>
      <c r="N324" s="164"/>
      <c r="O324" s="165"/>
      <c r="P324" s="48"/>
      <c r="Q324" s="107"/>
      <c r="R324" s="107"/>
      <c r="S324" s="107"/>
      <c r="T324" s="107"/>
      <c r="U324" s="16"/>
      <c r="V324" s="16"/>
      <c r="W324" s="16"/>
      <c r="X324" s="16"/>
      <c r="Y324" s="16"/>
      <c r="Z324" s="16"/>
      <c r="AA324" s="16"/>
      <c r="AB324" s="16"/>
      <c r="AC324" s="16"/>
      <c r="AD324" s="55"/>
      <c r="AE324" s="56"/>
      <c r="AF324" s="57"/>
      <c r="AG324" s="57"/>
      <c r="AH324" s="57"/>
      <c r="AI324" s="57"/>
      <c r="AJ324" s="58"/>
      <c r="AK324" s="58"/>
      <c r="AL324" s="58"/>
      <c r="AM324" s="59"/>
      <c r="AN324" s="60"/>
      <c r="AO324" s="16"/>
      <c r="AP324" s="16"/>
      <c r="AQ324" s="61"/>
    </row>
    <row r="325" ht="12.75" customHeight="1">
      <c r="A325" s="15"/>
      <c r="B325" s="162"/>
      <c r="C325" s="162"/>
      <c r="D325" s="162"/>
      <c r="E325" s="162"/>
      <c r="F325" s="162"/>
      <c r="G325" s="162"/>
      <c r="H325" s="151"/>
      <c r="I325" s="151"/>
      <c r="J325" s="151"/>
      <c r="K325" s="151"/>
      <c r="L325" s="163"/>
      <c r="M325" s="164"/>
      <c r="N325" s="164"/>
      <c r="O325" s="165"/>
      <c r="P325" s="48"/>
      <c r="Q325" s="107"/>
      <c r="R325" s="107"/>
      <c r="S325" s="107"/>
      <c r="T325" s="107"/>
      <c r="U325" s="16"/>
      <c r="V325" s="16"/>
      <c r="W325" s="16"/>
      <c r="X325" s="16"/>
      <c r="Y325" s="16"/>
      <c r="Z325" s="16"/>
      <c r="AA325" s="16"/>
      <c r="AB325" s="16"/>
      <c r="AC325" s="16"/>
      <c r="AD325" s="55"/>
      <c r="AE325" s="56"/>
      <c r="AF325" s="57"/>
      <c r="AG325" s="57"/>
      <c r="AH325" s="57"/>
      <c r="AI325" s="57"/>
      <c r="AJ325" s="58"/>
      <c r="AK325" s="58"/>
      <c r="AL325" s="58"/>
      <c r="AM325" s="59"/>
      <c r="AN325" s="60"/>
      <c r="AO325" s="16"/>
      <c r="AP325" s="16"/>
      <c r="AQ325" s="61"/>
    </row>
    <row r="326" ht="12.75" customHeight="1">
      <c r="A326" s="15"/>
      <c r="B326" s="162"/>
      <c r="C326" s="162"/>
      <c r="D326" s="162"/>
      <c r="E326" s="162"/>
      <c r="F326" s="162"/>
      <c r="G326" s="162"/>
      <c r="H326" s="151"/>
      <c r="I326" s="151"/>
      <c r="J326" s="151"/>
      <c r="K326" s="151"/>
      <c r="L326" s="163"/>
      <c r="M326" s="164"/>
      <c r="N326" s="164"/>
      <c r="O326" s="165"/>
      <c r="P326" s="48"/>
      <c r="Q326" s="107"/>
      <c r="R326" s="107"/>
      <c r="S326" s="107"/>
      <c r="T326" s="107"/>
      <c r="U326" s="16"/>
      <c r="V326" s="16"/>
      <c r="W326" s="16"/>
      <c r="X326" s="16"/>
      <c r="Y326" s="16"/>
      <c r="Z326" s="16"/>
      <c r="AA326" s="16"/>
      <c r="AB326" s="16"/>
      <c r="AC326" s="16"/>
      <c r="AD326" s="55"/>
      <c r="AE326" s="56"/>
      <c r="AF326" s="57"/>
      <c r="AG326" s="57"/>
      <c r="AH326" s="57"/>
      <c r="AI326" s="57"/>
      <c r="AJ326" s="58"/>
      <c r="AK326" s="58"/>
      <c r="AL326" s="58"/>
      <c r="AM326" s="59"/>
      <c r="AN326" s="60"/>
      <c r="AO326" s="16"/>
      <c r="AP326" s="16"/>
      <c r="AQ326" s="61"/>
    </row>
    <row r="327" ht="12.75" customHeight="1">
      <c r="A327" s="15"/>
      <c r="B327" s="162"/>
      <c r="C327" s="162"/>
      <c r="D327" s="162"/>
      <c r="E327" s="162"/>
      <c r="F327" s="162"/>
      <c r="G327" s="162"/>
      <c r="H327" s="151"/>
      <c r="I327" s="151"/>
      <c r="J327" s="151"/>
      <c r="K327" s="151"/>
      <c r="L327" s="163"/>
      <c r="M327" s="164"/>
      <c r="N327" s="164"/>
      <c r="O327" s="165"/>
      <c r="P327" s="48"/>
      <c r="Q327" s="107"/>
      <c r="R327" s="107"/>
      <c r="S327" s="107"/>
      <c r="T327" s="107"/>
      <c r="U327" s="16"/>
      <c r="V327" s="16"/>
      <c r="W327" s="16"/>
      <c r="X327" s="16"/>
      <c r="Y327" s="16"/>
      <c r="Z327" s="16"/>
      <c r="AA327" s="16"/>
      <c r="AB327" s="16"/>
      <c r="AC327" s="16"/>
      <c r="AD327" s="55"/>
      <c r="AE327" s="56"/>
      <c r="AF327" s="57"/>
      <c r="AG327" s="57"/>
      <c r="AH327" s="57"/>
      <c r="AI327" s="57"/>
      <c r="AJ327" s="58"/>
      <c r="AK327" s="58"/>
      <c r="AL327" s="58"/>
      <c r="AM327" s="59"/>
      <c r="AN327" s="60"/>
      <c r="AO327" s="16"/>
      <c r="AP327" s="16"/>
      <c r="AQ327" s="61"/>
    </row>
    <row r="328" ht="12.75" customHeight="1">
      <c r="A328" s="15"/>
      <c r="B328" s="162"/>
      <c r="C328" s="162"/>
      <c r="D328" s="162"/>
      <c r="E328" s="162"/>
      <c r="F328" s="162"/>
      <c r="G328" s="162"/>
      <c r="H328" s="151"/>
      <c r="I328" s="151"/>
      <c r="J328" s="151"/>
      <c r="K328" s="151"/>
      <c r="L328" s="163"/>
      <c r="M328" s="164"/>
      <c r="N328" s="164"/>
      <c r="O328" s="165"/>
      <c r="P328" s="48"/>
      <c r="Q328" s="107"/>
      <c r="R328" s="107"/>
      <c r="S328" s="107"/>
      <c r="T328" s="107"/>
      <c r="U328" s="16"/>
      <c r="V328" s="16"/>
      <c r="W328" s="16"/>
      <c r="X328" s="16"/>
      <c r="Y328" s="16"/>
      <c r="Z328" s="16"/>
      <c r="AA328" s="16"/>
      <c r="AB328" s="16"/>
      <c r="AC328" s="16"/>
      <c r="AD328" s="55"/>
      <c r="AE328" s="56"/>
      <c r="AF328" s="57"/>
      <c r="AG328" s="57"/>
      <c r="AH328" s="57"/>
      <c r="AI328" s="57"/>
      <c r="AJ328" s="58"/>
      <c r="AK328" s="58"/>
      <c r="AL328" s="58"/>
      <c r="AM328" s="59"/>
      <c r="AN328" s="60"/>
      <c r="AO328" s="16"/>
      <c r="AP328" s="16"/>
      <c r="AQ328" s="61"/>
    </row>
    <row r="329" ht="12.75" customHeight="1">
      <c r="A329" s="15"/>
      <c r="B329" s="162"/>
      <c r="C329" s="162"/>
      <c r="D329" s="162"/>
      <c r="E329" s="162"/>
      <c r="F329" s="162"/>
      <c r="G329" s="162"/>
      <c r="H329" s="151"/>
      <c r="I329" s="151"/>
      <c r="J329" s="151"/>
      <c r="K329" s="151"/>
      <c r="L329" s="163"/>
      <c r="M329" s="164"/>
      <c r="N329" s="164"/>
      <c r="O329" s="165"/>
      <c r="P329" s="48"/>
      <c r="Q329" s="107"/>
      <c r="R329" s="107"/>
      <c r="S329" s="107"/>
      <c r="T329" s="107"/>
      <c r="U329" s="16"/>
      <c r="V329" s="16"/>
      <c r="W329" s="16"/>
      <c r="X329" s="16"/>
      <c r="Y329" s="16"/>
      <c r="Z329" s="16"/>
      <c r="AA329" s="16"/>
      <c r="AB329" s="16"/>
      <c r="AC329" s="16"/>
      <c r="AD329" s="55"/>
      <c r="AE329" s="56"/>
      <c r="AF329" s="57"/>
      <c r="AG329" s="57"/>
      <c r="AH329" s="57"/>
      <c r="AI329" s="57"/>
      <c r="AJ329" s="58"/>
      <c r="AK329" s="58"/>
      <c r="AL329" s="58"/>
      <c r="AM329" s="59"/>
      <c r="AN329" s="60"/>
      <c r="AO329" s="16"/>
      <c r="AP329" s="16"/>
      <c r="AQ329" s="61"/>
    </row>
    <row r="330" ht="12.75" customHeight="1">
      <c r="A330" s="15"/>
      <c r="B330" s="162"/>
      <c r="C330" s="162"/>
      <c r="D330" s="162"/>
      <c r="E330" s="162"/>
      <c r="F330" s="162"/>
      <c r="G330" s="162"/>
      <c r="H330" s="151"/>
      <c r="I330" s="151"/>
      <c r="J330" s="151"/>
      <c r="K330" s="151"/>
      <c r="L330" s="163"/>
      <c r="M330" s="164"/>
      <c r="N330" s="164"/>
      <c r="O330" s="165"/>
      <c r="P330" s="48"/>
      <c r="Q330" s="107"/>
      <c r="R330" s="107"/>
      <c r="S330" s="107"/>
      <c r="T330" s="107"/>
      <c r="U330" s="16"/>
      <c r="V330" s="16"/>
      <c r="W330" s="16"/>
      <c r="X330" s="16"/>
      <c r="Y330" s="16"/>
      <c r="Z330" s="16"/>
      <c r="AA330" s="16"/>
      <c r="AB330" s="16"/>
      <c r="AC330" s="16"/>
      <c r="AD330" s="55"/>
      <c r="AE330" s="56"/>
      <c r="AF330" s="57"/>
      <c r="AG330" s="57"/>
      <c r="AH330" s="57"/>
      <c r="AI330" s="57"/>
      <c r="AJ330" s="58"/>
      <c r="AK330" s="58"/>
      <c r="AL330" s="58"/>
      <c r="AM330" s="59"/>
      <c r="AN330" s="60"/>
      <c r="AO330" s="16"/>
      <c r="AP330" s="16"/>
      <c r="AQ330" s="61"/>
    </row>
    <row r="331" ht="12.75" customHeight="1">
      <c r="A331" s="15"/>
      <c r="B331" s="162"/>
      <c r="C331" s="162"/>
      <c r="D331" s="162"/>
      <c r="E331" s="162"/>
      <c r="F331" s="162"/>
      <c r="G331" s="162"/>
      <c r="H331" s="151"/>
      <c r="I331" s="151"/>
      <c r="J331" s="151"/>
      <c r="K331" s="151"/>
      <c r="L331" s="163"/>
      <c r="M331" s="164"/>
      <c r="N331" s="164"/>
      <c r="O331" s="165"/>
      <c r="P331" s="48"/>
      <c r="Q331" s="107"/>
      <c r="R331" s="107"/>
      <c r="S331" s="107"/>
      <c r="T331" s="107"/>
      <c r="U331" s="16"/>
      <c r="V331" s="16"/>
      <c r="W331" s="16"/>
      <c r="X331" s="16"/>
      <c r="Y331" s="16"/>
      <c r="Z331" s="16"/>
      <c r="AA331" s="16"/>
      <c r="AB331" s="16"/>
      <c r="AC331" s="16"/>
      <c r="AD331" s="55"/>
      <c r="AE331" s="56"/>
      <c r="AF331" s="57"/>
      <c r="AG331" s="57"/>
      <c r="AH331" s="57"/>
      <c r="AI331" s="57"/>
      <c r="AJ331" s="58"/>
      <c r="AK331" s="58"/>
      <c r="AL331" s="58"/>
      <c r="AM331" s="59"/>
      <c r="AN331" s="60"/>
      <c r="AO331" s="16"/>
      <c r="AP331" s="16"/>
      <c r="AQ331" s="61"/>
    </row>
    <row r="332" ht="12.75" customHeight="1">
      <c r="A332" s="15"/>
      <c r="B332" s="162"/>
      <c r="C332" s="162"/>
      <c r="D332" s="162"/>
      <c r="E332" s="162"/>
      <c r="F332" s="162"/>
      <c r="G332" s="162"/>
      <c r="H332" s="151"/>
      <c r="I332" s="151"/>
      <c r="J332" s="151"/>
      <c r="K332" s="151"/>
      <c r="L332" s="163"/>
      <c r="M332" s="164"/>
      <c r="N332" s="164"/>
      <c r="O332" s="165"/>
      <c r="P332" s="48"/>
      <c r="Q332" s="107"/>
      <c r="R332" s="107"/>
      <c r="S332" s="107"/>
      <c r="T332" s="107"/>
      <c r="U332" s="16"/>
      <c r="V332" s="16"/>
      <c r="W332" s="16"/>
      <c r="X332" s="16"/>
      <c r="Y332" s="16"/>
      <c r="Z332" s="16"/>
      <c r="AA332" s="16"/>
      <c r="AB332" s="16"/>
      <c r="AC332" s="16"/>
      <c r="AD332" s="55"/>
      <c r="AE332" s="56"/>
      <c r="AF332" s="57"/>
      <c r="AG332" s="57"/>
      <c r="AH332" s="57"/>
      <c r="AI332" s="57"/>
      <c r="AJ332" s="58"/>
      <c r="AK332" s="58"/>
      <c r="AL332" s="58"/>
      <c r="AM332" s="59"/>
      <c r="AN332" s="60"/>
      <c r="AO332" s="16"/>
      <c r="AP332" s="16"/>
      <c r="AQ332" s="61"/>
    </row>
    <row r="333" ht="12.75" customHeight="1">
      <c r="A333" s="15"/>
      <c r="B333" s="162"/>
      <c r="C333" s="162"/>
      <c r="D333" s="162"/>
      <c r="E333" s="162"/>
      <c r="F333" s="162"/>
      <c r="G333" s="162"/>
      <c r="H333" s="151"/>
      <c r="I333" s="151"/>
      <c r="J333" s="151"/>
      <c r="K333" s="151"/>
      <c r="L333" s="163"/>
      <c r="M333" s="164"/>
      <c r="N333" s="164"/>
      <c r="O333" s="165"/>
      <c r="P333" s="48"/>
      <c r="Q333" s="107"/>
      <c r="R333" s="107"/>
      <c r="S333" s="107"/>
      <c r="T333" s="107"/>
      <c r="U333" s="16"/>
      <c r="V333" s="16"/>
      <c r="W333" s="16"/>
      <c r="X333" s="16"/>
      <c r="Y333" s="16"/>
      <c r="Z333" s="16"/>
      <c r="AA333" s="16"/>
      <c r="AB333" s="16"/>
      <c r="AC333" s="16"/>
      <c r="AD333" s="55"/>
      <c r="AE333" s="56"/>
      <c r="AF333" s="57"/>
      <c r="AG333" s="57"/>
      <c r="AH333" s="57"/>
      <c r="AI333" s="57"/>
      <c r="AJ333" s="58"/>
      <c r="AK333" s="58"/>
      <c r="AL333" s="58"/>
      <c r="AM333" s="59"/>
      <c r="AN333" s="60"/>
      <c r="AO333" s="16"/>
      <c r="AP333" s="16"/>
      <c r="AQ333" s="61"/>
    </row>
    <row r="334" ht="12.75" customHeight="1">
      <c r="A334" s="15"/>
      <c r="B334" s="162"/>
      <c r="C334" s="162"/>
      <c r="D334" s="162"/>
      <c r="E334" s="162"/>
      <c r="F334" s="162"/>
      <c r="G334" s="162"/>
      <c r="H334" s="151"/>
      <c r="I334" s="151"/>
      <c r="J334" s="151"/>
      <c r="K334" s="151"/>
      <c r="L334" s="163"/>
      <c r="M334" s="164"/>
      <c r="N334" s="164"/>
      <c r="O334" s="165"/>
      <c r="P334" s="48"/>
      <c r="Q334" s="107"/>
      <c r="R334" s="107"/>
      <c r="S334" s="107"/>
      <c r="T334" s="107"/>
      <c r="U334" s="16"/>
      <c r="V334" s="16"/>
      <c r="W334" s="16"/>
      <c r="X334" s="16"/>
      <c r="Y334" s="16"/>
      <c r="Z334" s="16"/>
      <c r="AA334" s="16"/>
      <c r="AB334" s="16"/>
      <c r="AC334" s="16"/>
      <c r="AD334" s="55"/>
      <c r="AE334" s="56"/>
      <c r="AF334" s="57"/>
      <c r="AG334" s="57"/>
      <c r="AH334" s="57"/>
      <c r="AI334" s="57"/>
      <c r="AJ334" s="58"/>
      <c r="AK334" s="58"/>
      <c r="AL334" s="58"/>
      <c r="AM334" s="59"/>
      <c r="AN334" s="60"/>
      <c r="AO334" s="16"/>
      <c r="AP334" s="16"/>
      <c r="AQ334" s="61"/>
    </row>
    <row r="335" ht="12.75" customHeight="1">
      <c r="A335" s="15"/>
      <c r="B335" s="162"/>
      <c r="C335" s="162"/>
      <c r="D335" s="162"/>
      <c r="E335" s="162"/>
      <c r="F335" s="162"/>
      <c r="G335" s="162"/>
      <c r="H335" s="151"/>
      <c r="I335" s="151"/>
      <c r="J335" s="151"/>
      <c r="K335" s="151"/>
      <c r="L335" s="163"/>
      <c r="M335" s="164"/>
      <c r="N335" s="164"/>
      <c r="O335" s="165"/>
      <c r="P335" s="48"/>
      <c r="Q335" s="107"/>
      <c r="R335" s="107"/>
      <c r="S335" s="107"/>
      <c r="T335" s="107"/>
      <c r="U335" s="16"/>
      <c r="V335" s="16"/>
      <c r="W335" s="16"/>
      <c r="X335" s="16"/>
      <c r="Y335" s="16"/>
      <c r="Z335" s="16"/>
      <c r="AA335" s="16"/>
      <c r="AB335" s="16"/>
      <c r="AC335" s="16"/>
      <c r="AD335" s="55"/>
      <c r="AE335" s="56"/>
      <c r="AF335" s="57"/>
      <c r="AG335" s="57"/>
      <c r="AH335" s="57"/>
      <c r="AI335" s="57"/>
      <c r="AJ335" s="58"/>
      <c r="AK335" s="58"/>
      <c r="AL335" s="58"/>
      <c r="AM335" s="59"/>
      <c r="AN335" s="60"/>
      <c r="AO335" s="16"/>
      <c r="AP335" s="16"/>
      <c r="AQ335" s="61"/>
    </row>
    <row r="336" ht="12.75" customHeight="1">
      <c r="A336" s="15"/>
      <c r="B336" s="162"/>
      <c r="C336" s="162"/>
      <c r="D336" s="162"/>
      <c r="E336" s="162"/>
      <c r="F336" s="162"/>
      <c r="G336" s="162"/>
      <c r="H336" s="151"/>
      <c r="I336" s="151"/>
      <c r="J336" s="151"/>
      <c r="K336" s="151"/>
      <c r="L336" s="163"/>
      <c r="M336" s="164"/>
      <c r="N336" s="164"/>
      <c r="O336" s="165"/>
      <c r="P336" s="48"/>
      <c r="Q336" s="107"/>
      <c r="R336" s="107"/>
      <c r="S336" s="107"/>
      <c r="T336" s="107"/>
      <c r="U336" s="16"/>
      <c r="V336" s="16"/>
      <c r="W336" s="16"/>
      <c r="X336" s="16"/>
      <c r="Y336" s="16"/>
      <c r="Z336" s="16"/>
      <c r="AA336" s="16"/>
      <c r="AB336" s="16"/>
      <c r="AC336" s="16"/>
      <c r="AD336" s="55"/>
      <c r="AE336" s="56"/>
      <c r="AF336" s="57"/>
      <c r="AG336" s="57"/>
      <c r="AH336" s="57"/>
      <c r="AI336" s="57"/>
      <c r="AJ336" s="58"/>
      <c r="AK336" s="58"/>
      <c r="AL336" s="58"/>
      <c r="AM336" s="59"/>
      <c r="AN336" s="60"/>
      <c r="AO336" s="16"/>
      <c r="AP336" s="16"/>
      <c r="AQ336" s="61"/>
    </row>
    <row r="337" ht="12.75" customHeight="1">
      <c r="A337" s="15"/>
      <c r="B337" s="162"/>
      <c r="C337" s="162"/>
      <c r="D337" s="162"/>
      <c r="E337" s="162"/>
      <c r="F337" s="162"/>
      <c r="G337" s="162"/>
      <c r="H337" s="151"/>
      <c r="I337" s="151"/>
      <c r="J337" s="151"/>
      <c r="K337" s="151"/>
      <c r="L337" s="163"/>
      <c r="M337" s="164"/>
      <c r="N337" s="164"/>
      <c r="O337" s="165"/>
      <c r="P337" s="48"/>
      <c r="Q337" s="107"/>
      <c r="R337" s="107"/>
      <c r="S337" s="107"/>
      <c r="T337" s="107"/>
      <c r="U337" s="16"/>
      <c r="V337" s="16"/>
      <c r="W337" s="16"/>
      <c r="X337" s="16"/>
      <c r="Y337" s="16"/>
      <c r="Z337" s="16"/>
      <c r="AA337" s="16"/>
      <c r="AB337" s="16"/>
      <c r="AC337" s="16"/>
      <c r="AD337" s="55"/>
      <c r="AE337" s="56"/>
      <c r="AF337" s="57"/>
      <c r="AG337" s="57"/>
      <c r="AH337" s="57"/>
      <c r="AI337" s="57"/>
      <c r="AJ337" s="58"/>
      <c r="AK337" s="58"/>
      <c r="AL337" s="58"/>
      <c r="AM337" s="59"/>
      <c r="AN337" s="60"/>
      <c r="AO337" s="16"/>
      <c r="AP337" s="16"/>
      <c r="AQ337" s="61"/>
    </row>
    <row r="338" ht="12.75" customHeight="1">
      <c r="A338" s="15"/>
      <c r="B338" s="162"/>
      <c r="C338" s="162"/>
      <c r="D338" s="162"/>
      <c r="E338" s="162"/>
      <c r="F338" s="162"/>
      <c r="G338" s="162"/>
      <c r="H338" s="151"/>
      <c r="I338" s="151"/>
      <c r="J338" s="151"/>
      <c r="K338" s="151"/>
      <c r="L338" s="163"/>
      <c r="M338" s="164"/>
      <c r="N338" s="164"/>
      <c r="O338" s="165"/>
      <c r="P338" s="48"/>
      <c r="Q338" s="107"/>
      <c r="R338" s="107"/>
      <c r="S338" s="107"/>
      <c r="T338" s="107"/>
      <c r="U338" s="16"/>
      <c r="V338" s="16"/>
      <c r="W338" s="16"/>
      <c r="X338" s="16"/>
      <c r="Y338" s="16"/>
      <c r="Z338" s="16"/>
      <c r="AA338" s="16"/>
      <c r="AB338" s="16"/>
      <c r="AC338" s="16"/>
      <c r="AD338" s="55"/>
      <c r="AE338" s="56"/>
      <c r="AF338" s="57"/>
      <c r="AG338" s="57"/>
      <c r="AH338" s="57"/>
      <c r="AI338" s="57"/>
      <c r="AJ338" s="58"/>
      <c r="AK338" s="58"/>
      <c r="AL338" s="58"/>
      <c r="AM338" s="59"/>
      <c r="AN338" s="60"/>
      <c r="AO338" s="16"/>
      <c r="AP338" s="16"/>
      <c r="AQ338" s="61"/>
    </row>
    <row r="339" ht="12.75" customHeight="1">
      <c r="A339" s="15"/>
      <c r="B339" s="162"/>
      <c r="C339" s="162"/>
      <c r="D339" s="162"/>
      <c r="E339" s="162"/>
      <c r="F339" s="162"/>
      <c r="G339" s="162"/>
      <c r="H339" s="151"/>
      <c r="I339" s="151"/>
      <c r="J339" s="151"/>
      <c r="K339" s="151"/>
      <c r="L339" s="163"/>
      <c r="M339" s="164"/>
      <c r="N339" s="164"/>
      <c r="O339" s="165"/>
      <c r="P339" s="48"/>
      <c r="Q339" s="107"/>
      <c r="R339" s="107"/>
      <c r="S339" s="107"/>
      <c r="T339" s="107"/>
      <c r="U339" s="16"/>
      <c r="V339" s="16"/>
      <c r="W339" s="16"/>
      <c r="X339" s="16"/>
      <c r="Y339" s="16"/>
      <c r="Z339" s="16"/>
      <c r="AA339" s="16"/>
      <c r="AB339" s="16"/>
      <c r="AC339" s="16"/>
      <c r="AD339" s="55"/>
      <c r="AE339" s="56"/>
      <c r="AF339" s="57"/>
      <c r="AG339" s="57"/>
      <c r="AH339" s="57"/>
      <c r="AI339" s="57"/>
      <c r="AJ339" s="58"/>
      <c r="AK339" s="58"/>
      <c r="AL339" s="58"/>
      <c r="AM339" s="59"/>
      <c r="AN339" s="60"/>
      <c r="AO339" s="16"/>
      <c r="AP339" s="16"/>
      <c r="AQ339" s="61"/>
    </row>
    <row r="340" ht="12.75" customHeight="1">
      <c r="A340" s="15"/>
      <c r="B340" s="162"/>
      <c r="C340" s="162"/>
      <c r="D340" s="162"/>
      <c r="E340" s="162"/>
      <c r="F340" s="162"/>
      <c r="G340" s="162"/>
      <c r="H340" s="151"/>
      <c r="I340" s="151"/>
      <c r="J340" s="151"/>
      <c r="K340" s="151"/>
      <c r="L340" s="163"/>
      <c r="M340" s="164"/>
      <c r="N340" s="164"/>
      <c r="O340" s="165"/>
      <c r="P340" s="48"/>
      <c r="Q340" s="107"/>
      <c r="R340" s="107"/>
      <c r="S340" s="107"/>
      <c r="T340" s="107"/>
      <c r="U340" s="16"/>
      <c r="V340" s="16"/>
      <c r="W340" s="16"/>
      <c r="X340" s="16"/>
      <c r="Y340" s="16"/>
      <c r="Z340" s="16"/>
      <c r="AA340" s="16"/>
      <c r="AB340" s="16"/>
      <c r="AC340" s="16"/>
      <c r="AD340" s="55"/>
      <c r="AE340" s="56"/>
      <c r="AF340" s="57"/>
      <c r="AG340" s="57"/>
      <c r="AH340" s="57"/>
      <c r="AI340" s="57"/>
      <c r="AJ340" s="58"/>
      <c r="AK340" s="58"/>
      <c r="AL340" s="58"/>
      <c r="AM340" s="59"/>
      <c r="AN340" s="60"/>
      <c r="AO340" s="16"/>
      <c r="AP340" s="16"/>
      <c r="AQ340" s="61"/>
    </row>
    <row r="341" ht="12.75" customHeight="1">
      <c r="A341" s="15"/>
      <c r="B341" s="162"/>
      <c r="C341" s="162"/>
      <c r="D341" s="162"/>
      <c r="E341" s="162"/>
      <c r="F341" s="162"/>
      <c r="G341" s="162"/>
      <c r="H341" s="151"/>
      <c r="I341" s="151"/>
      <c r="J341" s="151"/>
      <c r="K341" s="151"/>
      <c r="L341" s="163"/>
      <c r="M341" s="164"/>
      <c r="N341" s="164"/>
      <c r="O341" s="165"/>
      <c r="P341" s="48"/>
      <c r="Q341" s="107"/>
      <c r="R341" s="107"/>
      <c r="S341" s="107"/>
      <c r="T341" s="107"/>
      <c r="U341" s="16"/>
      <c r="V341" s="16"/>
      <c r="W341" s="16"/>
      <c r="X341" s="16"/>
      <c r="Y341" s="16"/>
      <c r="Z341" s="16"/>
      <c r="AA341" s="16"/>
      <c r="AB341" s="16"/>
      <c r="AC341" s="16"/>
      <c r="AD341" s="55"/>
      <c r="AE341" s="56"/>
      <c r="AF341" s="57"/>
      <c r="AG341" s="57"/>
      <c r="AH341" s="57"/>
      <c r="AI341" s="57"/>
      <c r="AJ341" s="58"/>
      <c r="AK341" s="58"/>
      <c r="AL341" s="58"/>
      <c r="AM341" s="59"/>
      <c r="AN341" s="60"/>
      <c r="AO341" s="16"/>
      <c r="AP341" s="16"/>
      <c r="AQ341" s="61"/>
    </row>
    <row r="342" ht="12.75" customHeight="1">
      <c r="A342" s="15"/>
      <c r="B342" s="162"/>
      <c r="C342" s="162"/>
      <c r="D342" s="162"/>
      <c r="E342" s="162"/>
      <c r="F342" s="162"/>
      <c r="G342" s="162"/>
      <c r="H342" s="151"/>
      <c r="I342" s="151"/>
      <c r="J342" s="151"/>
      <c r="K342" s="151"/>
      <c r="L342" s="163"/>
      <c r="M342" s="164"/>
      <c r="N342" s="164"/>
      <c r="O342" s="165"/>
      <c r="P342" s="48"/>
      <c r="Q342" s="107"/>
      <c r="R342" s="107"/>
      <c r="S342" s="107"/>
      <c r="T342" s="107"/>
      <c r="U342" s="16"/>
      <c r="V342" s="16"/>
      <c r="W342" s="16"/>
      <c r="X342" s="16"/>
      <c r="Y342" s="16"/>
      <c r="Z342" s="16"/>
      <c r="AA342" s="16"/>
      <c r="AB342" s="16"/>
      <c r="AC342" s="16"/>
      <c r="AD342" s="55"/>
      <c r="AE342" s="56"/>
      <c r="AF342" s="57"/>
      <c r="AG342" s="57"/>
      <c r="AH342" s="57"/>
      <c r="AI342" s="57"/>
      <c r="AJ342" s="58"/>
      <c r="AK342" s="58"/>
      <c r="AL342" s="58"/>
      <c r="AM342" s="59"/>
      <c r="AN342" s="60"/>
      <c r="AO342" s="16"/>
      <c r="AP342" s="16"/>
      <c r="AQ342" s="61"/>
    </row>
    <row r="343" ht="12.75" customHeight="1">
      <c r="A343" s="15"/>
      <c r="B343" s="162"/>
      <c r="C343" s="162"/>
      <c r="D343" s="162"/>
      <c r="E343" s="162"/>
      <c r="F343" s="162"/>
      <c r="G343" s="162"/>
      <c r="H343" s="151"/>
      <c r="I343" s="151"/>
      <c r="J343" s="151"/>
      <c r="K343" s="151"/>
      <c r="L343" s="163"/>
      <c r="M343" s="164"/>
      <c r="N343" s="164"/>
      <c r="O343" s="165"/>
      <c r="P343" s="48"/>
      <c r="Q343" s="107"/>
      <c r="R343" s="107"/>
      <c r="S343" s="107"/>
      <c r="T343" s="107"/>
      <c r="U343" s="16"/>
      <c r="V343" s="16"/>
      <c r="W343" s="16"/>
      <c r="X343" s="16"/>
      <c r="Y343" s="16"/>
      <c r="Z343" s="16"/>
      <c r="AA343" s="16"/>
      <c r="AB343" s="16"/>
      <c r="AC343" s="16"/>
      <c r="AD343" s="55"/>
      <c r="AE343" s="56"/>
      <c r="AF343" s="57"/>
      <c r="AG343" s="57"/>
      <c r="AH343" s="57"/>
      <c r="AI343" s="57"/>
      <c r="AJ343" s="58"/>
      <c r="AK343" s="58"/>
      <c r="AL343" s="58"/>
      <c r="AM343" s="59"/>
      <c r="AN343" s="60"/>
      <c r="AO343" s="16"/>
      <c r="AP343" s="16"/>
      <c r="AQ343" s="61"/>
    </row>
    <row r="344" ht="12.75" customHeight="1">
      <c r="A344" s="15"/>
      <c r="B344" s="162"/>
      <c r="C344" s="162"/>
      <c r="D344" s="162"/>
      <c r="E344" s="162"/>
      <c r="F344" s="162"/>
      <c r="G344" s="162"/>
      <c r="H344" s="151"/>
      <c r="I344" s="151"/>
      <c r="J344" s="151"/>
      <c r="K344" s="151"/>
      <c r="L344" s="163"/>
      <c r="M344" s="164"/>
      <c r="N344" s="164"/>
      <c r="O344" s="165"/>
      <c r="P344" s="48"/>
      <c r="Q344" s="107"/>
      <c r="R344" s="107"/>
      <c r="S344" s="107"/>
      <c r="T344" s="107"/>
      <c r="U344" s="16"/>
      <c r="V344" s="16"/>
      <c r="W344" s="16"/>
      <c r="X344" s="16"/>
      <c r="Y344" s="16"/>
      <c r="Z344" s="16"/>
      <c r="AA344" s="16"/>
      <c r="AB344" s="16"/>
      <c r="AC344" s="16"/>
      <c r="AD344" s="55"/>
      <c r="AE344" s="56"/>
      <c r="AF344" s="57"/>
      <c r="AG344" s="57"/>
      <c r="AH344" s="57"/>
      <c r="AI344" s="57"/>
      <c r="AJ344" s="58"/>
      <c r="AK344" s="58"/>
      <c r="AL344" s="58"/>
      <c r="AM344" s="59"/>
      <c r="AN344" s="60"/>
      <c r="AO344" s="16"/>
      <c r="AP344" s="16"/>
      <c r="AQ344" s="61"/>
    </row>
    <row r="345" ht="12.75" customHeight="1">
      <c r="A345" s="15"/>
      <c r="B345" s="162"/>
      <c r="C345" s="162"/>
      <c r="D345" s="162"/>
      <c r="E345" s="162"/>
      <c r="F345" s="162"/>
      <c r="G345" s="162"/>
      <c r="H345" s="151"/>
      <c r="I345" s="151"/>
      <c r="J345" s="151"/>
      <c r="K345" s="151"/>
      <c r="L345" s="163"/>
      <c r="M345" s="164"/>
      <c r="N345" s="164"/>
      <c r="O345" s="165"/>
      <c r="P345" s="48"/>
      <c r="Q345" s="107"/>
      <c r="R345" s="107"/>
      <c r="S345" s="107"/>
      <c r="T345" s="107"/>
      <c r="U345" s="16"/>
      <c r="V345" s="16"/>
      <c r="W345" s="16"/>
      <c r="X345" s="16"/>
      <c r="Y345" s="16"/>
      <c r="Z345" s="16"/>
      <c r="AA345" s="16"/>
      <c r="AB345" s="16"/>
      <c r="AC345" s="16"/>
      <c r="AD345" s="55"/>
      <c r="AE345" s="56"/>
      <c r="AF345" s="57"/>
      <c r="AG345" s="57"/>
      <c r="AH345" s="57"/>
      <c r="AI345" s="57"/>
      <c r="AJ345" s="58"/>
      <c r="AK345" s="58"/>
      <c r="AL345" s="58"/>
      <c r="AM345" s="59"/>
      <c r="AN345" s="60"/>
      <c r="AO345" s="16"/>
      <c r="AP345" s="16"/>
      <c r="AQ345" s="61"/>
    </row>
    <row r="346" ht="12.75" customHeight="1">
      <c r="A346" s="15"/>
      <c r="B346" s="162"/>
      <c r="C346" s="162"/>
      <c r="D346" s="162"/>
      <c r="E346" s="162"/>
      <c r="F346" s="162"/>
      <c r="G346" s="162"/>
      <c r="H346" s="151"/>
      <c r="I346" s="151"/>
      <c r="J346" s="151"/>
      <c r="K346" s="151"/>
      <c r="L346" s="163"/>
      <c r="M346" s="164"/>
      <c r="N346" s="164"/>
      <c r="O346" s="165"/>
      <c r="P346" s="48"/>
      <c r="Q346" s="107"/>
      <c r="R346" s="107"/>
      <c r="S346" s="107"/>
      <c r="T346" s="107"/>
      <c r="U346" s="16"/>
      <c r="V346" s="16"/>
      <c r="W346" s="16"/>
      <c r="X346" s="16"/>
      <c r="Y346" s="16"/>
      <c r="Z346" s="16"/>
      <c r="AA346" s="16"/>
      <c r="AB346" s="16"/>
      <c r="AC346" s="16"/>
      <c r="AD346" s="55"/>
      <c r="AE346" s="56"/>
      <c r="AF346" s="57"/>
      <c r="AG346" s="57"/>
      <c r="AH346" s="57"/>
      <c r="AI346" s="57"/>
      <c r="AJ346" s="58"/>
      <c r="AK346" s="58"/>
      <c r="AL346" s="58"/>
      <c r="AM346" s="59"/>
      <c r="AN346" s="60"/>
      <c r="AO346" s="16"/>
      <c r="AP346" s="16"/>
      <c r="AQ346" s="61"/>
    </row>
    <row r="347" ht="12.75" customHeight="1">
      <c r="A347" s="15"/>
      <c r="B347" s="162"/>
      <c r="C347" s="162"/>
      <c r="D347" s="162"/>
      <c r="E347" s="162"/>
      <c r="F347" s="162"/>
      <c r="G347" s="162"/>
      <c r="H347" s="151"/>
      <c r="I347" s="151"/>
      <c r="J347" s="151"/>
      <c r="K347" s="151"/>
      <c r="L347" s="163"/>
      <c r="M347" s="164"/>
      <c r="N347" s="164"/>
      <c r="O347" s="165"/>
      <c r="P347" s="48"/>
      <c r="Q347" s="107"/>
      <c r="R347" s="107"/>
      <c r="S347" s="107"/>
      <c r="T347" s="107"/>
      <c r="U347" s="16"/>
      <c r="V347" s="16"/>
      <c r="W347" s="16"/>
      <c r="X347" s="16"/>
      <c r="Y347" s="16"/>
      <c r="Z347" s="16"/>
      <c r="AA347" s="16"/>
      <c r="AB347" s="16"/>
      <c r="AC347" s="16"/>
      <c r="AD347" s="55"/>
      <c r="AE347" s="56"/>
      <c r="AF347" s="57"/>
      <c r="AG347" s="57"/>
      <c r="AH347" s="57"/>
      <c r="AI347" s="57"/>
      <c r="AJ347" s="58"/>
      <c r="AK347" s="58"/>
      <c r="AL347" s="58"/>
      <c r="AM347" s="59"/>
      <c r="AN347" s="60"/>
      <c r="AO347" s="16"/>
      <c r="AP347" s="16"/>
      <c r="AQ347" s="61"/>
    </row>
    <row r="348" ht="12.75" customHeight="1">
      <c r="A348" s="15"/>
      <c r="B348" s="162"/>
      <c r="C348" s="162"/>
      <c r="D348" s="162"/>
      <c r="E348" s="162"/>
      <c r="F348" s="162"/>
      <c r="G348" s="162"/>
      <c r="H348" s="151"/>
      <c r="I348" s="151"/>
      <c r="J348" s="151"/>
      <c r="K348" s="151"/>
      <c r="L348" s="163"/>
      <c r="M348" s="164"/>
      <c r="N348" s="164"/>
      <c r="O348" s="165"/>
      <c r="P348" s="48"/>
      <c r="Q348" s="107"/>
      <c r="R348" s="107"/>
      <c r="S348" s="107"/>
      <c r="T348" s="107"/>
      <c r="U348" s="16"/>
      <c r="V348" s="16"/>
      <c r="W348" s="16"/>
      <c r="X348" s="16"/>
      <c r="Y348" s="16"/>
      <c r="Z348" s="16"/>
      <c r="AA348" s="16"/>
      <c r="AB348" s="16"/>
      <c r="AC348" s="16"/>
      <c r="AD348" s="55"/>
      <c r="AE348" s="56"/>
      <c r="AF348" s="57"/>
      <c r="AG348" s="57"/>
      <c r="AH348" s="57"/>
      <c r="AI348" s="57"/>
      <c r="AJ348" s="58"/>
      <c r="AK348" s="58"/>
      <c r="AL348" s="58"/>
      <c r="AM348" s="59"/>
      <c r="AN348" s="60"/>
      <c r="AO348" s="16"/>
      <c r="AP348" s="16"/>
      <c r="AQ348" s="61"/>
    </row>
    <row r="349" ht="12.75" customHeight="1">
      <c r="A349" s="15"/>
      <c r="B349" s="162"/>
      <c r="C349" s="162"/>
      <c r="D349" s="162"/>
      <c r="E349" s="162"/>
      <c r="F349" s="162"/>
      <c r="G349" s="162"/>
      <c r="H349" s="151"/>
      <c r="I349" s="151"/>
      <c r="J349" s="151"/>
      <c r="K349" s="151"/>
      <c r="L349" s="163"/>
      <c r="M349" s="164"/>
      <c r="N349" s="164"/>
      <c r="O349" s="165"/>
      <c r="P349" s="48"/>
      <c r="Q349" s="107"/>
      <c r="R349" s="107"/>
      <c r="S349" s="107"/>
      <c r="T349" s="107"/>
      <c r="U349" s="16"/>
      <c r="V349" s="16"/>
      <c r="W349" s="16"/>
      <c r="X349" s="16"/>
      <c r="Y349" s="16"/>
      <c r="Z349" s="16"/>
      <c r="AA349" s="16"/>
      <c r="AB349" s="16"/>
      <c r="AC349" s="16"/>
      <c r="AD349" s="55"/>
      <c r="AE349" s="56"/>
      <c r="AF349" s="57"/>
      <c r="AG349" s="57"/>
      <c r="AH349" s="57"/>
      <c r="AI349" s="57"/>
      <c r="AJ349" s="58"/>
      <c r="AK349" s="58"/>
      <c r="AL349" s="58"/>
      <c r="AM349" s="59"/>
      <c r="AN349" s="60"/>
      <c r="AO349" s="16"/>
      <c r="AP349" s="16"/>
      <c r="AQ349" s="61"/>
    </row>
    <row r="350" ht="12.75" customHeight="1">
      <c r="A350" s="15"/>
      <c r="B350" s="162"/>
      <c r="C350" s="162"/>
      <c r="D350" s="162"/>
      <c r="E350" s="162"/>
      <c r="F350" s="162"/>
      <c r="G350" s="162"/>
      <c r="H350" s="151"/>
      <c r="I350" s="151"/>
      <c r="J350" s="151"/>
      <c r="K350" s="151"/>
      <c r="L350" s="163"/>
      <c r="M350" s="164"/>
      <c r="N350" s="164"/>
      <c r="O350" s="165"/>
      <c r="P350" s="48"/>
      <c r="Q350" s="107"/>
      <c r="R350" s="107"/>
      <c r="S350" s="107"/>
      <c r="T350" s="107"/>
      <c r="U350" s="16"/>
      <c r="V350" s="16"/>
      <c r="W350" s="16"/>
      <c r="X350" s="16"/>
      <c r="Y350" s="16"/>
      <c r="Z350" s="16"/>
      <c r="AA350" s="16"/>
      <c r="AB350" s="16"/>
      <c r="AC350" s="16"/>
      <c r="AD350" s="55"/>
      <c r="AE350" s="56"/>
      <c r="AF350" s="57"/>
      <c r="AG350" s="57"/>
      <c r="AH350" s="57"/>
      <c r="AI350" s="57"/>
      <c r="AJ350" s="58"/>
      <c r="AK350" s="58"/>
      <c r="AL350" s="58"/>
      <c r="AM350" s="59"/>
      <c r="AN350" s="60"/>
      <c r="AO350" s="16"/>
      <c r="AP350" s="16"/>
      <c r="AQ350" s="61"/>
    </row>
    <row r="351" ht="12.75" customHeight="1">
      <c r="A351" s="15"/>
      <c r="B351" s="162"/>
      <c r="C351" s="162"/>
      <c r="D351" s="162"/>
      <c r="E351" s="162"/>
      <c r="F351" s="162"/>
      <c r="G351" s="162"/>
      <c r="H351" s="151"/>
      <c r="I351" s="151"/>
      <c r="J351" s="151"/>
      <c r="K351" s="151"/>
      <c r="L351" s="163"/>
      <c r="M351" s="164"/>
      <c r="N351" s="164"/>
      <c r="O351" s="165"/>
      <c r="P351" s="48"/>
      <c r="Q351" s="107"/>
      <c r="R351" s="107"/>
      <c r="S351" s="107"/>
      <c r="T351" s="107"/>
      <c r="U351" s="16"/>
      <c r="V351" s="16"/>
      <c r="W351" s="16"/>
      <c r="X351" s="16"/>
      <c r="Y351" s="16"/>
      <c r="Z351" s="16"/>
      <c r="AA351" s="16"/>
      <c r="AB351" s="16"/>
      <c r="AC351" s="16"/>
      <c r="AD351" s="55"/>
      <c r="AE351" s="56"/>
      <c r="AF351" s="57"/>
      <c r="AG351" s="57"/>
      <c r="AH351" s="57"/>
      <c r="AI351" s="57"/>
      <c r="AJ351" s="58"/>
      <c r="AK351" s="58"/>
      <c r="AL351" s="58"/>
      <c r="AM351" s="59"/>
      <c r="AN351" s="60"/>
      <c r="AO351" s="16"/>
      <c r="AP351" s="16"/>
      <c r="AQ351" s="61"/>
    </row>
    <row r="352" ht="12.75" customHeight="1">
      <c r="A352" s="15"/>
      <c r="B352" s="162"/>
      <c r="C352" s="162"/>
      <c r="D352" s="162"/>
      <c r="E352" s="162"/>
      <c r="F352" s="162"/>
      <c r="G352" s="162"/>
      <c r="H352" s="151"/>
      <c r="I352" s="151"/>
      <c r="J352" s="151"/>
      <c r="K352" s="151"/>
      <c r="L352" s="163"/>
      <c r="M352" s="164"/>
      <c r="N352" s="164"/>
      <c r="O352" s="165"/>
      <c r="P352" s="48"/>
      <c r="Q352" s="107"/>
      <c r="R352" s="107"/>
      <c r="S352" s="107"/>
      <c r="T352" s="107"/>
      <c r="U352" s="16"/>
      <c r="V352" s="16"/>
      <c r="W352" s="16"/>
      <c r="X352" s="16"/>
      <c r="Y352" s="16"/>
      <c r="Z352" s="16"/>
      <c r="AA352" s="16"/>
      <c r="AB352" s="16"/>
      <c r="AC352" s="16"/>
      <c r="AD352" s="55"/>
      <c r="AE352" s="56"/>
      <c r="AF352" s="57"/>
      <c r="AG352" s="57"/>
      <c r="AH352" s="57"/>
      <c r="AI352" s="57"/>
      <c r="AJ352" s="58"/>
      <c r="AK352" s="58"/>
      <c r="AL352" s="58"/>
      <c r="AM352" s="59"/>
      <c r="AN352" s="60"/>
      <c r="AO352" s="16"/>
      <c r="AP352" s="16"/>
      <c r="AQ352" s="61"/>
    </row>
    <row r="353" ht="12.75" customHeight="1">
      <c r="A353" s="15"/>
      <c r="B353" s="162"/>
      <c r="C353" s="162"/>
      <c r="D353" s="162"/>
      <c r="E353" s="162"/>
      <c r="F353" s="162"/>
      <c r="G353" s="162"/>
      <c r="H353" s="151"/>
      <c r="I353" s="151"/>
      <c r="J353" s="151"/>
      <c r="K353" s="151"/>
      <c r="L353" s="163"/>
      <c r="M353" s="164"/>
      <c r="N353" s="164"/>
      <c r="O353" s="165"/>
      <c r="P353" s="48"/>
      <c r="Q353" s="107"/>
      <c r="R353" s="107"/>
      <c r="S353" s="107"/>
      <c r="T353" s="107"/>
      <c r="U353" s="16"/>
      <c r="V353" s="16"/>
      <c r="W353" s="16"/>
      <c r="X353" s="16"/>
      <c r="Y353" s="16"/>
      <c r="Z353" s="16"/>
      <c r="AA353" s="16"/>
      <c r="AB353" s="16"/>
      <c r="AC353" s="16"/>
      <c r="AD353" s="55"/>
      <c r="AE353" s="56"/>
      <c r="AF353" s="57"/>
      <c r="AG353" s="57"/>
      <c r="AH353" s="57"/>
      <c r="AI353" s="57"/>
      <c r="AJ353" s="58"/>
      <c r="AK353" s="58"/>
      <c r="AL353" s="58"/>
      <c r="AM353" s="59"/>
      <c r="AN353" s="60"/>
      <c r="AO353" s="16"/>
      <c r="AP353" s="16"/>
      <c r="AQ353" s="61"/>
    </row>
    <row r="354" ht="12.75" customHeight="1">
      <c r="A354" s="15"/>
      <c r="B354" s="162"/>
      <c r="C354" s="162"/>
      <c r="D354" s="162"/>
      <c r="E354" s="162"/>
      <c r="F354" s="162"/>
      <c r="G354" s="162"/>
      <c r="H354" s="151"/>
      <c r="I354" s="151"/>
      <c r="J354" s="151"/>
      <c r="K354" s="151"/>
      <c r="L354" s="163"/>
      <c r="M354" s="164"/>
      <c r="N354" s="164"/>
      <c r="O354" s="165"/>
      <c r="P354" s="48"/>
      <c r="Q354" s="107"/>
      <c r="R354" s="107"/>
      <c r="S354" s="107"/>
      <c r="T354" s="107"/>
      <c r="U354" s="16"/>
      <c r="V354" s="16"/>
      <c r="W354" s="16"/>
      <c r="X354" s="16"/>
      <c r="Y354" s="16"/>
      <c r="Z354" s="16"/>
      <c r="AA354" s="16"/>
      <c r="AB354" s="16"/>
      <c r="AC354" s="16"/>
      <c r="AD354" s="55"/>
      <c r="AE354" s="56"/>
      <c r="AF354" s="57"/>
      <c r="AG354" s="57"/>
      <c r="AH354" s="57"/>
      <c r="AI354" s="57"/>
      <c r="AJ354" s="58"/>
      <c r="AK354" s="58"/>
      <c r="AL354" s="58"/>
      <c r="AM354" s="59"/>
      <c r="AN354" s="60"/>
      <c r="AO354" s="16"/>
      <c r="AP354" s="16"/>
      <c r="AQ354" s="61"/>
    </row>
    <row r="355" ht="12.75" customHeight="1">
      <c r="A355" s="15"/>
      <c r="B355" s="162"/>
      <c r="C355" s="162"/>
      <c r="D355" s="162"/>
      <c r="E355" s="162"/>
      <c r="F355" s="162"/>
      <c r="G355" s="162"/>
      <c r="H355" s="151"/>
      <c r="I355" s="151"/>
      <c r="J355" s="151"/>
      <c r="K355" s="151"/>
      <c r="L355" s="163"/>
      <c r="M355" s="164"/>
      <c r="N355" s="164"/>
      <c r="O355" s="165"/>
      <c r="P355" s="48"/>
      <c r="Q355" s="107"/>
      <c r="R355" s="107"/>
      <c r="S355" s="107"/>
      <c r="T355" s="107"/>
      <c r="U355" s="16"/>
      <c r="V355" s="16"/>
      <c r="W355" s="16"/>
      <c r="X355" s="16"/>
      <c r="Y355" s="16"/>
      <c r="Z355" s="16"/>
      <c r="AA355" s="16"/>
      <c r="AB355" s="16"/>
      <c r="AC355" s="16"/>
      <c r="AD355" s="55"/>
      <c r="AE355" s="56"/>
      <c r="AF355" s="57"/>
      <c r="AG355" s="57"/>
      <c r="AH355" s="57"/>
      <c r="AI355" s="57"/>
      <c r="AJ355" s="58"/>
      <c r="AK355" s="58"/>
      <c r="AL355" s="58"/>
      <c r="AM355" s="59"/>
      <c r="AN355" s="60"/>
      <c r="AO355" s="16"/>
      <c r="AP355" s="16"/>
      <c r="AQ355" s="61"/>
    </row>
    <row r="356" ht="12.75" customHeight="1">
      <c r="A356" s="15"/>
      <c r="B356" s="162"/>
      <c r="C356" s="162"/>
      <c r="D356" s="162"/>
      <c r="E356" s="162"/>
      <c r="F356" s="162"/>
      <c r="G356" s="162"/>
      <c r="H356" s="151"/>
      <c r="I356" s="151"/>
      <c r="J356" s="151"/>
      <c r="K356" s="151"/>
      <c r="L356" s="163"/>
      <c r="M356" s="164"/>
      <c r="N356" s="164"/>
      <c r="O356" s="165"/>
      <c r="P356" s="48"/>
      <c r="Q356" s="107"/>
      <c r="R356" s="107"/>
      <c r="S356" s="107"/>
      <c r="T356" s="107"/>
      <c r="U356" s="16"/>
      <c r="V356" s="16"/>
      <c r="W356" s="16"/>
      <c r="X356" s="16"/>
      <c r="Y356" s="16"/>
      <c r="Z356" s="16"/>
      <c r="AA356" s="16"/>
      <c r="AB356" s="16"/>
      <c r="AC356" s="16"/>
      <c r="AD356" s="55"/>
      <c r="AE356" s="56"/>
      <c r="AF356" s="57"/>
      <c r="AG356" s="57"/>
      <c r="AH356" s="57"/>
      <c r="AI356" s="57"/>
      <c r="AJ356" s="58"/>
      <c r="AK356" s="58"/>
      <c r="AL356" s="58"/>
      <c r="AM356" s="59"/>
      <c r="AN356" s="60"/>
      <c r="AO356" s="16"/>
      <c r="AP356" s="16"/>
      <c r="AQ356" s="61"/>
    </row>
    <row r="357" ht="12.75" customHeight="1">
      <c r="A357" s="15"/>
      <c r="B357" s="162"/>
      <c r="C357" s="162"/>
      <c r="D357" s="162"/>
      <c r="E357" s="162"/>
      <c r="F357" s="162"/>
      <c r="G357" s="162"/>
      <c r="H357" s="151"/>
      <c r="I357" s="151"/>
      <c r="J357" s="151"/>
      <c r="K357" s="151"/>
      <c r="L357" s="163"/>
      <c r="M357" s="164"/>
      <c r="N357" s="164"/>
      <c r="O357" s="165"/>
      <c r="P357" s="48"/>
      <c r="Q357" s="107"/>
      <c r="R357" s="107"/>
      <c r="S357" s="107"/>
      <c r="T357" s="107"/>
      <c r="U357" s="16"/>
      <c r="V357" s="16"/>
      <c r="W357" s="16"/>
      <c r="X357" s="16"/>
      <c r="Y357" s="16"/>
      <c r="Z357" s="16"/>
      <c r="AA357" s="16"/>
      <c r="AB357" s="16"/>
      <c r="AC357" s="16"/>
      <c r="AD357" s="55"/>
      <c r="AE357" s="56"/>
      <c r="AF357" s="57"/>
      <c r="AG357" s="57"/>
      <c r="AH357" s="57"/>
      <c r="AI357" s="57"/>
      <c r="AJ357" s="58"/>
      <c r="AK357" s="58"/>
      <c r="AL357" s="58"/>
      <c r="AM357" s="59"/>
      <c r="AN357" s="60"/>
      <c r="AO357" s="16"/>
      <c r="AP357" s="16"/>
      <c r="AQ357" s="61"/>
    </row>
    <row r="358" ht="12.75" customHeight="1">
      <c r="A358" s="15"/>
      <c r="B358" s="162"/>
      <c r="C358" s="162"/>
      <c r="D358" s="162"/>
      <c r="E358" s="162"/>
      <c r="F358" s="162"/>
      <c r="G358" s="162"/>
      <c r="H358" s="151"/>
      <c r="I358" s="151"/>
      <c r="J358" s="151"/>
      <c r="K358" s="151"/>
      <c r="L358" s="163"/>
      <c r="M358" s="164"/>
      <c r="N358" s="164"/>
      <c r="O358" s="165"/>
      <c r="P358" s="48"/>
      <c r="Q358" s="107"/>
      <c r="R358" s="107"/>
      <c r="S358" s="107"/>
      <c r="T358" s="107"/>
      <c r="U358" s="16"/>
      <c r="V358" s="16"/>
      <c r="W358" s="16"/>
      <c r="X358" s="16"/>
      <c r="Y358" s="16"/>
      <c r="Z358" s="16"/>
      <c r="AA358" s="16"/>
      <c r="AB358" s="16"/>
      <c r="AC358" s="16"/>
      <c r="AD358" s="55"/>
      <c r="AE358" s="56"/>
      <c r="AF358" s="57"/>
      <c r="AG358" s="57"/>
      <c r="AH358" s="57"/>
      <c r="AI358" s="57"/>
      <c r="AJ358" s="58"/>
      <c r="AK358" s="58"/>
      <c r="AL358" s="58"/>
      <c r="AM358" s="59"/>
      <c r="AN358" s="60"/>
      <c r="AO358" s="16"/>
      <c r="AP358" s="16"/>
      <c r="AQ358" s="61"/>
    </row>
    <row r="359" ht="12.75" customHeight="1">
      <c r="A359" s="15"/>
      <c r="B359" s="162"/>
      <c r="C359" s="162"/>
      <c r="D359" s="162"/>
      <c r="E359" s="162"/>
      <c r="F359" s="162"/>
      <c r="G359" s="162"/>
      <c r="H359" s="151"/>
      <c r="I359" s="151"/>
      <c r="J359" s="151"/>
      <c r="K359" s="151"/>
      <c r="L359" s="163"/>
      <c r="M359" s="164"/>
      <c r="N359" s="164"/>
      <c r="O359" s="165"/>
      <c r="P359" s="48"/>
      <c r="Q359" s="107"/>
      <c r="R359" s="107"/>
      <c r="S359" s="107"/>
      <c r="T359" s="107"/>
      <c r="U359" s="16"/>
      <c r="V359" s="16"/>
      <c r="W359" s="16"/>
      <c r="X359" s="16"/>
      <c r="Y359" s="16"/>
      <c r="Z359" s="16"/>
      <c r="AA359" s="16"/>
      <c r="AB359" s="16"/>
      <c r="AC359" s="16"/>
      <c r="AD359" s="55"/>
      <c r="AE359" s="56"/>
      <c r="AF359" s="57"/>
      <c r="AG359" s="57"/>
      <c r="AH359" s="57"/>
      <c r="AI359" s="57"/>
      <c r="AJ359" s="58"/>
      <c r="AK359" s="58"/>
      <c r="AL359" s="58"/>
      <c r="AM359" s="59"/>
      <c r="AN359" s="60"/>
      <c r="AO359" s="16"/>
      <c r="AP359" s="16"/>
      <c r="AQ359" s="61"/>
    </row>
    <row r="360" ht="12.75" customHeight="1">
      <c r="A360" s="15"/>
      <c r="B360" s="162"/>
      <c r="C360" s="162"/>
      <c r="D360" s="162"/>
      <c r="E360" s="162"/>
      <c r="F360" s="162"/>
      <c r="G360" s="162"/>
      <c r="H360" s="151"/>
      <c r="I360" s="151"/>
      <c r="J360" s="151"/>
      <c r="K360" s="151"/>
      <c r="L360" s="163"/>
      <c r="M360" s="164"/>
      <c r="N360" s="164"/>
      <c r="O360" s="165"/>
      <c r="P360" s="48"/>
      <c r="Q360" s="107"/>
      <c r="R360" s="107"/>
      <c r="S360" s="107"/>
      <c r="T360" s="107"/>
      <c r="U360" s="16"/>
      <c r="V360" s="16"/>
      <c r="W360" s="16"/>
      <c r="X360" s="16"/>
      <c r="Y360" s="16"/>
      <c r="Z360" s="16"/>
      <c r="AA360" s="16"/>
      <c r="AB360" s="16"/>
      <c r="AC360" s="16"/>
      <c r="AD360" s="55"/>
      <c r="AE360" s="56"/>
      <c r="AF360" s="57"/>
      <c r="AG360" s="57"/>
      <c r="AH360" s="57"/>
      <c r="AI360" s="57"/>
      <c r="AJ360" s="58"/>
      <c r="AK360" s="58"/>
      <c r="AL360" s="58"/>
      <c r="AM360" s="59"/>
      <c r="AN360" s="60"/>
      <c r="AO360" s="16"/>
      <c r="AP360" s="16"/>
      <c r="AQ360" s="61"/>
    </row>
    <row r="361" ht="12.75" customHeight="1">
      <c r="A361" s="15"/>
      <c r="B361" s="162"/>
      <c r="C361" s="162"/>
      <c r="D361" s="162"/>
      <c r="E361" s="162"/>
      <c r="F361" s="162"/>
      <c r="G361" s="162"/>
      <c r="H361" s="151"/>
      <c r="I361" s="151"/>
      <c r="J361" s="151"/>
      <c r="K361" s="151"/>
      <c r="L361" s="163"/>
      <c r="M361" s="164"/>
      <c r="N361" s="164"/>
      <c r="O361" s="165"/>
      <c r="P361" s="48"/>
      <c r="Q361" s="107"/>
      <c r="R361" s="107"/>
      <c r="S361" s="107"/>
      <c r="T361" s="107"/>
      <c r="U361" s="16"/>
      <c r="V361" s="16"/>
      <c r="W361" s="16"/>
      <c r="X361" s="16"/>
      <c r="Y361" s="16"/>
      <c r="Z361" s="16"/>
      <c r="AA361" s="16"/>
      <c r="AB361" s="16"/>
      <c r="AC361" s="16"/>
      <c r="AD361" s="55"/>
      <c r="AE361" s="56"/>
      <c r="AF361" s="57"/>
      <c r="AG361" s="57"/>
      <c r="AH361" s="57"/>
      <c r="AI361" s="57"/>
      <c r="AJ361" s="58"/>
      <c r="AK361" s="58"/>
      <c r="AL361" s="58"/>
      <c r="AM361" s="59"/>
      <c r="AN361" s="60"/>
      <c r="AO361" s="16"/>
      <c r="AP361" s="16"/>
      <c r="AQ361" s="61"/>
    </row>
    <row r="362" ht="12.75" customHeight="1">
      <c r="A362" s="15"/>
      <c r="B362" s="162"/>
      <c r="C362" s="162"/>
      <c r="D362" s="162"/>
      <c r="E362" s="162"/>
      <c r="F362" s="162"/>
      <c r="G362" s="162"/>
      <c r="H362" s="151"/>
      <c r="I362" s="151"/>
      <c r="J362" s="151"/>
      <c r="K362" s="151"/>
      <c r="L362" s="163"/>
      <c r="M362" s="164"/>
      <c r="N362" s="164"/>
      <c r="O362" s="165"/>
      <c r="P362" s="48"/>
      <c r="Q362" s="107"/>
      <c r="R362" s="107"/>
      <c r="S362" s="107"/>
      <c r="T362" s="107"/>
      <c r="U362" s="16"/>
      <c r="V362" s="16"/>
      <c r="W362" s="16"/>
      <c r="X362" s="16"/>
      <c r="Y362" s="16"/>
      <c r="Z362" s="16"/>
      <c r="AA362" s="16"/>
      <c r="AB362" s="16"/>
      <c r="AC362" s="16"/>
      <c r="AD362" s="55"/>
      <c r="AE362" s="56"/>
      <c r="AF362" s="57"/>
      <c r="AG362" s="57"/>
      <c r="AH362" s="57"/>
      <c r="AI362" s="57"/>
      <c r="AJ362" s="58"/>
      <c r="AK362" s="58"/>
      <c r="AL362" s="58"/>
      <c r="AM362" s="59"/>
      <c r="AN362" s="60"/>
      <c r="AO362" s="16"/>
      <c r="AP362" s="16"/>
      <c r="AQ362" s="61"/>
    </row>
    <row r="363" ht="12.75" customHeight="1">
      <c r="A363" s="15"/>
      <c r="B363" s="162"/>
      <c r="C363" s="162"/>
      <c r="D363" s="162"/>
      <c r="E363" s="162"/>
      <c r="F363" s="162"/>
      <c r="G363" s="162"/>
      <c r="H363" s="151"/>
      <c r="I363" s="151"/>
      <c r="J363" s="151"/>
      <c r="K363" s="151"/>
      <c r="L363" s="163"/>
      <c r="M363" s="164"/>
      <c r="N363" s="164"/>
      <c r="O363" s="165"/>
      <c r="P363" s="48"/>
      <c r="Q363" s="107"/>
      <c r="R363" s="107"/>
      <c r="S363" s="107"/>
      <c r="T363" s="107"/>
      <c r="U363" s="16"/>
      <c r="V363" s="16"/>
      <c r="W363" s="16"/>
      <c r="X363" s="16"/>
      <c r="Y363" s="16"/>
      <c r="Z363" s="16"/>
      <c r="AA363" s="16"/>
      <c r="AB363" s="16"/>
      <c r="AC363" s="16"/>
      <c r="AD363" s="55"/>
      <c r="AE363" s="56"/>
      <c r="AF363" s="57"/>
      <c r="AG363" s="57"/>
      <c r="AH363" s="57"/>
      <c r="AI363" s="57"/>
      <c r="AJ363" s="58"/>
      <c r="AK363" s="58"/>
      <c r="AL363" s="58"/>
      <c r="AM363" s="59"/>
      <c r="AN363" s="60"/>
      <c r="AO363" s="16"/>
      <c r="AP363" s="16"/>
      <c r="AQ363" s="61"/>
    </row>
    <row r="364" ht="12.75" customHeight="1">
      <c r="A364" s="15"/>
      <c r="B364" s="162"/>
      <c r="C364" s="162"/>
      <c r="D364" s="162"/>
      <c r="E364" s="162"/>
      <c r="F364" s="162"/>
      <c r="G364" s="162"/>
      <c r="H364" s="151"/>
      <c r="I364" s="151"/>
      <c r="J364" s="151"/>
      <c r="K364" s="151"/>
      <c r="L364" s="163"/>
      <c r="M364" s="164"/>
      <c r="N364" s="164"/>
      <c r="O364" s="165"/>
      <c r="P364" s="48"/>
      <c r="Q364" s="107"/>
      <c r="R364" s="107"/>
      <c r="S364" s="107"/>
      <c r="T364" s="107"/>
      <c r="U364" s="16"/>
      <c r="V364" s="16"/>
      <c r="W364" s="16"/>
      <c r="X364" s="16"/>
      <c r="Y364" s="16"/>
      <c r="Z364" s="16"/>
      <c r="AA364" s="16"/>
      <c r="AB364" s="16"/>
      <c r="AC364" s="16"/>
      <c r="AD364" s="55"/>
      <c r="AE364" s="56"/>
      <c r="AF364" s="57"/>
      <c r="AG364" s="57"/>
      <c r="AH364" s="57"/>
      <c r="AI364" s="57"/>
      <c r="AJ364" s="58"/>
      <c r="AK364" s="58"/>
      <c r="AL364" s="58"/>
      <c r="AM364" s="59"/>
      <c r="AN364" s="60"/>
      <c r="AO364" s="16"/>
      <c r="AP364" s="16"/>
      <c r="AQ364" s="61"/>
    </row>
    <row r="365" ht="12.75" customHeight="1">
      <c r="A365" s="15"/>
      <c r="B365" s="162"/>
      <c r="C365" s="162"/>
      <c r="D365" s="162"/>
      <c r="E365" s="162"/>
      <c r="F365" s="162"/>
      <c r="G365" s="162"/>
      <c r="H365" s="151"/>
      <c r="I365" s="151"/>
      <c r="J365" s="151"/>
      <c r="K365" s="151"/>
      <c r="L365" s="163"/>
      <c r="M365" s="164"/>
      <c r="N365" s="164"/>
      <c r="O365" s="165"/>
      <c r="P365" s="48"/>
      <c r="Q365" s="107"/>
      <c r="R365" s="107"/>
      <c r="S365" s="107"/>
      <c r="T365" s="107"/>
      <c r="U365" s="16"/>
      <c r="V365" s="16"/>
      <c r="W365" s="16"/>
      <c r="X365" s="16"/>
      <c r="Y365" s="16"/>
      <c r="Z365" s="16"/>
      <c r="AA365" s="16"/>
      <c r="AB365" s="16"/>
      <c r="AC365" s="16"/>
      <c r="AD365" s="55"/>
      <c r="AE365" s="56"/>
      <c r="AF365" s="57"/>
      <c r="AG365" s="57"/>
      <c r="AH365" s="57"/>
      <c r="AI365" s="57"/>
      <c r="AJ365" s="58"/>
      <c r="AK365" s="58"/>
      <c r="AL365" s="58"/>
      <c r="AM365" s="59"/>
      <c r="AN365" s="60"/>
      <c r="AO365" s="16"/>
      <c r="AP365" s="16"/>
      <c r="AQ365" s="61"/>
    </row>
    <row r="366" ht="12.75" customHeight="1">
      <c r="A366" s="15"/>
      <c r="B366" s="162"/>
      <c r="C366" s="162"/>
      <c r="D366" s="162"/>
      <c r="E366" s="162"/>
      <c r="F366" s="162"/>
      <c r="G366" s="162"/>
      <c r="H366" s="151"/>
      <c r="I366" s="151"/>
      <c r="J366" s="151"/>
      <c r="K366" s="151"/>
      <c r="L366" s="163"/>
      <c r="M366" s="164"/>
      <c r="N366" s="164"/>
      <c r="O366" s="165"/>
      <c r="P366" s="48"/>
      <c r="Q366" s="107"/>
      <c r="R366" s="107"/>
      <c r="S366" s="107"/>
      <c r="T366" s="107"/>
      <c r="U366" s="16"/>
      <c r="V366" s="16"/>
      <c r="W366" s="16"/>
      <c r="X366" s="16"/>
      <c r="Y366" s="16"/>
      <c r="Z366" s="16"/>
      <c r="AA366" s="16"/>
      <c r="AB366" s="16"/>
      <c r="AC366" s="16"/>
      <c r="AD366" s="55"/>
      <c r="AE366" s="56"/>
      <c r="AF366" s="57"/>
      <c r="AG366" s="57"/>
      <c r="AH366" s="57"/>
      <c r="AI366" s="57"/>
      <c r="AJ366" s="58"/>
      <c r="AK366" s="58"/>
      <c r="AL366" s="58"/>
      <c r="AM366" s="59"/>
      <c r="AN366" s="60"/>
      <c r="AO366" s="16"/>
      <c r="AP366" s="16"/>
      <c r="AQ366" s="61"/>
    </row>
    <row r="367" ht="12.75" customHeight="1">
      <c r="A367" s="15"/>
      <c r="B367" s="162"/>
      <c r="C367" s="162"/>
      <c r="D367" s="162"/>
      <c r="E367" s="162"/>
      <c r="F367" s="162"/>
      <c r="G367" s="162"/>
      <c r="H367" s="151"/>
      <c r="I367" s="151"/>
      <c r="J367" s="151"/>
      <c r="K367" s="151"/>
      <c r="L367" s="163"/>
      <c r="M367" s="164"/>
      <c r="N367" s="164"/>
      <c r="O367" s="165"/>
      <c r="P367" s="48"/>
      <c r="Q367" s="107"/>
      <c r="R367" s="107"/>
      <c r="S367" s="107"/>
      <c r="T367" s="107"/>
      <c r="U367" s="16"/>
      <c r="V367" s="16"/>
      <c r="W367" s="16"/>
      <c r="X367" s="16"/>
      <c r="Y367" s="16"/>
      <c r="Z367" s="16"/>
      <c r="AA367" s="16"/>
      <c r="AB367" s="16"/>
      <c r="AC367" s="16"/>
      <c r="AD367" s="55"/>
      <c r="AE367" s="56"/>
      <c r="AF367" s="57"/>
      <c r="AG367" s="57"/>
      <c r="AH367" s="57"/>
      <c r="AI367" s="57"/>
      <c r="AJ367" s="58"/>
      <c r="AK367" s="58"/>
      <c r="AL367" s="58"/>
      <c r="AM367" s="59"/>
      <c r="AN367" s="60"/>
      <c r="AO367" s="16"/>
      <c r="AP367" s="16"/>
      <c r="AQ367" s="61"/>
    </row>
    <row r="368" ht="12.75" customHeight="1">
      <c r="A368" s="15"/>
      <c r="B368" s="162"/>
      <c r="C368" s="162"/>
      <c r="D368" s="162"/>
      <c r="E368" s="162"/>
      <c r="F368" s="162"/>
      <c r="G368" s="162"/>
      <c r="H368" s="151"/>
      <c r="I368" s="151"/>
      <c r="J368" s="151"/>
      <c r="K368" s="151"/>
      <c r="L368" s="163"/>
      <c r="M368" s="164"/>
      <c r="N368" s="164"/>
      <c r="O368" s="165"/>
      <c r="P368" s="48"/>
      <c r="Q368" s="107"/>
      <c r="R368" s="107"/>
      <c r="S368" s="107"/>
      <c r="T368" s="107"/>
      <c r="U368" s="16"/>
      <c r="V368" s="16"/>
      <c r="W368" s="16"/>
      <c r="X368" s="16"/>
      <c r="Y368" s="16"/>
      <c r="Z368" s="16"/>
      <c r="AA368" s="16"/>
      <c r="AB368" s="16"/>
      <c r="AC368" s="16"/>
      <c r="AD368" s="55"/>
      <c r="AE368" s="56"/>
      <c r="AF368" s="57"/>
      <c r="AG368" s="57"/>
      <c r="AH368" s="57"/>
      <c r="AI368" s="57"/>
      <c r="AJ368" s="58"/>
      <c r="AK368" s="58"/>
      <c r="AL368" s="58"/>
      <c r="AM368" s="59"/>
      <c r="AN368" s="60"/>
      <c r="AO368" s="16"/>
      <c r="AP368" s="16"/>
      <c r="AQ368" s="61"/>
    </row>
    <row r="369" ht="12.75" customHeight="1">
      <c r="A369" s="15"/>
      <c r="B369" s="162"/>
      <c r="C369" s="162"/>
      <c r="D369" s="162"/>
      <c r="E369" s="162"/>
      <c r="F369" s="162"/>
      <c r="G369" s="162"/>
      <c r="H369" s="151"/>
      <c r="I369" s="151"/>
      <c r="J369" s="151"/>
      <c r="K369" s="151"/>
      <c r="L369" s="163"/>
      <c r="M369" s="164"/>
      <c r="N369" s="164"/>
      <c r="O369" s="165"/>
      <c r="P369" s="48"/>
      <c r="Q369" s="107"/>
      <c r="R369" s="107"/>
      <c r="S369" s="107"/>
      <c r="T369" s="107"/>
      <c r="U369" s="16"/>
      <c r="V369" s="16"/>
      <c r="W369" s="16"/>
      <c r="X369" s="16"/>
      <c r="Y369" s="16"/>
      <c r="Z369" s="16"/>
      <c r="AA369" s="16"/>
      <c r="AB369" s="16"/>
      <c r="AC369" s="16"/>
      <c r="AD369" s="55"/>
      <c r="AE369" s="56"/>
      <c r="AF369" s="57"/>
      <c r="AG369" s="57"/>
      <c r="AH369" s="57"/>
      <c r="AI369" s="57"/>
      <c r="AJ369" s="58"/>
      <c r="AK369" s="58"/>
      <c r="AL369" s="58"/>
      <c r="AM369" s="59"/>
      <c r="AN369" s="60"/>
      <c r="AO369" s="16"/>
      <c r="AP369" s="16"/>
      <c r="AQ369" s="61"/>
    </row>
    <row r="370" ht="12.75" customHeight="1">
      <c r="A370" s="15"/>
      <c r="B370" s="162"/>
      <c r="C370" s="162"/>
      <c r="D370" s="162"/>
      <c r="E370" s="162"/>
      <c r="F370" s="162"/>
      <c r="G370" s="162"/>
      <c r="H370" s="151"/>
      <c r="I370" s="151"/>
      <c r="J370" s="151"/>
      <c r="K370" s="151"/>
      <c r="L370" s="163"/>
      <c r="M370" s="164"/>
      <c r="N370" s="164"/>
      <c r="O370" s="165"/>
      <c r="P370" s="48"/>
      <c r="Q370" s="107"/>
      <c r="R370" s="107"/>
      <c r="S370" s="107"/>
      <c r="T370" s="107"/>
      <c r="U370" s="16"/>
      <c r="V370" s="16"/>
      <c r="W370" s="16"/>
      <c r="X370" s="16"/>
      <c r="Y370" s="16"/>
      <c r="Z370" s="16"/>
      <c r="AA370" s="16"/>
      <c r="AB370" s="16"/>
      <c r="AC370" s="16"/>
      <c r="AD370" s="55"/>
      <c r="AE370" s="56"/>
      <c r="AF370" s="57"/>
      <c r="AG370" s="57"/>
      <c r="AH370" s="57"/>
      <c r="AI370" s="57"/>
      <c r="AJ370" s="58"/>
      <c r="AK370" s="58"/>
      <c r="AL370" s="58"/>
      <c r="AM370" s="59"/>
      <c r="AN370" s="60"/>
      <c r="AO370" s="16"/>
      <c r="AP370" s="16"/>
      <c r="AQ370" s="61"/>
    </row>
    <row r="371" ht="12.75" customHeight="1">
      <c r="A371" s="15"/>
      <c r="B371" s="162"/>
      <c r="C371" s="162"/>
      <c r="D371" s="162"/>
      <c r="E371" s="162"/>
      <c r="F371" s="162"/>
      <c r="G371" s="162"/>
      <c r="H371" s="151"/>
      <c r="I371" s="151"/>
      <c r="J371" s="151"/>
      <c r="K371" s="151"/>
      <c r="L371" s="163"/>
      <c r="M371" s="164"/>
      <c r="N371" s="164"/>
      <c r="O371" s="165"/>
      <c r="P371" s="48"/>
      <c r="Q371" s="107"/>
      <c r="R371" s="107"/>
      <c r="S371" s="107"/>
      <c r="T371" s="107"/>
      <c r="U371" s="16"/>
      <c r="V371" s="16"/>
      <c r="W371" s="16"/>
      <c r="X371" s="16"/>
      <c r="Y371" s="16"/>
      <c r="Z371" s="16"/>
      <c r="AA371" s="16"/>
      <c r="AB371" s="16"/>
      <c r="AC371" s="16"/>
      <c r="AD371" s="55"/>
      <c r="AE371" s="56"/>
      <c r="AF371" s="57"/>
      <c r="AG371" s="57"/>
      <c r="AH371" s="57"/>
      <c r="AI371" s="57"/>
      <c r="AJ371" s="58"/>
      <c r="AK371" s="58"/>
      <c r="AL371" s="58"/>
      <c r="AM371" s="59"/>
      <c r="AN371" s="60"/>
      <c r="AO371" s="16"/>
      <c r="AP371" s="16"/>
      <c r="AQ371" s="61"/>
    </row>
    <row r="372" ht="12.75" customHeight="1">
      <c r="A372" s="15"/>
      <c r="B372" s="162"/>
      <c r="C372" s="162"/>
      <c r="D372" s="162"/>
      <c r="E372" s="162"/>
      <c r="F372" s="162"/>
      <c r="G372" s="162"/>
      <c r="H372" s="151"/>
      <c r="I372" s="151"/>
      <c r="J372" s="151"/>
      <c r="K372" s="151"/>
      <c r="L372" s="163"/>
      <c r="M372" s="164"/>
      <c r="N372" s="164"/>
      <c r="O372" s="165"/>
      <c r="P372" s="48"/>
      <c r="Q372" s="107"/>
      <c r="R372" s="107"/>
      <c r="S372" s="107"/>
      <c r="T372" s="107"/>
      <c r="U372" s="16"/>
      <c r="V372" s="16"/>
      <c r="W372" s="16"/>
      <c r="X372" s="16"/>
      <c r="Y372" s="16"/>
      <c r="Z372" s="16"/>
      <c r="AA372" s="16"/>
      <c r="AB372" s="16"/>
      <c r="AC372" s="16"/>
      <c r="AD372" s="55"/>
      <c r="AE372" s="56"/>
      <c r="AF372" s="57"/>
      <c r="AG372" s="57"/>
      <c r="AH372" s="57"/>
      <c r="AI372" s="57"/>
      <c r="AJ372" s="58"/>
      <c r="AK372" s="58"/>
      <c r="AL372" s="58"/>
      <c r="AM372" s="59"/>
      <c r="AN372" s="60"/>
      <c r="AO372" s="16"/>
      <c r="AP372" s="16"/>
      <c r="AQ372" s="61"/>
    </row>
    <row r="373" ht="12.75" customHeight="1">
      <c r="A373" s="15"/>
      <c r="B373" s="162"/>
      <c r="C373" s="162"/>
      <c r="D373" s="162"/>
      <c r="E373" s="162"/>
      <c r="F373" s="162"/>
      <c r="G373" s="162"/>
      <c r="H373" s="151"/>
      <c r="I373" s="151"/>
      <c r="J373" s="151"/>
      <c r="K373" s="151"/>
      <c r="L373" s="163"/>
      <c r="M373" s="164"/>
      <c r="N373" s="164"/>
      <c r="O373" s="165"/>
      <c r="P373" s="48"/>
      <c r="Q373" s="107"/>
      <c r="R373" s="107"/>
      <c r="S373" s="107"/>
      <c r="T373" s="107"/>
      <c r="U373" s="16"/>
      <c r="V373" s="16"/>
      <c r="W373" s="16"/>
      <c r="X373" s="16"/>
      <c r="Y373" s="16"/>
      <c r="Z373" s="16"/>
      <c r="AA373" s="16"/>
      <c r="AB373" s="16"/>
      <c r="AC373" s="16"/>
      <c r="AD373" s="55"/>
      <c r="AE373" s="56"/>
      <c r="AF373" s="57"/>
      <c r="AG373" s="57"/>
      <c r="AH373" s="57"/>
      <c r="AI373" s="57"/>
      <c r="AJ373" s="58"/>
      <c r="AK373" s="58"/>
      <c r="AL373" s="58"/>
      <c r="AM373" s="59"/>
      <c r="AN373" s="60"/>
      <c r="AO373" s="16"/>
      <c r="AP373" s="16"/>
      <c r="AQ373" s="61"/>
    </row>
    <row r="374" ht="12.75" customHeight="1">
      <c r="A374" s="15"/>
      <c r="B374" s="162"/>
      <c r="C374" s="162"/>
      <c r="D374" s="162"/>
      <c r="E374" s="162"/>
      <c r="F374" s="162"/>
      <c r="G374" s="162"/>
      <c r="H374" s="151"/>
      <c r="I374" s="151"/>
      <c r="J374" s="151"/>
      <c r="K374" s="151"/>
      <c r="L374" s="163"/>
      <c r="M374" s="164"/>
      <c r="N374" s="164"/>
      <c r="O374" s="165"/>
      <c r="P374" s="48"/>
      <c r="Q374" s="107"/>
      <c r="R374" s="107"/>
      <c r="S374" s="107"/>
      <c r="T374" s="107"/>
      <c r="U374" s="16"/>
      <c r="V374" s="16"/>
      <c r="W374" s="16"/>
      <c r="X374" s="16"/>
      <c r="Y374" s="16"/>
      <c r="Z374" s="16"/>
      <c r="AA374" s="16"/>
      <c r="AB374" s="16"/>
      <c r="AC374" s="16"/>
      <c r="AD374" s="55"/>
      <c r="AE374" s="56"/>
      <c r="AF374" s="57"/>
      <c r="AG374" s="57"/>
      <c r="AH374" s="57"/>
      <c r="AI374" s="57"/>
      <c r="AJ374" s="58"/>
      <c r="AK374" s="58"/>
      <c r="AL374" s="58"/>
      <c r="AM374" s="59"/>
      <c r="AN374" s="60"/>
      <c r="AO374" s="16"/>
      <c r="AP374" s="16"/>
      <c r="AQ374" s="61"/>
    </row>
    <row r="375" ht="12.75" customHeight="1">
      <c r="A375" s="15"/>
      <c r="B375" s="162"/>
      <c r="C375" s="162"/>
      <c r="D375" s="162"/>
      <c r="E375" s="162"/>
      <c r="F375" s="162"/>
      <c r="G375" s="162"/>
      <c r="H375" s="151"/>
      <c r="I375" s="151"/>
      <c r="J375" s="151"/>
      <c r="K375" s="151"/>
      <c r="L375" s="163"/>
      <c r="M375" s="164"/>
      <c r="N375" s="164"/>
      <c r="O375" s="165"/>
      <c r="P375" s="48"/>
      <c r="Q375" s="107"/>
      <c r="R375" s="107"/>
      <c r="S375" s="107"/>
      <c r="T375" s="107"/>
      <c r="U375" s="16"/>
      <c r="V375" s="16"/>
      <c r="W375" s="16"/>
      <c r="X375" s="16"/>
      <c r="Y375" s="16"/>
      <c r="Z375" s="16"/>
      <c r="AA375" s="16"/>
      <c r="AB375" s="16"/>
      <c r="AC375" s="16"/>
      <c r="AD375" s="55"/>
      <c r="AE375" s="56"/>
      <c r="AF375" s="57"/>
      <c r="AG375" s="57"/>
      <c r="AH375" s="57"/>
      <c r="AI375" s="57"/>
      <c r="AJ375" s="58"/>
      <c r="AK375" s="58"/>
      <c r="AL375" s="58"/>
      <c r="AM375" s="59"/>
      <c r="AN375" s="60"/>
      <c r="AO375" s="16"/>
      <c r="AP375" s="16"/>
      <c r="AQ375" s="61"/>
    </row>
    <row r="376" ht="12.75" customHeight="1">
      <c r="A376" s="15"/>
      <c r="B376" s="162"/>
      <c r="C376" s="162"/>
      <c r="D376" s="162"/>
      <c r="E376" s="162"/>
      <c r="F376" s="162"/>
      <c r="G376" s="162"/>
      <c r="H376" s="151"/>
      <c r="I376" s="151"/>
      <c r="J376" s="151"/>
      <c r="K376" s="151"/>
      <c r="L376" s="163"/>
      <c r="M376" s="164"/>
      <c r="N376" s="164"/>
      <c r="O376" s="165"/>
      <c r="P376" s="48"/>
      <c r="Q376" s="107"/>
      <c r="R376" s="107"/>
      <c r="S376" s="107"/>
      <c r="T376" s="107"/>
      <c r="U376" s="16"/>
      <c r="V376" s="16"/>
      <c r="W376" s="16"/>
      <c r="X376" s="16"/>
      <c r="Y376" s="16"/>
      <c r="Z376" s="16"/>
      <c r="AA376" s="16"/>
      <c r="AB376" s="16"/>
      <c r="AC376" s="16"/>
      <c r="AD376" s="55"/>
      <c r="AE376" s="56"/>
      <c r="AF376" s="57"/>
      <c r="AG376" s="57"/>
      <c r="AH376" s="57"/>
      <c r="AI376" s="57"/>
      <c r="AJ376" s="58"/>
      <c r="AK376" s="58"/>
      <c r="AL376" s="58"/>
      <c r="AM376" s="59"/>
      <c r="AN376" s="60"/>
      <c r="AO376" s="16"/>
      <c r="AP376" s="16"/>
      <c r="AQ376" s="61"/>
    </row>
    <row r="377" ht="12.75" customHeight="1">
      <c r="A377" s="15"/>
      <c r="B377" s="162"/>
      <c r="C377" s="162"/>
      <c r="D377" s="162"/>
      <c r="E377" s="162"/>
      <c r="F377" s="162"/>
      <c r="G377" s="162"/>
      <c r="H377" s="151"/>
      <c r="I377" s="151"/>
      <c r="J377" s="151"/>
      <c r="K377" s="151"/>
      <c r="L377" s="163"/>
      <c r="M377" s="164"/>
      <c r="N377" s="164"/>
      <c r="O377" s="165"/>
      <c r="P377" s="48"/>
      <c r="Q377" s="107"/>
      <c r="R377" s="107"/>
      <c r="S377" s="107"/>
      <c r="T377" s="107"/>
      <c r="U377" s="16"/>
      <c r="V377" s="16"/>
      <c r="W377" s="16"/>
      <c r="X377" s="16"/>
      <c r="Y377" s="16"/>
      <c r="Z377" s="16"/>
      <c r="AA377" s="16"/>
      <c r="AB377" s="16"/>
      <c r="AC377" s="16"/>
      <c r="AD377" s="55"/>
      <c r="AE377" s="56"/>
      <c r="AF377" s="57"/>
      <c r="AG377" s="57"/>
      <c r="AH377" s="57"/>
      <c r="AI377" s="57"/>
      <c r="AJ377" s="58"/>
      <c r="AK377" s="58"/>
      <c r="AL377" s="58"/>
      <c r="AM377" s="59"/>
      <c r="AN377" s="60"/>
      <c r="AO377" s="16"/>
      <c r="AP377" s="16"/>
      <c r="AQ377" s="61"/>
    </row>
    <row r="378" ht="12.75" customHeight="1">
      <c r="A378" s="15"/>
      <c r="B378" s="162"/>
      <c r="C378" s="162"/>
      <c r="D378" s="162"/>
      <c r="E378" s="162"/>
      <c r="F378" s="162"/>
      <c r="G378" s="162"/>
      <c r="H378" s="151"/>
      <c r="I378" s="151"/>
      <c r="J378" s="151"/>
      <c r="K378" s="151"/>
      <c r="L378" s="163"/>
      <c r="M378" s="164"/>
      <c r="N378" s="164"/>
      <c r="O378" s="165"/>
      <c r="P378" s="48"/>
      <c r="Q378" s="107"/>
      <c r="R378" s="107"/>
      <c r="S378" s="107"/>
      <c r="T378" s="107"/>
      <c r="U378" s="16"/>
      <c r="V378" s="16"/>
      <c r="W378" s="16"/>
      <c r="X378" s="16"/>
      <c r="Y378" s="16"/>
      <c r="Z378" s="16"/>
      <c r="AA378" s="16"/>
      <c r="AB378" s="16"/>
      <c r="AC378" s="16"/>
      <c r="AD378" s="55"/>
      <c r="AE378" s="56"/>
      <c r="AF378" s="57"/>
      <c r="AG378" s="57"/>
      <c r="AH378" s="57"/>
      <c r="AI378" s="57"/>
      <c r="AJ378" s="58"/>
      <c r="AK378" s="58"/>
      <c r="AL378" s="58"/>
      <c r="AM378" s="59"/>
      <c r="AN378" s="60"/>
      <c r="AO378" s="16"/>
      <c r="AP378" s="16"/>
      <c r="AQ378" s="61"/>
    </row>
    <row r="379" ht="12.75" customHeight="1">
      <c r="A379" s="15"/>
      <c r="B379" s="162"/>
      <c r="C379" s="162"/>
      <c r="D379" s="162"/>
      <c r="E379" s="162"/>
      <c r="F379" s="162"/>
      <c r="G379" s="162"/>
      <c r="H379" s="151"/>
      <c r="I379" s="151"/>
      <c r="J379" s="151"/>
      <c r="K379" s="151"/>
      <c r="L379" s="163"/>
      <c r="M379" s="164"/>
      <c r="N379" s="164"/>
      <c r="O379" s="165"/>
      <c r="P379" s="48"/>
      <c r="Q379" s="107"/>
      <c r="R379" s="107"/>
      <c r="S379" s="107"/>
      <c r="T379" s="107"/>
      <c r="U379" s="16"/>
      <c r="V379" s="16"/>
      <c r="W379" s="16"/>
      <c r="X379" s="16"/>
      <c r="Y379" s="16"/>
      <c r="Z379" s="16"/>
      <c r="AA379" s="16"/>
      <c r="AB379" s="16"/>
      <c r="AC379" s="16"/>
      <c r="AD379" s="55"/>
      <c r="AE379" s="56"/>
      <c r="AF379" s="57"/>
      <c r="AG379" s="57"/>
      <c r="AH379" s="57"/>
      <c r="AI379" s="57"/>
      <c r="AJ379" s="58"/>
      <c r="AK379" s="58"/>
      <c r="AL379" s="58"/>
      <c r="AM379" s="59"/>
      <c r="AN379" s="60"/>
      <c r="AO379" s="16"/>
      <c r="AP379" s="16"/>
      <c r="AQ379" s="61"/>
    </row>
    <row r="380" ht="12.75" customHeight="1">
      <c r="A380" s="15"/>
      <c r="B380" s="162"/>
      <c r="C380" s="162"/>
      <c r="D380" s="162"/>
      <c r="E380" s="162"/>
      <c r="F380" s="162"/>
      <c r="G380" s="162"/>
      <c r="H380" s="151"/>
      <c r="I380" s="151"/>
      <c r="J380" s="151"/>
      <c r="K380" s="151"/>
      <c r="L380" s="163"/>
      <c r="M380" s="164"/>
      <c r="N380" s="164"/>
      <c r="O380" s="165"/>
      <c r="P380" s="48"/>
      <c r="Q380" s="107"/>
      <c r="R380" s="107"/>
      <c r="S380" s="107"/>
      <c r="T380" s="107"/>
      <c r="U380" s="16"/>
      <c r="V380" s="16"/>
      <c r="W380" s="16"/>
      <c r="X380" s="16"/>
      <c r="Y380" s="16"/>
      <c r="Z380" s="16"/>
      <c r="AA380" s="16"/>
      <c r="AB380" s="16"/>
      <c r="AC380" s="16"/>
      <c r="AD380" s="55"/>
      <c r="AE380" s="56"/>
      <c r="AF380" s="57"/>
      <c r="AG380" s="57"/>
      <c r="AH380" s="57"/>
      <c r="AI380" s="57"/>
      <c r="AJ380" s="58"/>
      <c r="AK380" s="58"/>
      <c r="AL380" s="58"/>
      <c r="AM380" s="59"/>
      <c r="AN380" s="60"/>
      <c r="AO380" s="16"/>
      <c r="AP380" s="16"/>
      <c r="AQ380" s="61"/>
    </row>
    <row r="381" ht="12.75" customHeight="1">
      <c r="A381" s="15"/>
      <c r="B381" s="162"/>
      <c r="C381" s="162"/>
      <c r="D381" s="162"/>
      <c r="E381" s="162"/>
      <c r="F381" s="162"/>
      <c r="G381" s="162"/>
      <c r="H381" s="151"/>
      <c r="I381" s="151"/>
      <c r="J381" s="151"/>
      <c r="K381" s="151"/>
      <c r="L381" s="163"/>
      <c r="M381" s="164"/>
      <c r="N381" s="164"/>
      <c r="O381" s="165"/>
      <c r="P381" s="48"/>
      <c r="Q381" s="107"/>
      <c r="R381" s="107"/>
      <c r="S381" s="107"/>
      <c r="T381" s="107"/>
      <c r="U381" s="16"/>
      <c r="V381" s="16"/>
      <c r="W381" s="16"/>
      <c r="X381" s="16"/>
      <c r="Y381" s="16"/>
      <c r="Z381" s="16"/>
      <c r="AA381" s="16"/>
      <c r="AB381" s="16"/>
      <c r="AC381" s="16"/>
      <c r="AD381" s="55"/>
      <c r="AE381" s="56"/>
      <c r="AF381" s="57"/>
      <c r="AG381" s="57"/>
      <c r="AH381" s="57"/>
      <c r="AI381" s="57"/>
      <c r="AJ381" s="58"/>
      <c r="AK381" s="58"/>
      <c r="AL381" s="58"/>
      <c r="AM381" s="59"/>
      <c r="AN381" s="60"/>
      <c r="AO381" s="16"/>
      <c r="AP381" s="16"/>
      <c r="AQ381" s="61"/>
    </row>
    <row r="382" ht="12.75" customHeight="1">
      <c r="A382" s="15"/>
      <c r="B382" s="162"/>
      <c r="C382" s="162"/>
      <c r="D382" s="162"/>
      <c r="E382" s="162"/>
      <c r="F382" s="162"/>
      <c r="G382" s="162"/>
      <c r="H382" s="151"/>
      <c r="I382" s="151"/>
      <c r="J382" s="151"/>
      <c r="K382" s="151"/>
      <c r="L382" s="163"/>
      <c r="M382" s="164"/>
      <c r="N382" s="164"/>
      <c r="O382" s="165"/>
      <c r="P382" s="48"/>
      <c r="Q382" s="107"/>
      <c r="R382" s="107"/>
      <c r="S382" s="107"/>
      <c r="T382" s="107"/>
      <c r="U382" s="16"/>
      <c r="V382" s="16"/>
      <c r="W382" s="16"/>
      <c r="X382" s="16"/>
      <c r="Y382" s="16"/>
      <c r="Z382" s="16"/>
      <c r="AA382" s="16"/>
      <c r="AB382" s="16"/>
      <c r="AC382" s="16"/>
      <c r="AD382" s="55"/>
      <c r="AE382" s="56"/>
      <c r="AF382" s="57"/>
      <c r="AG382" s="57"/>
      <c r="AH382" s="57"/>
      <c r="AI382" s="57"/>
      <c r="AJ382" s="58"/>
      <c r="AK382" s="58"/>
      <c r="AL382" s="58"/>
      <c r="AM382" s="59"/>
      <c r="AN382" s="60"/>
      <c r="AO382" s="16"/>
      <c r="AP382" s="16"/>
      <c r="AQ382" s="61"/>
    </row>
    <row r="383" ht="12.75" customHeight="1">
      <c r="A383" s="15"/>
      <c r="B383" s="162"/>
      <c r="C383" s="162"/>
      <c r="D383" s="162"/>
      <c r="E383" s="162"/>
      <c r="F383" s="162"/>
      <c r="G383" s="162"/>
      <c r="H383" s="151"/>
      <c r="I383" s="151"/>
      <c r="J383" s="151"/>
      <c r="K383" s="151"/>
      <c r="L383" s="163"/>
      <c r="M383" s="164"/>
      <c r="N383" s="164"/>
      <c r="O383" s="165"/>
      <c r="P383" s="48"/>
      <c r="Q383" s="107"/>
      <c r="R383" s="107"/>
      <c r="S383" s="107"/>
      <c r="T383" s="107"/>
      <c r="U383" s="16"/>
      <c r="V383" s="16"/>
      <c r="W383" s="16"/>
      <c r="X383" s="16"/>
      <c r="Y383" s="16"/>
      <c r="Z383" s="16"/>
      <c r="AA383" s="16"/>
      <c r="AB383" s="16"/>
      <c r="AC383" s="16"/>
      <c r="AD383" s="55"/>
      <c r="AE383" s="56"/>
      <c r="AF383" s="57"/>
      <c r="AG383" s="57"/>
      <c r="AH383" s="57"/>
      <c r="AI383" s="57"/>
      <c r="AJ383" s="58"/>
      <c r="AK383" s="58"/>
      <c r="AL383" s="58"/>
      <c r="AM383" s="59"/>
      <c r="AN383" s="60"/>
      <c r="AO383" s="16"/>
      <c r="AP383" s="16"/>
      <c r="AQ383" s="61"/>
    </row>
    <row r="384" ht="12.75" customHeight="1">
      <c r="A384" s="15"/>
      <c r="B384" s="162"/>
      <c r="C384" s="162"/>
      <c r="D384" s="162"/>
      <c r="E384" s="162"/>
      <c r="F384" s="162"/>
      <c r="G384" s="162"/>
      <c r="H384" s="151"/>
      <c r="I384" s="151"/>
      <c r="J384" s="151"/>
      <c r="K384" s="151"/>
      <c r="L384" s="163"/>
      <c r="M384" s="164"/>
      <c r="N384" s="164"/>
      <c r="O384" s="165"/>
      <c r="P384" s="48"/>
      <c r="Q384" s="107"/>
      <c r="R384" s="107"/>
      <c r="S384" s="107"/>
      <c r="T384" s="107"/>
      <c r="U384" s="16"/>
      <c r="V384" s="16"/>
      <c r="W384" s="16"/>
      <c r="X384" s="16"/>
      <c r="Y384" s="16"/>
      <c r="Z384" s="16"/>
      <c r="AA384" s="16"/>
      <c r="AB384" s="16"/>
      <c r="AC384" s="16"/>
      <c r="AD384" s="55"/>
      <c r="AE384" s="56"/>
      <c r="AF384" s="57"/>
      <c r="AG384" s="57"/>
      <c r="AH384" s="57"/>
      <c r="AI384" s="57"/>
      <c r="AJ384" s="58"/>
      <c r="AK384" s="58"/>
      <c r="AL384" s="58"/>
      <c r="AM384" s="59"/>
      <c r="AN384" s="60"/>
      <c r="AO384" s="16"/>
      <c r="AP384" s="16"/>
      <c r="AQ384" s="61"/>
    </row>
    <row r="385" ht="12.75" customHeight="1">
      <c r="A385" s="15"/>
      <c r="B385" s="162"/>
      <c r="C385" s="162"/>
      <c r="D385" s="162"/>
      <c r="E385" s="162"/>
      <c r="F385" s="162"/>
      <c r="G385" s="162"/>
      <c r="H385" s="151"/>
      <c r="I385" s="151"/>
      <c r="J385" s="151"/>
      <c r="K385" s="151"/>
      <c r="L385" s="163"/>
      <c r="M385" s="164"/>
      <c r="N385" s="164"/>
      <c r="O385" s="165"/>
      <c r="P385" s="48"/>
      <c r="Q385" s="107"/>
      <c r="R385" s="107"/>
      <c r="S385" s="107"/>
      <c r="T385" s="107"/>
      <c r="U385" s="16"/>
      <c r="V385" s="16"/>
      <c r="W385" s="16"/>
      <c r="X385" s="16"/>
      <c r="Y385" s="16"/>
      <c r="Z385" s="16"/>
      <c r="AA385" s="16"/>
      <c r="AB385" s="16"/>
      <c r="AC385" s="16"/>
      <c r="AD385" s="55"/>
      <c r="AE385" s="56"/>
      <c r="AF385" s="57"/>
      <c r="AG385" s="57"/>
      <c r="AH385" s="57"/>
      <c r="AI385" s="57"/>
      <c r="AJ385" s="58"/>
      <c r="AK385" s="58"/>
      <c r="AL385" s="58"/>
      <c r="AM385" s="59"/>
      <c r="AN385" s="60"/>
      <c r="AO385" s="16"/>
      <c r="AP385" s="16"/>
      <c r="AQ385" s="61"/>
    </row>
    <row r="386" ht="12.75" customHeight="1">
      <c r="A386" s="15"/>
      <c r="B386" s="162"/>
      <c r="C386" s="162"/>
      <c r="D386" s="162"/>
      <c r="E386" s="162"/>
      <c r="F386" s="162"/>
      <c r="G386" s="162"/>
      <c r="H386" s="151"/>
      <c r="I386" s="151"/>
      <c r="J386" s="151"/>
      <c r="K386" s="151"/>
      <c r="L386" s="163"/>
      <c r="M386" s="164"/>
      <c r="N386" s="164"/>
      <c r="O386" s="165"/>
      <c r="P386" s="48"/>
      <c r="Q386" s="107"/>
      <c r="R386" s="107"/>
      <c r="S386" s="107"/>
      <c r="T386" s="107"/>
      <c r="U386" s="16"/>
      <c r="V386" s="16"/>
      <c r="W386" s="16"/>
      <c r="X386" s="16"/>
      <c r="Y386" s="16"/>
      <c r="Z386" s="16"/>
      <c r="AA386" s="16"/>
      <c r="AB386" s="16"/>
      <c r="AC386" s="16"/>
      <c r="AD386" s="55"/>
      <c r="AE386" s="56"/>
      <c r="AF386" s="57"/>
      <c r="AG386" s="57"/>
      <c r="AH386" s="57"/>
      <c r="AI386" s="57"/>
      <c r="AJ386" s="58"/>
      <c r="AK386" s="58"/>
      <c r="AL386" s="58"/>
      <c r="AM386" s="59"/>
      <c r="AN386" s="60"/>
      <c r="AO386" s="16"/>
      <c r="AP386" s="16"/>
      <c r="AQ386" s="61"/>
    </row>
    <row r="387" ht="12.75" customHeight="1">
      <c r="A387" s="15"/>
      <c r="B387" s="162"/>
      <c r="C387" s="162"/>
      <c r="D387" s="162"/>
      <c r="E387" s="162"/>
      <c r="F387" s="162"/>
      <c r="G387" s="162"/>
      <c r="H387" s="151"/>
      <c r="I387" s="151"/>
      <c r="J387" s="151"/>
      <c r="K387" s="151"/>
      <c r="L387" s="163"/>
      <c r="M387" s="164"/>
      <c r="N387" s="164"/>
      <c r="O387" s="165"/>
      <c r="P387" s="48"/>
      <c r="Q387" s="107"/>
      <c r="R387" s="107"/>
      <c r="S387" s="107"/>
      <c r="T387" s="107"/>
      <c r="U387" s="16"/>
      <c r="V387" s="16"/>
      <c r="W387" s="16"/>
      <c r="X387" s="16"/>
      <c r="Y387" s="16"/>
      <c r="Z387" s="16"/>
      <c r="AA387" s="16"/>
      <c r="AB387" s="16"/>
      <c r="AC387" s="16"/>
      <c r="AD387" s="55"/>
      <c r="AE387" s="56"/>
      <c r="AF387" s="57"/>
      <c r="AG387" s="57"/>
      <c r="AH387" s="57"/>
      <c r="AI387" s="57"/>
      <c r="AJ387" s="58"/>
      <c r="AK387" s="58"/>
      <c r="AL387" s="58"/>
      <c r="AM387" s="59"/>
      <c r="AN387" s="60"/>
      <c r="AO387" s="16"/>
      <c r="AP387" s="16"/>
      <c r="AQ387" s="61"/>
    </row>
    <row r="388" ht="12.75" customHeight="1">
      <c r="A388" s="15"/>
      <c r="B388" s="162"/>
      <c r="C388" s="162"/>
      <c r="D388" s="162"/>
      <c r="E388" s="162"/>
      <c r="F388" s="162"/>
      <c r="G388" s="162"/>
      <c r="H388" s="151"/>
      <c r="I388" s="151"/>
      <c r="J388" s="151"/>
      <c r="K388" s="151"/>
      <c r="L388" s="163"/>
      <c r="M388" s="164"/>
      <c r="N388" s="164"/>
      <c r="O388" s="165"/>
      <c r="P388" s="48"/>
      <c r="Q388" s="107"/>
      <c r="R388" s="107"/>
      <c r="S388" s="107"/>
      <c r="T388" s="107"/>
      <c r="U388" s="16"/>
      <c r="V388" s="16"/>
      <c r="W388" s="16"/>
      <c r="X388" s="16"/>
      <c r="Y388" s="16"/>
      <c r="Z388" s="16"/>
      <c r="AA388" s="16"/>
      <c r="AB388" s="16"/>
      <c r="AC388" s="16"/>
      <c r="AD388" s="55"/>
      <c r="AE388" s="56"/>
      <c r="AF388" s="57"/>
      <c r="AG388" s="57"/>
      <c r="AH388" s="57"/>
      <c r="AI388" s="57"/>
      <c r="AJ388" s="58"/>
      <c r="AK388" s="58"/>
      <c r="AL388" s="58"/>
      <c r="AM388" s="59"/>
      <c r="AN388" s="60"/>
      <c r="AO388" s="16"/>
      <c r="AP388" s="16"/>
      <c r="AQ388" s="61"/>
    </row>
    <row r="389" ht="12.75" customHeight="1">
      <c r="A389" s="15"/>
      <c r="B389" s="162"/>
      <c r="C389" s="162"/>
      <c r="D389" s="162"/>
      <c r="E389" s="162"/>
      <c r="F389" s="162"/>
      <c r="G389" s="162"/>
      <c r="H389" s="151"/>
      <c r="I389" s="151"/>
      <c r="J389" s="151"/>
      <c r="K389" s="151"/>
      <c r="L389" s="163"/>
      <c r="M389" s="164"/>
      <c r="N389" s="164"/>
      <c r="O389" s="165"/>
      <c r="P389" s="48"/>
      <c r="Q389" s="107"/>
      <c r="R389" s="107"/>
      <c r="S389" s="107"/>
      <c r="T389" s="107"/>
      <c r="U389" s="16"/>
      <c r="V389" s="16"/>
      <c r="W389" s="16"/>
      <c r="X389" s="16"/>
      <c r="Y389" s="16"/>
      <c r="Z389" s="16"/>
      <c r="AA389" s="16"/>
      <c r="AB389" s="16"/>
      <c r="AC389" s="16"/>
      <c r="AD389" s="55"/>
      <c r="AE389" s="56"/>
      <c r="AF389" s="57"/>
      <c r="AG389" s="57"/>
      <c r="AH389" s="57"/>
      <c r="AI389" s="57"/>
      <c r="AJ389" s="58"/>
      <c r="AK389" s="58"/>
      <c r="AL389" s="58"/>
      <c r="AM389" s="59"/>
      <c r="AN389" s="60"/>
      <c r="AO389" s="16"/>
      <c r="AP389" s="16"/>
      <c r="AQ389" s="61"/>
    </row>
    <row r="390" ht="12.75" customHeight="1">
      <c r="A390" s="15"/>
      <c r="B390" s="162"/>
      <c r="C390" s="162"/>
      <c r="D390" s="162"/>
      <c r="E390" s="162"/>
      <c r="F390" s="162"/>
      <c r="G390" s="162"/>
      <c r="H390" s="151"/>
      <c r="I390" s="151"/>
      <c r="J390" s="151"/>
      <c r="K390" s="151"/>
      <c r="L390" s="163"/>
      <c r="M390" s="164"/>
      <c r="N390" s="164"/>
      <c r="O390" s="165"/>
      <c r="P390" s="48"/>
      <c r="Q390" s="107"/>
      <c r="R390" s="107"/>
      <c r="S390" s="107"/>
      <c r="T390" s="107"/>
      <c r="U390" s="16"/>
      <c r="V390" s="16"/>
      <c r="W390" s="16"/>
      <c r="X390" s="16"/>
      <c r="Y390" s="16"/>
      <c r="Z390" s="16"/>
      <c r="AA390" s="16"/>
      <c r="AB390" s="16"/>
      <c r="AC390" s="16"/>
      <c r="AD390" s="55"/>
      <c r="AE390" s="56"/>
      <c r="AF390" s="57"/>
      <c r="AG390" s="57"/>
      <c r="AH390" s="57"/>
      <c r="AI390" s="57"/>
      <c r="AJ390" s="58"/>
      <c r="AK390" s="58"/>
      <c r="AL390" s="58"/>
      <c r="AM390" s="59"/>
      <c r="AN390" s="60"/>
      <c r="AO390" s="16"/>
      <c r="AP390" s="16"/>
      <c r="AQ390" s="61"/>
    </row>
    <row r="391" ht="12.75" customHeight="1">
      <c r="A391" s="15"/>
      <c r="B391" s="162"/>
      <c r="C391" s="162"/>
      <c r="D391" s="162"/>
      <c r="E391" s="162"/>
      <c r="F391" s="162"/>
      <c r="G391" s="162"/>
      <c r="H391" s="151"/>
      <c r="I391" s="151"/>
      <c r="J391" s="151"/>
      <c r="K391" s="151"/>
      <c r="L391" s="163"/>
      <c r="M391" s="164"/>
      <c r="N391" s="164"/>
      <c r="O391" s="165"/>
      <c r="P391" s="48"/>
      <c r="Q391" s="107"/>
      <c r="R391" s="107"/>
      <c r="S391" s="107"/>
      <c r="T391" s="107"/>
      <c r="U391" s="16"/>
      <c r="V391" s="16"/>
      <c r="W391" s="16"/>
      <c r="X391" s="16"/>
      <c r="Y391" s="16"/>
      <c r="Z391" s="16"/>
      <c r="AA391" s="16"/>
      <c r="AB391" s="16"/>
      <c r="AC391" s="16"/>
      <c r="AD391" s="55"/>
      <c r="AE391" s="56"/>
      <c r="AF391" s="57"/>
      <c r="AG391" s="57"/>
      <c r="AH391" s="57"/>
      <c r="AI391" s="57"/>
      <c r="AJ391" s="58"/>
      <c r="AK391" s="58"/>
      <c r="AL391" s="58"/>
      <c r="AM391" s="59"/>
      <c r="AN391" s="60"/>
      <c r="AO391" s="16"/>
      <c r="AP391" s="16"/>
      <c r="AQ391" s="61"/>
    </row>
    <row r="392" ht="12.75" customHeight="1">
      <c r="A392" s="15"/>
      <c r="B392" s="162"/>
      <c r="C392" s="162"/>
      <c r="D392" s="162"/>
      <c r="E392" s="162"/>
      <c r="F392" s="162"/>
      <c r="G392" s="162"/>
      <c r="H392" s="151"/>
      <c r="I392" s="151"/>
      <c r="J392" s="151"/>
      <c r="K392" s="151"/>
      <c r="L392" s="163"/>
      <c r="M392" s="164"/>
      <c r="N392" s="164"/>
      <c r="O392" s="165"/>
      <c r="P392" s="48"/>
      <c r="Q392" s="107"/>
      <c r="R392" s="107"/>
      <c r="S392" s="107"/>
      <c r="T392" s="107"/>
      <c r="U392" s="16"/>
      <c r="V392" s="16"/>
      <c r="W392" s="16"/>
      <c r="X392" s="16"/>
      <c r="Y392" s="16"/>
      <c r="Z392" s="16"/>
      <c r="AA392" s="16"/>
      <c r="AB392" s="16"/>
      <c r="AC392" s="16"/>
      <c r="AD392" s="55"/>
      <c r="AE392" s="56"/>
      <c r="AF392" s="57"/>
      <c r="AG392" s="57"/>
      <c r="AH392" s="57"/>
      <c r="AI392" s="57"/>
      <c r="AJ392" s="58"/>
      <c r="AK392" s="58"/>
      <c r="AL392" s="58"/>
      <c r="AM392" s="59"/>
      <c r="AN392" s="60"/>
      <c r="AO392" s="16"/>
      <c r="AP392" s="16"/>
      <c r="AQ392" s="61"/>
    </row>
    <row r="393" ht="12.75" customHeight="1">
      <c r="A393" s="15"/>
      <c r="B393" s="162"/>
      <c r="C393" s="162"/>
      <c r="D393" s="162"/>
      <c r="E393" s="162"/>
      <c r="F393" s="162"/>
      <c r="G393" s="162"/>
      <c r="H393" s="151"/>
      <c r="I393" s="151"/>
      <c r="J393" s="151"/>
      <c r="K393" s="151"/>
      <c r="L393" s="163"/>
      <c r="M393" s="164"/>
      <c r="N393" s="164"/>
      <c r="O393" s="165"/>
      <c r="P393" s="48"/>
      <c r="Q393" s="107"/>
      <c r="R393" s="107"/>
      <c r="S393" s="107"/>
      <c r="T393" s="107"/>
      <c r="U393" s="16"/>
      <c r="V393" s="16"/>
      <c r="W393" s="16"/>
      <c r="X393" s="16"/>
      <c r="Y393" s="16"/>
      <c r="Z393" s="16"/>
      <c r="AA393" s="16"/>
      <c r="AB393" s="16"/>
      <c r="AC393" s="16"/>
      <c r="AD393" s="55"/>
      <c r="AE393" s="56"/>
      <c r="AF393" s="57"/>
      <c r="AG393" s="57"/>
      <c r="AH393" s="57"/>
      <c r="AI393" s="57"/>
      <c r="AJ393" s="58"/>
      <c r="AK393" s="58"/>
      <c r="AL393" s="58"/>
      <c r="AM393" s="59"/>
      <c r="AN393" s="60"/>
      <c r="AO393" s="16"/>
      <c r="AP393" s="16"/>
      <c r="AQ393" s="61"/>
    </row>
    <row r="394" ht="12.75" customHeight="1">
      <c r="A394" s="15"/>
      <c r="B394" s="162"/>
      <c r="C394" s="162"/>
      <c r="D394" s="162"/>
      <c r="E394" s="162"/>
      <c r="F394" s="162"/>
      <c r="G394" s="162"/>
      <c r="H394" s="151"/>
      <c r="I394" s="151"/>
      <c r="J394" s="151"/>
      <c r="K394" s="151"/>
      <c r="L394" s="163"/>
      <c r="M394" s="164"/>
      <c r="N394" s="164"/>
      <c r="O394" s="165"/>
      <c r="P394" s="48"/>
      <c r="Q394" s="107"/>
      <c r="R394" s="107"/>
      <c r="S394" s="107"/>
      <c r="T394" s="107"/>
      <c r="U394" s="16"/>
      <c r="V394" s="16"/>
      <c r="W394" s="16"/>
      <c r="X394" s="16"/>
      <c r="Y394" s="16"/>
      <c r="Z394" s="16"/>
      <c r="AA394" s="16"/>
      <c r="AB394" s="16"/>
      <c r="AC394" s="16"/>
      <c r="AD394" s="55"/>
      <c r="AE394" s="56"/>
      <c r="AF394" s="57"/>
      <c r="AG394" s="57"/>
      <c r="AH394" s="57"/>
      <c r="AI394" s="57"/>
      <c r="AJ394" s="58"/>
      <c r="AK394" s="58"/>
      <c r="AL394" s="58"/>
      <c r="AM394" s="59"/>
      <c r="AN394" s="60"/>
      <c r="AO394" s="16"/>
      <c r="AP394" s="16"/>
      <c r="AQ394" s="61"/>
    </row>
    <row r="395" ht="12.75" customHeight="1">
      <c r="A395" s="15"/>
      <c r="B395" s="162"/>
      <c r="C395" s="162"/>
      <c r="D395" s="162"/>
      <c r="E395" s="162"/>
      <c r="F395" s="162"/>
      <c r="G395" s="162"/>
      <c r="H395" s="151"/>
      <c r="I395" s="151"/>
      <c r="J395" s="151"/>
      <c r="K395" s="151"/>
      <c r="L395" s="163"/>
      <c r="M395" s="164"/>
      <c r="N395" s="164"/>
      <c r="O395" s="165"/>
      <c r="P395" s="48"/>
      <c r="Q395" s="107"/>
      <c r="R395" s="107"/>
      <c r="S395" s="107"/>
      <c r="T395" s="107"/>
      <c r="U395" s="16"/>
      <c r="V395" s="16"/>
      <c r="W395" s="16"/>
      <c r="X395" s="16"/>
      <c r="Y395" s="16"/>
      <c r="Z395" s="16"/>
      <c r="AA395" s="16"/>
      <c r="AB395" s="16"/>
      <c r="AC395" s="16"/>
      <c r="AD395" s="55"/>
      <c r="AE395" s="56"/>
      <c r="AF395" s="57"/>
      <c r="AG395" s="57"/>
      <c r="AH395" s="57"/>
      <c r="AI395" s="57"/>
      <c r="AJ395" s="58"/>
      <c r="AK395" s="58"/>
      <c r="AL395" s="58"/>
      <c r="AM395" s="59"/>
      <c r="AN395" s="60"/>
      <c r="AO395" s="16"/>
      <c r="AP395" s="16"/>
      <c r="AQ395" s="61"/>
    </row>
    <row r="396" ht="12.75" customHeight="1">
      <c r="A396" s="15"/>
      <c r="B396" s="162"/>
      <c r="C396" s="162"/>
      <c r="D396" s="162"/>
      <c r="E396" s="162"/>
      <c r="F396" s="162"/>
      <c r="G396" s="162"/>
      <c r="H396" s="151"/>
      <c r="I396" s="151"/>
      <c r="J396" s="151"/>
      <c r="K396" s="151"/>
      <c r="L396" s="163"/>
      <c r="M396" s="164"/>
      <c r="N396" s="164"/>
      <c r="O396" s="165"/>
      <c r="P396" s="48"/>
      <c r="Q396" s="107"/>
      <c r="R396" s="107"/>
      <c r="S396" s="107"/>
      <c r="T396" s="107"/>
      <c r="U396" s="16"/>
      <c r="V396" s="16"/>
      <c r="W396" s="16"/>
      <c r="X396" s="16"/>
      <c r="Y396" s="16"/>
      <c r="Z396" s="16"/>
      <c r="AA396" s="16"/>
      <c r="AB396" s="16"/>
      <c r="AC396" s="16"/>
      <c r="AD396" s="55"/>
      <c r="AE396" s="56"/>
      <c r="AF396" s="57"/>
      <c r="AG396" s="57"/>
      <c r="AH396" s="57"/>
      <c r="AI396" s="57"/>
      <c r="AJ396" s="58"/>
      <c r="AK396" s="58"/>
      <c r="AL396" s="58"/>
      <c r="AM396" s="59"/>
      <c r="AN396" s="60"/>
      <c r="AO396" s="16"/>
      <c r="AP396" s="16"/>
      <c r="AQ396" s="61"/>
    </row>
    <row r="397" ht="12.75" customHeight="1">
      <c r="A397" s="15"/>
      <c r="B397" s="162"/>
      <c r="C397" s="162"/>
      <c r="D397" s="162"/>
      <c r="E397" s="162"/>
      <c r="F397" s="162"/>
      <c r="G397" s="162"/>
      <c r="H397" s="151"/>
      <c r="I397" s="151"/>
      <c r="J397" s="151"/>
      <c r="K397" s="151"/>
      <c r="L397" s="163"/>
      <c r="M397" s="164"/>
      <c r="N397" s="164"/>
      <c r="O397" s="165"/>
      <c r="P397" s="48"/>
      <c r="Q397" s="107"/>
      <c r="R397" s="107"/>
      <c r="S397" s="107"/>
      <c r="T397" s="107"/>
      <c r="U397" s="16"/>
      <c r="V397" s="16"/>
      <c r="W397" s="16"/>
      <c r="X397" s="16"/>
      <c r="Y397" s="16"/>
      <c r="Z397" s="16"/>
      <c r="AA397" s="16"/>
      <c r="AB397" s="16"/>
      <c r="AC397" s="16"/>
      <c r="AD397" s="55"/>
      <c r="AE397" s="56"/>
      <c r="AF397" s="57"/>
      <c r="AG397" s="57"/>
      <c r="AH397" s="57"/>
      <c r="AI397" s="57"/>
      <c r="AJ397" s="58"/>
      <c r="AK397" s="58"/>
      <c r="AL397" s="58"/>
      <c r="AM397" s="59"/>
      <c r="AN397" s="60"/>
      <c r="AO397" s="16"/>
      <c r="AP397" s="16"/>
      <c r="AQ397" s="61"/>
    </row>
    <row r="398" ht="12.75" customHeight="1">
      <c r="A398" s="15"/>
      <c r="B398" s="162"/>
      <c r="C398" s="162"/>
      <c r="D398" s="162"/>
      <c r="E398" s="162"/>
      <c r="F398" s="162"/>
      <c r="G398" s="162"/>
      <c r="H398" s="151"/>
      <c r="I398" s="151"/>
      <c r="J398" s="151"/>
      <c r="K398" s="151"/>
      <c r="L398" s="163"/>
      <c r="M398" s="164"/>
      <c r="N398" s="164"/>
      <c r="O398" s="165"/>
      <c r="P398" s="48"/>
      <c r="Q398" s="107"/>
      <c r="R398" s="107"/>
      <c r="S398" s="107"/>
      <c r="T398" s="107"/>
      <c r="U398" s="16"/>
      <c r="V398" s="16"/>
      <c r="W398" s="16"/>
      <c r="X398" s="16"/>
      <c r="Y398" s="16"/>
      <c r="Z398" s="16"/>
      <c r="AA398" s="16"/>
      <c r="AB398" s="16"/>
      <c r="AC398" s="16"/>
      <c r="AD398" s="55"/>
      <c r="AE398" s="56"/>
      <c r="AF398" s="57"/>
      <c r="AG398" s="57"/>
      <c r="AH398" s="57"/>
      <c r="AI398" s="57"/>
      <c r="AJ398" s="58"/>
      <c r="AK398" s="58"/>
      <c r="AL398" s="58"/>
      <c r="AM398" s="59"/>
      <c r="AN398" s="60"/>
      <c r="AO398" s="16"/>
      <c r="AP398" s="16"/>
      <c r="AQ398" s="61"/>
    </row>
    <row r="399" ht="12.75" customHeight="1">
      <c r="A399" s="15"/>
      <c r="B399" s="162"/>
      <c r="C399" s="162"/>
      <c r="D399" s="162"/>
      <c r="E399" s="162"/>
      <c r="F399" s="162"/>
      <c r="G399" s="162"/>
      <c r="H399" s="151"/>
      <c r="I399" s="151"/>
      <c r="J399" s="151"/>
      <c r="K399" s="151"/>
      <c r="L399" s="163"/>
      <c r="M399" s="164"/>
      <c r="N399" s="164"/>
      <c r="O399" s="165"/>
      <c r="P399" s="48"/>
      <c r="Q399" s="107"/>
      <c r="R399" s="107"/>
      <c r="S399" s="107"/>
      <c r="T399" s="107"/>
      <c r="U399" s="16"/>
      <c r="V399" s="16"/>
      <c r="W399" s="16"/>
      <c r="X399" s="16"/>
      <c r="Y399" s="16"/>
      <c r="Z399" s="16"/>
      <c r="AA399" s="16"/>
      <c r="AB399" s="16"/>
      <c r="AC399" s="16"/>
      <c r="AD399" s="55"/>
      <c r="AE399" s="56"/>
      <c r="AF399" s="57"/>
      <c r="AG399" s="57"/>
      <c r="AH399" s="57"/>
      <c r="AI399" s="57"/>
      <c r="AJ399" s="58"/>
      <c r="AK399" s="58"/>
      <c r="AL399" s="58"/>
      <c r="AM399" s="59"/>
      <c r="AN399" s="60"/>
      <c r="AO399" s="16"/>
      <c r="AP399" s="16"/>
      <c r="AQ399" s="61"/>
    </row>
    <row r="400" ht="12.75" customHeight="1">
      <c r="A400" s="15"/>
      <c r="B400" s="162"/>
      <c r="C400" s="162"/>
      <c r="D400" s="162"/>
      <c r="E400" s="162"/>
      <c r="F400" s="162"/>
      <c r="G400" s="162"/>
      <c r="H400" s="151"/>
      <c r="I400" s="151"/>
      <c r="J400" s="151"/>
      <c r="K400" s="151"/>
      <c r="L400" s="163"/>
      <c r="M400" s="164"/>
      <c r="N400" s="164"/>
      <c r="O400" s="165"/>
      <c r="P400" s="48"/>
      <c r="Q400" s="107"/>
      <c r="R400" s="107"/>
      <c r="S400" s="107"/>
      <c r="T400" s="107"/>
      <c r="U400" s="16"/>
      <c r="V400" s="16"/>
      <c r="W400" s="16"/>
      <c r="X400" s="16"/>
      <c r="Y400" s="16"/>
      <c r="Z400" s="16"/>
      <c r="AA400" s="16"/>
      <c r="AB400" s="16"/>
      <c r="AC400" s="16"/>
      <c r="AD400" s="55"/>
      <c r="AE400" s="56"/>
      <c r="AF400" s="57"/>
      <c r="AG400" s="57"/>
      <c r="AH400" s="57"/>
      <c r="AI400" s="57"/>
      <c r="AJ400" s="58"/>
      <c r="AK400" s="58"/>
      <c r="AL400" s="58"/>
      <c r="AM400" s="59"/>
      <c r="AN400" s="60"/>
      <c r="AO400" s="16"/>
      <c r="AP400" s="16"/>
      <c r="AQ400" s="61"/>
    </row>
    <row r="401" ht="12.75" customHeight="1">
      <c r="A401" s="15"/>
      <c r="B401" s="162"/>
      <c r="C401" s="162"/>
      <c r="D401" s="162"/>
      <c r="E401" s="162"/>
      <c r="F401" s="162"/>
      <c r="G401" s="162"/>
      <c r="H401" s="151"/>
      <c r="I401" s="151"/>
      <c r="J401" s="151"/>
      <c r="K401" s="151"/>
      <c r="L401" s="163"/>
      <c r="M401" s="164"/>
      <c r="N401" s="164"/>
      <c r="O401" s="165"/>
      <c r="P401" s="48"/>
      <c r="Q401" s="107"/>
      <c r="R401" s="107"/>
      <c r="S401" s="107"/>
      <c r="T401" s="107"/>
      <c r="U401" s="16"/>
      <c r="V401" s="16"/>
      <c r="W401" s="16"/>
      <c r="X401" s="16"/>
      <c r="Y401" s="16"/>
      <c r="Z401" s="16"/>
      <c r="AA401" s="16"/>
      <c r="AB401" s="16"/>
      <c r="AC401" s="16"/>
      <c r="AD401" s="55"/>
      <c r="AE401" s="56"/>
      <c r="AF401" s="57"/>
      <c r="AG401" s="57"/>
      <c r="AH401" s="57"/>
      <c r="AI401" s="57"/>
      <c r="AJ401" s="58"/>
      <c r="AK401" s="58"/>
      <c r="AL401" s="58"/>
      <c r="AM401" s="59"/>
      <c r="AN401" s="60"/>
      <c r="AO401" s="16"/>
      <c r="AP401" s="16"/>
      <c r="AQ401" s="61"/>
    </row>
    <row r="402" ht="12.75" customHeight="1">
      <c r="A402" s="15"/>
      <c r="B402" s="162"/>
      <c r="C402" s="162"/>
      <c r="D402" s="162"/>
      <c r="E402" s="162"/>
      <c r="F402" s="162"/>
      <c r="G402" s="162"/>
      <c r="H402" s="151"/>
      <c r="I402" s="151"/>
      <c r="J402" s="151"/>
      <c r="K402" s="151"/>
      <c r="L402" s="163"/>
      <c r="M402" s="164"/>
      <c r="N402" s="164"/>
      <c r="O402" s="165"/>
      <c r="P402" s="48"/>
      <c r="Q402" s="107"/>
      <c r="R402" s="107"/>
      <c r="S402" s="107"/>
      <c r="T402" s="107"/>
      <c r="U402" s="16"/>
      <c r="V402" s="16"/>
      <c r="W402" s="16"/>
      <c r="X402" s="16"/>
      <c r="Y402" s="16"/>
      <c r="Z402" s="16"/>
      <c r="AA402" s="16"/>
      <c r="AB402" s="16"/>
      <c r="AC402" s="16"/>
      <c r="AD402" s="55"/>
      <c r="AE402" s="56"/>
      <c r="AF402" s="57"/>
      <c r="AG402" s="57"/>
      <c r="AH402" s="57"/>
      <c r="AI402" s="57"/>
      <c r="AJ402" s="58"/>
      <c r="AK402" s="58"/>
      <c r="AL402" s="58"/>
      <c r="AM402" s="59"/>
      <c r="AN402" s="60"/>
      <c r="AO402" s="16"/>
      <c r="AP402" s="16"/>
      <c r="AQ402" s="61"/>
    </row>
    <row r="403" ht="12.75" customHeight="1">
      <c r="A403" s="15"/>
      <c r="B403" s="162"/>
      <c r="C403" s="162"/>
      <c r="D403" s="162"/>
      <c r="E403" s="162"/>
      <c r="F403" s="162"/>
      <c r="G403" s="162"/>
      <c r="H403" s="151"/>
      <c r="I403" s="151"/>
      <c r="J403" s="151"/>
      <c r="K403" s="151"/>
      <c r="L403" s="163"/>
      <c r="M403" s="164"/>
      <c r="N403" s="164"/>
      <c r="O403" s="165"/>
      <c r="P403" s="48"/>
      <c r="Q403" s="107"/>
      <c r="R403" s="107"/>
      <c r="S403" s="107"/>
      <c r="T403" s="107"/>
      <c r="U403" s="16"/>
      <c r="V403" s="16"/>
      <c r="W403" s="16"/>
      <c r="X403" s="16"/>
      <c r="Y403" s="16"/>
      <c r="Z403" s="16"/>
      <c r="AA403" s="16"/>
      <c r="AB403" s="16"/>
      <c r="AC403" s="16"/>
      <c r="AD403" s="55"/>
      <c r="AE403" s="56"/>
      <c r="AF403" s="57"/>
      <c r="AG403" s="57"/>
      <c r="AH403" s="57"/>
      <c r="AI403" s="57"/>
      <c r="AJ403" s="58"/>
      <c r="AK403" s="58"/>
      <c r="AL403" s="58"/>
      <c r="AM403" s="59"/>
      <c r="AN403" s="60"/>
      <c r="AO403" s="16"/>
      <c r="AP403" s="16"/>
      <c r="AQ403" s="61"/>
    </row>
    <row r="404" ht="12.75" customHeight="1">
      <c r="A404" s="15"/>
      <c r="B404" s="162"/>
      <c r="C404" s="162"/>
      <c r="D404" s="162"/>
      <c r="E404" s="162"/>
      <c r="F404" s="162"/>
      <c r="G404" s="162"/>
      <c r="H404" s="151"/>
      <c r="I404" s="151"/>
      <c r="J404" s="151"/>
      <c r="K404" s="151"/>
      <c r="L404" s="163"/>
      <c r="M404" s="164"/>
      <c r="N404" s="164"/>
      <c r="O404" s="165"/>
      <c r="P404" s="48"/>
      <c r="Q404" s="107"/>
      <c r="R404" s="107"/>
      <c r="S404" s="107"/>
      <c r="T404" s="107"/>
      <c r="U404" s="16"/>
      <c r="V404" s="16"/>
      <c r="W404" s="16"/>
      <c r="X404" s="16"/>
      <c r="Y404" s="16"/>
      <c r="Z404" s="16"/>
      <c r="AA404" s="16"/>
      <c r="AB404" s="16"/>
      <c r="AC404" s="16"/>
      <c r="AD404" s="55"/>
      <c r="AE404" s="56"/>
      <c r="AF404" s="57"/>
      <c r="AG404" s="57"/>
      <c r="AH404" s="57"/>
      <c r="AI404" s="57"/>
      <c r="AJ404" s="58"/>
      <c r="AK404" s="58"/>
      <c r="AL404" s="58"/>
      <c r="AM404" s="59"/>
      <c r="AN404" s="60"/>
      <c r="AO404" s="16"/>
      <c r="AP404" s="16"/>
      <c r="AQ404" s="61"/>
    </row>
    <row r="405" ht="12.75" customHeight="1">
      <c r="A405" s="15"/>
      <c r="B405" s="162"/>
      <c r="C405" s="162"/>
      <c r="D405" s="162"/>
      <c r="E405" s="162"/>
      <c r="F405" s="162"/>
      <c r="G405" s="162"/>
      <c r="H405" s="151"/>
      <c r="I405" s="151"/>
      <c r="J405" s="151"/>
      <c r="K405" s="151"/>
      <c r="L405" s="163"/>
      <c r="M405" s="164"/>
      <c r="N405" s="164"/>
      <c r="O405" s="165"/>
      <c r="P405" s="48"/>
      <c r="Q405" s="107"/>
      <c r="R405" s="107"/>
      <c r="S405" s="107"/>
      <c r="T405" s="107"/>
      <c r="U405" s="16"/>
      <c r="V405" s="16"/>
      <c r="W405" s="16"/>
      <c r="X405" s="16"/>
      <c r="Y405" s="16"/>
      <c r="Z405" s="16"/>
      <c r="AA405" s="16"/>
      <c r="AB405" s="16"/>
      <c r="AC405" s="16"/>
      <c r="AD405" s="55"/>
      <c r="AE405" s="56"/>
      <c r="AF405" s="57"/>
      <c r="AG405" s="57"/>
      <c r="AH405" s="57"/>
      <c r="AI405" s="57"/>
      <c r="AJ405" s="58"/>
      <c r="AK405" s="58"/>
      <c r="AL405" s="58"/>
      <c r="AM405" s="59"/>
      <c r="AN405" s="60"/>
      <c r="AO405" s="16"/>
      <c r="AP405" s="16"/>
      <c r="AQ405" s="61"/>
    </row>
    <row r="406" ht="12.75" customHeight="1">
      <c r="A406" s="15"/>
      <c r="B406" s="162"/>
      <c r="C406" s="162"/>
      <c r="D406" s="162"/>
      <c r="E406" s="162"/>
      <c r="F406" s="162"/>
      <c r="G406" s="162"/>
      <c r="H406" s="151"/>
      <c r="I406" s="151"/>
      <c r="J406" s="151"/>
      <c r="K406" s="151"/>
      <c r="L406" s="163"/>
      <c r="M406" s="164"/>
      <c r="N406" s="164"/>
      <c r="O406" s="165"/>
      <c r="P406" s="48"/>
      <c r="Q406" s="107"/>
      <c r="R406" s="107"/>
      <c r="S406" s="107"/>
      <c r="T406" s="107"/>
      <c r="U406" s="16"/>
      <c r="V406" s="16"/>
      <c r="W406" s="16"/>
      <c r="X406" s="16"/>
      <c r="Y406" s="16"/>
      <c r="Z406" s="16"/>
      <c r="AA406" s="16"/>
      <c r="AB406" s="16"/>
      <c r="AC406" s="16"/>
      <c r="AD406" s="55"/>
      <c r="AE406" s="56"/>
      <c r="AF406" s="57"/>
      <c r="AG406" s="57"/>
      <c r="AH406" s="57"/>
      <c r="AI406" s="57"/>
      <c r="AJ406" s="58"/>
      <c r="AK406" s="58"/>
      <c r="AL406" s="58"/>
      <c r="AM406" s="59"/>
      <c r="AN406" s="60"/>
      <c r="AO406" s="16"/>
      <c r="AP406" s="16"/>
      <c r="AQ406" s="61"/>
    </row>
    <row r="407" ht="12.75" customHeight="1">
      <c r="A407" s="15"/>
      <c r="B407" s="162"/>
      <c r="C407" s="162"/>
      <c r="D407" s="162"/>
      <c r="E407" s="162"/>
      <c r="F407" s="162"/>
      <c r="G407" s="162"/>
      <c r="H407" s="151"/>
      <c r="I407" s="151"/>
      <c r="J407" s="151"/>
      <c r="K407" s="151"/>
      <c r="L407" s="163"/>
      <c r="M407" s="164"/>
      <c r="N407" s="164"/>
      <c r="O407" s="165"/>
      <c r="P407" s="48"/>
      <c r="Q407" s="107"/>
      <c r="R407" s="107"/>
      <c r="S407" s="107"/>
      <c r="T407" s="107"/>
      <c r="U407" s="16"/>
      <c r="V407" s="16"/>
      <c r="W407" s="16"/>
      <c r="X407" s="16"/>
      <c r="Y407" s="16"/>
      <c r="Z407" s="16"/>
      <c r="AA407" s="16"/>
      <c r="AB407" s="16"/>
      <c r="AC407" s="16"/>
      <c r="AD407" s="55"/>
      <c r="AE407" s="56"/>
      <c r="AF407" s="57"/>
      <c r="AG407" s="57"/>
      <c r="AH407" s="57"/>
      <c r="AI407" s="57"/>
      <c r="AJ407" s="58"/>
      <c r="AK407" s="58"/>
      <c r="AL407" s="58"/>
      <c r="AM407" s="59"/>
      <c r="AN407" s="60"/>
      <c r="AO407" s="16"/>
      <c r="AP407" s="16"/>
      <c r="AQ407" s="61"/>
    </row>
    <row r="408" ht="12.75" customHeight="1">
      <c r="A408" s="15"/>
      <c r="B408" s="162"/>
      <c r="C408" s="162"/>
      <c r="D408" s="162"/>
      <c r="E408" s="162"/>
      <c r="F408" s="162"/>
      <c r="G408" s="162"/>
      <c r="H408" s="151"/>
      <c r="I408" s="151"/>
      <c r="J408" s="151"/>
      <c r="K408" s="151"/>
      <c r="L408" s="163"/>
      <c r="M408" s="164"/>
      <c r="N408" s="164"/>
      <c r="O408" s="165"/>
      <c r="P408" s="48"/>
      <c r="Q408" s="107"/>
      <c r="R408" s="107"/>
      <c r="S408" s="107"/>
      <c r="T408" s="107"/>
      <c r="U408" s="16"/>
      <c r="V408" s="16"/>
      <c r="W408" s="16"/>
      <c r="X408" s="16"/>
      <c r="Y408" s="16"/>
      <c r="Z408" s="16"/>
      <c r="AA408" s="16"/>
      <c r="AB408" s="16"/>
      <c r="AC408" s="16"/>
      <c r="AD408" s="55"/>
      <c r="AE408" s="56"/>
      <c r="AF408" s="57"/>
      <c r="AG408" s="57"/>
      <c r="AH408" s="57"/>
      <c r="AI408" s="57"/>
      <c r="AJ408" s="58"/>
      <c r="AK408" s="58"/>
      <c r="AL408" s="58"/>
      <c r="AM408" s="59"/>
      <c r="AN408" s="60"/>
      <c r="AO408" s="16"/>
      <c r="AP408" s="16"/>
      <c r="AQ408" s="61"/>
    </row>
    <row r="409" ht="12.75" customHeight="1">
      <c r="A409" s="15"/>
      <c r="B409" s="162"/>
      <c r="C409" s="162"/>
      <c r="D409" s="162"/>
      <c r="E409" s="162"/>
      <c r="F409" s="162"/>
      <c r="G409" s="162"/>
      <c r="H409" s="151"/>
      <c r="I409" s="151"/>
      <c r="J409" s="151"/>
      <c r="K409" s="151"/>
      <c r="L409" s="163"/>
      <c r="M409" s="164"/>
      <c r="N409" s="164"/>
      <c r="O409" s="165"/>
      <c r="P409" s="48"/>
      <c r="Q409" s="107"/>
      <c r="R409" s="107"/>
      <c r="S409" s="107"/>
      <c r="T409" s="107"/>
      <c r="U409" s="16"/>
      <c r="V409" s="16"/>
      <c r="W409" s="16"/>
      <c r="X409" s="16"/>
      <c r="Y409" s="16"/>
      <c r="Z409" s="16"/>
      <c r="AA409" s="16"/>
      <c r="AB409" s="16"/>
      <c r="AC409" s="16"/>
      <c r="AD409" s="55"/>
      <c r="AE409" s="56"/>
      <c r="AF409" s="57"/>
      <c r="AG409" s="57"/>
      <c r="AH409" s="57"/>
      <c r="AI409" s="57"/>
      <c r="AJ409" s="58"/>
      <c r="AK409" s="58"/>
      <c r="AL409" s="58"/>
      <c r="AM409" s="59"/>
      <c r="AN409" s="60"/>
      <c r="AO409" s="16"/>
      <c r="AP409" s="16"/>
      <c r="AQ409" s="61"/>
    </row>
    <row r="410" ht="12.75" customHeight="1">
      <c r="A410" s="15"/>
      <c r="B410" s="162"/>
      <c r="C410" s="162"/>
      <c r="D410" s="162"/>
      <c r="E410" s="162"/>
      <c r="F410" s="162"/>
      <c r="G410" s="162"/>
      <c r="H410" s="151"/>
      <c r="I410" s="151"/>
      <c r="J410" s="151"/>
      <c r="K410" s="151"/>
      <c r="L410" s="163"/>
      <c r="M410" s="164"/>
      <c r="N410" s="164"/>
      <c r="O410" s="165"/>
      <c r="P410" s="48"/>
      <c r="Q410" s="107"/>
      <c r="R410" s="107"/>
      <c r="S410" s="107"/>
      <c r="T410" s="107"/>
      <c r="U410" s="16"/>
      <c r="V410" s="16"/>
      <c r="W410" s="16"/>
      <c r="X410" s="16"/>
      <c r="Y410" s="16"/>
      <c r="Z410" s="16"/>
      <c r="AA410" s="16"/>
      <c r="AB410" s="16"/>
      <c r="AC410" s="16"/>
      <c r="AD410" s="55"/>
      <c r="AE410" s="56"/>
      <c r="AF410" s="57"/>
      <c r="AG410" s="57"/>
      <c r="AH410" s="57"/>
      <c r="AI410" s="57"/>
      <c r="AJ410" s="58"/>
      <c r="AK410" s="58"/>
      <c r="AL410" s="58"/>
      <c r="AM410" s="59"/>
      <c r="AN410" s="60"/>
      <c r="AO410" s="16"/>
      <c r="AP410" s="16"/>
      <c r="AQ410" s="61"/>
    </row>
    <row r="411" ht="12.75" customHeight="1">
      <c r="A411" s="15"/>
      <c r="B411" s="162"/>
      <c r="C411" s="162"/>
      <c r="D411" s="162"/>
      <c r="E411" s="162"/>
      <c r="F411" s="162"/>
      <c r="G411" s="162"/>
      <c r="H411" s="151"/>
      <c r="I411" s="151"/>
      <c r="J411" s="151"/>
      <c r="K411" s="151"/>
      <c r="L411" s="163"/>
      <c r="M411" s="164"/>
      <c r="N411" s="164"/>
      <c r="O411" s="165"/>
      <c r="P411" s="48"/>
      <c r="Q411" s="107"/>
      <c r="R411" s="107"/>
      <c r="S411" s="107"/>
      <c r="T411" s="107"/>
      <c r="U411" s="16"/>
      <c r="V411" s="16"/>
      <c r="W411" s="16"/>
      <c r="X411" s="16"/>
      <c r="Y411" s="16"/>
      <c r="Z411" s="16"/>
      <c r="AA411" s="16"/>
      <c r="AB411" s="16"/>
      <c r="AC411" s="16"/>
      <c r="AD411" s="55"/>
      <c r="AE411" s="56"/>
      <c r="AF411" s="57"/>
      <c r="AG411" s="57"/>
      <c r="AH411" s="57"/>
      <c r="AI411" s="57"/>
      <c r="AJ411" s="58"/>
      <c r="AK411" s="58"/>
      <c r="AL411" s="58"/>
      <c r="AM411" s="59"/>
      <c r="AN411" s="60"/>
      <c r="AO411" s="16"/>
      <c r="AP411" s="16"/>
      <c r="AQ411" s="61"/>
    </row>
    <row r="412" ht="12.75" customHeight="1">
      <c r="A412" s="15"/>
      <c r="B412" s="162"/>
      <c r="C412" s="162"/>
      <c r="D412" s="162"/>
      <c r="E412" s="162"/>
      <c r="F412" s="162"/>
      <c r="G412" s="162"/>
      <c r="H412" s="151"/>
      <c r="I412" s="151"/>
      <c r="J412" s="151"/>
      <c r="K412" s="151"/>
      <c r="L412" s="163"/>
      <c r="M412" s="164"/>
      <c r="N412" s="164"/>
      <c r="O412" s="165"/>
      <c r="P412" s="48"/>
      <c r="Q412" s="107"/>
      <c r="R412" s="107"/>
      <c r="S412" s="107"/>
      <c r="T412" s="107"/>
      <c r="U412" s="16"/>
      <c r="V412" s="16"/>
      <c r="W412" s="16"/>
      <c r="X412" s="16"/>
      <c r="Y412" s="16"/>
      <c r="Z412" s="16"/>
      <c r="AA412" s="16"/>
      <c r="AB412" s="16"/>
      <c r="AC412" s="16"/>
      <c r="AD412" s="55"/>
      <c r="AE412" s="56"/>
      <c r="AF412" s="57"/>
      <c r="AG412" s="57"/>
      <c r="AH412" s="57"/>
      <c r="AI412" s="57"/>
      <c r="AJ412" s="58"/>
      <c r="AK412" s="58"/>
      <c r="AL412" s="58"/>
      <c r="AM412" s="59"/>
      <c r="AN412" s="60"/>
      <c r="AO412" s="16"/>
      <c r="AP412" s="16"/>
      <c r="AQ412" s="61"/>
    </row>
    <row r="413" ht="12.75" customHeight="1">
      <c r="A413" s="15"/>
      <c r="B413" s="162"/>
      <c r="C413" s="162"/>
      <c r="D413" s="162"/>
      <c r="E413" s="162"/>
      <c r="F413" s="162"/>
      <c r="G413" s="162"/>
      <c r="H413" s="151"/>
      <c r="I413" s="151"/>
      <c r="J413" s="151"/>
      <c r="K413" s="151"/>
      <c r="L413" s="163"/>
      <c r="M413" s="164"/>
      <c r="N413" s="164"/>
      <c r="O413" s="165"/>
      <c r="P413" s="48"/>
      <c r="Q413" s="107"/>
      <c r="R413" s="107"/>
      <c r="S413" s="107"/>
      <c r="T413" s="107"/>
      <c r="U413" s="16"/>
      <c r="V413" s="16"/>
      <c r="W413" s="16"/>
      <c r="X413" s="16"/>
      <c r="Y413" s="16"/>
      <c r="Z413" s="16"/>
      <c r="AA413" s="16"/>
      <c r="AB413" s="16"/>
      <c r="AC413" s="16"/>
      <c r="AD413" s="55"/>
      <c r="AE413" s="56"/>
      <c r="AF413" s="57"/>
      <c r="AG413" s="57"/>
      <c r="AH413" s="57"/>
      <c r="AI413" s="57"/>
      <c r="AJ413" s="58"/>
      <c r="AK413" s="58"/>
      <c r="AL413" s="58"/>
      <c r="AM413" s="59"/>
      <c r="AN413" s="60"/>
      <c r="AO413" s="16"/>
      <c r="AP413" s="16"/>
      <c r="AQ413" s="61"/>
    </row>
    <row r="414" ht="12.75" customHeight="1">
      <c r="A414" s="15"/>
      <c r="B414" s="162"/>
      <c r="C414" s="162"/>
      <c r="D414" s="162"/>
      <c r="E414" s="162"/>
      <c r="F414" s="162"/>
      <c r="G414" s="162"/>
      <c r="H414" s="151"/>
      <c r="I414" s="151"/>
      <c r="J414" s="151"/>
      <c r="K414" s="151"/>
      <c r="L414" s="163"/>
      <c r="M414" s="164"/>
      <c r="N414" s="164"/>
      <c r="O414" s="165"/>
      <c r="P414" s="48"/>
      <c r="Q414" s="107"/>
      <c r="R414" s="107"/>
      <c r="S414" s="107"/>
      <c r="T414" s="107"/>
      <c r="U414" s="16"/>
      <c r="V414" s="16"/>
      <c r="W414" s="16"/>
      <c r="X414" s="16"/>
      <c r="Y414" s="16"/>
      <c r="Z414" s="16"/>
      <c r="AA414" s="16"/>
      <c r="AB414" s="16"/>
      <c r="AC414" s="16"/>
      <c r="AD414" s="55"/>
      <c r="AE414" s="56"/>
      <c r="AF414" s="57"/>
      <c r="AG414" s="57"/>
      <c r="AH414" s="57"/>
      <c r="AI414" s="57"/>
      <c r="AJ414" s="58"/>
      <c r="AK414" s="58"/>
      <c r="AL414" s="58"/>
      <c r="AM414" s="59"/>
      <c r="AN414" s="60"/>
      <c r="AO414" s="16"/>
      <c r="AP414" s="16"/>
      <c r="AQ414" s="61"/>
    </row>
    <row r="415" ht="12.75" customHeight="1">
      <c r="A415" s="15"/>
      <c r="B415" s="162"/>
      <c r="C415" s="162"/>
      <c r="D415" s="162"/>
      <c r="E415" s="162"/>
      <c r="F415" s="162"/>
      <c r="G415" s="162"/>
      <c r="H415" s="151"/>
      <c r="I415" s="151"/>
      <c r="J415" s="151"/>
      <c r="K415" s="151"/>
      <c r="L415" s="163"/>
      <c r="M415" s="164"/>
      <c r="N415" s="164"/>
      <c r="O415" s="165"/>
      <c r="P415" s="48"/>
      <c r="Q415" s="107"/>
      <c r="R415" s="107"/>
      <c r="S415" s="107"/>
      <c r="T415" s="107"/>
      <c r="U415" s="16"/>
      <c r="V415" s="16"/>
      <c r="W415" s="16"/>
      <c r="X415" s="16"/>
      <c r="Y415" s="16"/>
      <c r="Z415" s="16"/>
      <c r="AA415" s="16"/>
      <c r="AB415" s="16"/>
      <c r="AC415" s="16"/>
      <c r="AD415" s="55"/>
      <c r="AE415" s="56"/>
      <c r="AF415" s="57"/>
      <c r="AG415" s="57"/>
      <c r="AH415" s="57"/>
      <c r="AI415" s="57"/>
      <c r="AJ415" s="58"/>
      <c r="AK415" s="58"/>
      <c r="AL415" s="58"/>
      <c r="AM415" s="59"/>
      <c r="AN415" s="60"/>
      <c r="AO415" s="16"/>
      <c r="AP415" s="16"/>
      <c r="AQ415" s="61"/>
    </row>
    <row r="416" ht="12.75" customHeight="1">
      <c r="A416" s="15"/>
      <c r="B416" s="162"/>
      <c r="C416" s="162"/>
      <c r="D416" s="162"/>
      <c r="E416" s="162"/>
      <c r="F416" s="162"/>
      <c r="G416" s="162"/>
      <c r="H416" s="151"/>
      <c r="I416" s="151"/>
      <c r="J416" s="151"/>
      <c r="K416" s="151"/>
      <c r="L416" s="163"/>
      <c r="M416" s="164"/>
      <c r="N416" s="164"/>
      <c r="O416" s="165"/>
      <c r="P416" s="48"/>
      <c r="Q416" s="107"/>
      <c r="R416" s="107"/>
      <c r="S416" s="107"/>
      <c r="T416" s="107"/>
      <c r="U416" s="16"/>
      <c r="V416" s="16"/>
      <c r="W416" s="16"/>
      <c r="X416" s="16"/>
      <c r="Y416" s="16"/>
      <c r="Z416" s="16"/>
      <c r="AA416" s="16"/>
      <c r="AB416" s="16"/>
      <c r="AC416" s="16"/>
      <c r="AD416" s="55"/>
      <c r="AE416" s="56"/>
      <c r="AF416" s="57"/>
      <c r="AG416" s="57"/>
      <c r="AH416" s="57"/>
      <c r="AI416" s="57"/>
      <c r="AJ416" s="58"/>
      <c r="AK416" s="58"/>
      <c r="AL416" s="58"/>
      <c r="AM416" s="59"/>
      <c r="AN416" s="60"/>
      <c r="AO416" s="16"/>
      <c r="AP416" s="16"/>
      <c r="AQ416" s="61"/>
    </row>
    <row r="417" ht="12.75" customHeight="1">
      <c r="A417" s="15"/>
      <c r="B417" s="162"/>
      <c r="C417" s="162"/>
      <c r="D417" s="162"/>
      <c r="E417" s="162"/>
      <c r="F417" s="162"/>
      <c r="G417" s="162"/>
      <c r="H417" s="151"/>
      <c r="I417" s="151"/>
      <c r="J417" s="151"/>
      <c r="K417" s="151"/>
      <c r="L417" s="163"/>
      <c r="M417" s="164"/>
      <c r="N417" s="164"/>
      <c r="O417" s="165"/>
      <c r="P417" s="48"/>
      <c r="Q417" s="107"/>
      <c r="R417" s="107"/>
      <c r="S417" s="107"/>
      <c r="T417" s="107"/>
      <c r="U417" s="16"/>
      <c r="V417" s="16"/>
      <c r="W417" s="16"/>
      <c r="X417" s="16"/>
      <c r="Y417" s="16"/>
      <c r="Z417" s="16"/>
      <c r="AA417" s="16"/>
      <c r="AB417" s="16"/>
      <c r="AC417" s="16"/>
      <c r="AD417" s="55"/>
      <c r="AE417" s="56"/>
      <c r="AF417" s="57"/>
      <c r="AG417" s="57"/>
      <c r="AH417" s="57"/>
      <c r="AI417" s="57"/>
      <c r="AJ417" s="58"/>
      <c r="AK417" s="58"/>
      <c r="AL417" s="58"/>
      <c r="AM417" s="59"/>
      <c r="AN417" s="60"/>
      <c r="AO417" s="16"/>
      <c r="AP417" s="16"/>
      <c r="AQ417" s="61"/>
    </row>
    <row r="418" ht="12.75" customHeight="1">
      <c r="A418" s="15"/>
      <c r="B418" s="162"/>
      <c r="C418" s="162"/>
      <c r="D418" s="162"/>
      <c r="E418" s="162"/>
      <c r="F418" s="162"/>
      <c r="G418" s="162"/>
      <c r="H418" s="151"/>
      <c r="I418" s="151"/>
      <c r="J418" s="151"/>
      <c r="K418" s="151"/>
      <c r="L418" s="163"/>
      <c r="M418" s="164"/>
      <c r="N418" s="164"/>
      <c r="O418" s="165"/>
      <c r="P418" s="48"/>
      <c r="Q418" s="107"/>
      <c r="R418" s="107"/>
      <c r="S418" s="107"/>
      <c r="T418" s="107"/>
      <c r="U418" s="16"/>
      <c r="V418" s="16"/>
      <c r="W418" s="16"/>
      <c r="X418" s="16"/>
      <c r="Y418" s="16"/>
      <c r="Z418" s="16"/>
      <c r="AA418" s="16"/>
      <c r="AB418" s="16"/>
      <c r="AC418" s="16"/>
      <c r="AD418" s="55"/>
      <c r="AE418" s="56"/>
      <c r="AF418" s="57"/>
      <c r="AG418" s="57"/>
      <c r="AH418" s="57"/>
      <c r="AI418" s="57"/>
      <c r="AJ418" s="58"/>
      <c r="AK418" s="58"/>
      <c r="AL418" s="58"/>
      <c r="AM418" s="59"/>
      <c r="AN418" s="60"/>
      <c r="AO418" s="16"/>
      <c r="AP418" s="16"/>
      <c r="AQ418" s="61"/>
    </row>
    <row r="419" ht="12.75" customHeight="1">
      <c r="A419" s="15"/>
      <c r="B419" s="162"/>
      <c r="C419" s="162"/>
      <c r="D419" s="162"/>
      <c r="E419" s="162"/>
      <c r="F419" s="162"/>
      <c r="G419" s="162"/>
      <c r="H419" s="151"/>
      <c r="I419" s="151"/>
      <c r="J419" s="151"/>
      <c r="K419" s="151"/>
      <c r="L419" s="163"/>
      <c r="M419" s="164"/>
      <c r="N419" s="164"/>
      <c r="O419" s="165"/>
      <c r="P419" s="48"/>
      <c r="Q419" s="107"/>
      <c r="R419" s="107"/>
      <c r="S419" s="107"/>
      <c r="T419" s="107"/>
      <c r="U419" s="16"/>
      <c r="V419" s="16"/>
      <c r="W419" s="16"/>
      <c r="X419" s="16"/>
      <c r="Y419" s="16"/>
      <c r="Z419" s="16"/>
      <c r="AA419" s="16"/>
      <c r="AB419" s="16"/>
      <c r="AC419" s="16"/>
      <c r="AD419" s="55"/>
      <c r="AE419" s="56"/>
      <c r="AF419" s="57"/>
      <c r="AG419" s="57"/>
      <c r="AH419" s="57"/>
      <c r="AI419" s="57"/>
      <c r="AJ419" s="58"/>
      <c r="AK419" s="58"/>
      <c r="AL419" s="58"/>
      <c r="AM419" s="59"/>
      <c r="AN419" s="60"/>
      <c r="AO419" s="16"/>
      <c r="AP419" s="16"/>
      <c r="AQ419" s="61"/>
    </row>
    <row r="420" ht="12.75" customHeight="1">
      <c r="A420" s="15"/>
      <c r="B420" s="162"/>
      <c r="C420" s="162"/>
      <c r="D420" s="162"/>
      <c r="E420" s="162"/>
      <c r="F420" s="162"/>
      <c r="G420" s="162"/>
      <c r="H420" s="151"/>
      <c r="I420" s="151"/>
      <c r="J420" s="151"/>
      <c r="K420" s="151"/>
      <c r="L420" s="163"/>
      <c r="M420" s="164"/>
      <c r="N420" s="164"/>
      <c r="O420" s="165"/>
      <c r="P420" s="48"/>
      <c r="Q420" s="107"/>
      <c r="R420" s="107"/>
      <c r="S420" s="107"/>
      <c r="T420" s="107"/>
      <c r="U420" s="16"/>
      <c r="V420" s="16"/>
      <c r="W420" s="16"/>
      <c r="X420" s="16"/>
      <c r="Y420" s="16"/>
      <c r="Z420" s="16"/>
      <c r="AA420" s="16"/>
      <c r="AB420" s="16"/>
      <c r="AC420" s="16"/>
      <c r="AD420" s="55"/>
      <c r="AE420" s="56"/>
      <c r="AF420" s="57"/>
      <c r="AG420" s="57"/>
      <c r="AH420" s="57"/>
      <c r="AI420" s="57"/>
      <c r="AJ420" s="58"/>
      <c r="AK420" s="58"/>
      <c r="AL420" s="58"/>
      <c r="AM420" s="59"/>
      <c r="AN420" s="60"/>
      <c r="AO420" s="16"/>
      <c r="AP420" s="16"/>
      <c r="AQ420" s="61"/>
    </row>
    <row r="421" ht="12.75" customHeight="1">
      <c r="A421" s="15"/>
      <c r="B421" s="162"/>
      <c r="C421" s="162"/>
      <c r="D421" s="162"/>
      <c r="E421" s="162"/>
      <c r="F421" s="162"/>
      <c r="G421" s="162"/>
      <c r="H421" s="151"/>
      <c r="I421" s="151"/>
      <c r="J421" s="151"/>
      <c r="K421" s="151"/>
      <c r="L421" s="163"/>
      <c r="M421" s="164"/>
      <c r="N421" s="164"/>
      <c r="O421" s="165"/>
      <c r="P421" s="48"/>
      <c r="Q421" s="107"/>
      <c r="R421" s="107"/>
      <c r="S421" s="107"/>
      <c r="T421" s="107"/>
      <c r="U421" s="16"/>
      <c r="V421" s="16"/>
      <c r="W421" s="16"/>
      <c r="X421" s="16"/>
      <c r="Y421" s="16"/>
      <c r="Z421" s="16"/>
      <c r="AA421" s="16"/>
      <c r="AB421" s="16"/>
      <c r="AC421" s="16"/>
      <c r="AD421" s="55"/>
      <c r="AE421" s="56"/>
      <c r="AF421" s="57"/>
      <c r="AG421" s="57"/>
      <c r="AH421" s="57"/>
      <c r="AI421" s="57"/>
      <c r="AJ421" s="58"/>
      <c r="AK421" s="58"/>
      <c r="AL421" s="58"/>
      <c r="AM421" s="59"/>
      <c r="AN421" s="60"/>
      <c r="AO421" s="16"/>
      <c r="AP421" s="16"/>
      <c r="AQ421" s="61"/>
    </row>
    <row r="422" ht="12.75" customHeight="1">
      <c r="A422" s="15"/>
      <c r="B422" s="162"/>
      <c r="C422" s="162"/>
      <c r="D422" s="162"/>
      <c r="E422" s="162"/>
      <c r="F422" s="162"/>
      <c r="G422" s="162"/>
      <c r="H422" s="151"/>
      <c r="I422" s="151"/>
      <c r="J422" s="151"/>
      <c r="K422" s="151"/>
      <c r="L422" s="163"/>
      <c r="M422" s="164"/>
      <c r="N422" s="164"/>
      <c r="O422" s="165"/>
      <c r="P422" s="48"/>
      <c r="Q422" s="107"/>
      <c r="R422" s="107"/>
      <c r="S422" s="107"/>
      <c r="T422" s="107"/>
      <c r="U422" s="16"/>
      <c r="V422" s="16"/>
      <c r="W422" s="16"/>
      <c r="X422" s="16"/>
      <c r="Y422" s="16"/>
      <c r="Z422" s="16"/>
      <c r="AA422" s="16"/>
      <c r="AB422" s="16"/>
      <c r="AC422" s="16"/>
      <c r="AD422" s="55"/>
      <c r="AE422" s="56"/>
      <c r="AF422" s="57"/>
      <c r="AG422" s="57"/>
      <c r="AH422" s="57"/>
      <c r="AI422" s="57"/>
      <c r="AJ422" s="58"/>
      <c r="AK422" s="58"/>
      <c r="AL422" s="58"/>
      <c r="AM422" s="59"/>
      <c r="AN422" s="60"/>
      <c r="AO422" s="16"/>
      <c r="AP422" s="16"/>
      <c r="AQ422" s="61"/>
    </row>
    <row r="423" ht="12.75" customHeight="1">
      <c r="A423" s="15"/>
      <c r="B423" s="162"/>
      <c r="C423" s="162"/>
      <c r="D423" s="162"/>
      <c r="E423" s="162"/>
      <c r="F423" s="162"/>
      <c r="G423" s="162"/>
      <c r="H423" s="151"/>
      <c r="I423" s="151"/>
      <c r="J423" s="151"/>
      <c r="K423" s="151"/>
      <c r="L423" s="163"/>
      <c r="M423" s="164"/>
      <c r="N423" s="164"/>
      <c r="O423" s="165"/>
      <c r="P423" s="48"/>
      <c r="Q423" s="107"/>
      <c r="R423" s="107"/>
      <c r="S423" s="107"/>
      <c r="T423" s="107"/>
      <c r="U423" s="16"/>
      <c r="V423" s="16"/>
      <c r="W423" s="16"/>
      <c r="X423" s="16"/>
      <c r="Y423" s="16"/>
      <c r="Z423" s="16"/>
      <c r="AA423" s="16"/>
      <c r="AB423" s="16"/>
      <c r="AC423" s="16"/>
      <c r="AD423" s="55"/>
      <c r="AE423" s="56"/>
      <c r="AF423" s="57"/>
      <c r="AG423" s="57"/>
      <c r="AH423" s="57"/>
      <c r="AI423" s="57"/>
      <c r="AJ423" s="58"/>
      <c r="AK423" s="58"/>
      <c r="AL423" s="58"/>
      <c r="AM423" s="59"/>
      <c r="AN423" s="60"/>
      <c r="AO423" s="16"/>
      <c r="AP423" s="16"/>
      <c r="AQ423" s="61"/>
    </row>
    <row r="424" ht="12.75" customHeight="1">
      <c r="A424" s="15"/>
      <c r="B424" s="162"/>
      <c r="C424" s="162"/>
      <c r="D424" s="162"/>
      <c r="E424" s="162"/>
      <c r="F424" s="162"/>
      <c r="G424" s="162"/>
      <c r="H424" s="151"/>
      <c r="I424" s="151"/>
      <c r="J424" s="151"/>
      <c r="K424" s="151"/>
      <c r="L424" s="163"/>
      <c r="M424" s="164"/>
      <c r="N424" s="164"/>
      <c r="O424" s="165"/>
      <c r="P424" s="48"/>
      <c r="Q424" s="107"/>
      <c r="R424" s="107"/>
      <c r="S424" s="107"/>
      <c r="T424" s="107"/>
      <c r="U424" s="16"/>
      <c r="V424" s="16"/>
      <c r="W424" s="16"/>
      <c r="X424" s="16"/>
      <c r="Y424" s="16"/>
      <c r="Z424" s="16"/>
      <c r="AA424" s="16"/>
      <c r="AB424" s="16"/>
      <c r="AC424" s="16"/>
      <c r="AD424" s="55"/>
      <c r="AE424" s="56"/>
      <c r="AF424" s="57"/>
      <c r="AG424" s="57"/>
      <c r="AH424" s="57"/>
      <c r="AI424" s="57"/>
      <c r="AJ424" s="58"/>
      <c r="AK424" s="58"/>
      <c r="AL424" s="58"/>
      <c r="AM424" s="59"/>
      <c r="AN424" s="60"/>
      <c r="AO424" s="16"/>
      <c r="AP424" s="16"/>
      <c r="AQ424" s="61"/>
    </row>
    <row r="425" ht="12.75" customHeight="1">
      <c r="A425" s="15"/>
      <c r="B425" s="162"/>
      <c r="C425" s="162"/>
      <c r="D425" s="162"/>
      <c r="E425" s="162"/>
      <c r="F425" s="162"/>
      <c r="G425" s="162"/>
      <c r="H425" s="151"/>
      <c r="I425" s="151"/>
      <c r="J425" s="151"/>
      <c r="K425" s="151"/>
      <c r="L425" s="163"/>
      <c r="M425" s="164"/>
      <c r="N425" s="164"/>
      <c r="O425" s="165"/>
      <c r="P425" s="48"/>
      <c r="Q425" s="107"/>
      <c r="R425" s="107"/>
      <c r="S425" s="107"/>
      <c r="T425" s="107"/>
      <c r="U425" s="16"/>
      <c r="V425" s="16"/>
      <c r="W425" s="16"/>
      <c r="X425" s="16"/>
      <c r="Y425" s="16"/>
      <c r="Z425" s="16"/>
      <c r="AA425" s="16"/>
      <c r="AB425" s="16"/>
      <c r="AC425" s="16"/>
      <c r="AD425" s="55"/>
      <c r="AE425" s="56"/>
      <c r="AF425" s="57"/>
      <c r="AG425" s="57"/>
      <c r="AH425" s="57"/>
      <c r="AI425" s="57"/>
      <c r="AJ425" s="58"/>
      <c r="AK425" s="58"/>
      <c r="AL425" s="58"/>
      <c r="AM425" s="59"/>
      <c r="AN425" s="60"/>
      <c r="AO425" s="16"/>
      <c r="AP425" s="16"/>
      <c r="AQ425" s="61"/>
    </row>
    <row r="426" ht="12.75" customHeight="1">
      <c r="A426" s="15"/>
      <c r="B426" s="162"/>
      <c r="C426" s="162"/>
      <c r="D426" s="162"/>
      <c r="E426" s="162"/>
      <c r="F426" s="162"/>
      <c r="G426" s="162"/>
      <c r="H426" s="151"/>
      <c r="I426" s="151"/>
      <c r="J426" s="151"/>
      <c r="K426" s="151"/>
      <c r="L426" s="163"/>
      <c r="M426" s="164"/>
      <c r="N426" s="164"/>
      <c r="O426" s="165"/>
      <c r="P426" s="48"/>
      <c r="Q426" s="107"/>
      <c r="R426" s="107"/>
      <c r="S426" s="107"/>
      <c r="T426" s="107"/>
      <c r="U426" s="16"/>
      <c r="V426" s="16"/>
      <c r="W426" s="16"/>
      <c r="X426" s="16"/>
      <c r="Y426" s="16"/>
      <c r="Z426" s="16"/>
      <c r="AA426" s="16"/>
      <c r="AB426" s="16"/>
      <c r="AC426" s="16"/>
      <c r="AD426" s="55"/>
      <c r="AE426" s="56"/>
      <c r="AF426" s="57"/>
      <c r="AG426" s="57"/>
      <c r="AH426" s="57"/>
      <c r="AI426" s="57"/>
      <c r="AJ426" s="58"/>
      <c r="AK426" s="58"/>
      <c r="AL426" s="58"/>
      <c r="AM426" s="59"/>
      <c r="AN426" s="60"/>
      <c r="AO426" s="16"/>
      <c r="AP426" s="16"/>
      <c r="AQ426" s="61"/>
    </row>
    <row r="427" ht="12.75" customHeight="1">
      <c r="A427" s="15"/>
      <c r="B427" s="162"/>
      <c r="C427" s="162"/>
      <c r="D427" s="162"/>
      <c r="E427" s="162"/>
      <c r="F427" s="162"/>
      <c r="G427" s="162"/>
      <c r="H427" s="151"/>
      <c r="I427" s="151"/>
      <c r="J427" s="151"/>
      <c r="K427" s="151"/>
      <c r="L427" s="163"/>
      <c r="M427" s="164"/>
      <c r="N427" s="164"/>
      <c r="O427" s="165"/>
      <c r="P427" s="48"/>
      <c r="Q427" s="107"/>
      <c r="R427" s="107"/>
      <c r="S427" s="107"/>
      <c r="T427" s="107"/>
      <c r="U427" s="16"/>
      <c r="V427" s="16"/>
      <c r="W427" s="16"/>
      <c r="X427" s="16"/>
      <c r="Y427" s="16"/>
      <c r="Z427" s="16"/>
      <c r="AA427" s="16"/>
      <c r="AB427" s="16"/>
      <c r="AC427" s="16"/>
      <c r="AD427" s="55"/>
      <c r="AE427" s="56"/>
      <c r="AF427" s="57"/>
      <c r="AG427" s="57"/>
      <c r="AH427" s="57"/>
      <c r="AI427" s="57"/>
      <c r="AJ427" s="58"/>
      <c r="AK427" s="58"/>
      <c r="AL427" s="58"/>
      <c r="AM427" s="59"/>
      <c r="AN427" s="60"/>
      <c r="AO427" s="16"/>
      <c r="AP427" s="16"/>
      <c r="AQ427" s="61"/>
    </row>
    <row r="428" ht="12.75" customHeight="1">
      <c r="A428" s="15"/>
      <c r="B428" s="162"/>
      <c r="C428" s="162"/>
      <c r="D428" s="162"/>
      <c r="E428" s="162"/>
      <c r="F428" s="162"/>
      <c r="G428" s="162"/>
      <c r="H428" s="151"/>
      <c r="I428" s="151"/>
      <c r="J428" s="151"/>
      <c r="K428" s="151"/>
      <c r="L428" s="163"/>
      <c r="M428" s="164"/>
      <c r="N428" s="164"/>
      <c r="O428" s="165"/>
      <c r="P428" s="48"/>
      <c r="Q428" s="107"/>
      <c r="R428" s="107"/>
      <c r="S428" s="107"/>
      <c r="T428" s="107"/>
      <c r="U428" s="16"/>
      <c r="V428" s="16"/>
      <c r="W428" s="16"/>
      <c r="X428" s="16"/>
      <c r="Y428" s="16"/>
      <c r="Z428" s="16"/>
      <c r="AA428" s="16"/>
      <c r="AB428" s="16"/>
      <c r="AC428" s="16"/>
      <c r="AD428" s="55"/>
      <c r="AE428" s="56"/>
      <c r="AF428" s="57"/>
      <c r="AG428" s="57"/>
      <c r="AH428" s="57"/>
      <c r="AI428" s="57"/>
      <c r="AJ428" s="58"/>
      <c r="AK428" s="58"/>
      <c r="AL428" s="58"/>
      <c r="AM428" s="59"/>
      <c r="AN428" s="60"/>
      <c r="AO428" s="16"/>
      <c r="AP428" s="16"/>
      <c r="AQ428" s="61"/>
    </row>
    <row r="429" ht="12.75" customHeight="1">
      <c r="A429" s="15"/>
      <c r="B429" s="162"/>
      <c r="C429" s="162"/>
      <c r="D429" s="162"/>
      <c r="E429" s="162"/>
      <c r="F429" s="162"/>
      <c r="G429" s="162"/>
      <c r="H429" s="151"/>
      <c r="I429" s="151"/>
      <c r="J429" s="151"/>
      <c r="K429" s="151"/>
      <c r="L429" s="163"/>
      <c r="M429" s="164"/>
      <c r="N429" s="164"/>
      <c r="O429" s="165"/>
      <c r="P429" s="48"/>
      <c r="Q429" s="107"/>
      <c r="R429" s="107"/>
      <c r="S429" s="107"/>
      <c r="T429" s="107"/>
      <c r="U429" s="16"/>
      <c r="V429" s="16"/>
      <c r="W429" s="16"/>
      <c r="X429" s="16"/>
      <c r="Y429" s="16"/>
      <c r="Z429" s="16"/>
      <c r="AA429" s="16"/>
      <c r="AB429" s="16"/>
      <c r="AC429" s="16"/>
      <c r="AD429" s="55"/>
      <c r="AE429" s="56"/>
      <c r="AF429" s="57"/>
      <c r="AG429" s="57"/>
      <c r="AH429" s="57"/>
      <c r="AI429" s="57"/>
      <c r="AJ429" s="58"/>
      <c r="AK429" s="58"/>
      <c r="AL429" s="58"/>
      <c r="AM429" s="59"/>
      <c r="AN429" s="60"/>
      <c r="AO429" s="16"/>
      <c r="AP429" s="16"/>
      <c r="AQ429" s="61"/>
    </row>
    <row r="430" ht="12.75" customHeight="1">
      <c r="A430" s="15"/>
      <c r="B430" s="162"/>
      <c r="C430" s="162"/>
      <c r="D430" s="162"/>
      <c r="E430" s="162"/>
      <c r="F430" s="162"/>
      <c r="G430" s="162"/>
      <c r="H430" s="151"/>
      <c r="I430" s="151"/>
      <c r="J430" s="151"/>
      <c r="K430" s="151"/>
      <c r="L430" s="163"/>
      <c r="M430" s="164"/>
      <c r="N430" s="164"/>
      <c r="O430" s="165"/>
      <c r="P430" s="48"/>
      <c r="Q430" s="107"/>
      <c r="R430" s="107"/>
      <c r="S430" s="107"/>
      <c r="T430" s="107"/>
      <c r="U430" s="16"/>
      <c r="V430" s="16"/>
      <c r="W430" s="16"/>
      <c r="X430" s="16"/>
      <c r="Y430" s="16"/>
      <c r="Z430" s="16"/>
      <c r="AA430" s="16"/>
      <c r="AB430" s="16"/>
      <c r="AC430" s="16"/>
      <c r="AD430" s="55"/>
      <c r="AE430" s="56"/>
      <c r="AF430" s="57"/>
      <c r="AG430" s="57"/>
      <c r="AH430" s="57"/>
      <c r="AI430" s="57"/>
      <c r="AJ430" s="58"/>
      <c r="AK430" s="58"/>
      <c r="AL430" s="58"/>
      <c r="AM430" s="59"/>
      <c r="AN430" s="60"/>
      <c r="AO430" s="16"/>
      <c r="AP430" s="16"/>
      <c r="AQ430" s="61"/>
    </row>
    <row r="431" ht="12.75" customHeight="1">
      <c r="A431" s="15"/>
      <c r="B431" s="162"/>
      <c r="C431" s="162"/>
      <c r="D431" s="162"/>
      <c r="E431" s="162"/>
      <c r="F431" s="162"/>
      <c r="G431" s="162"/>
      <c r="H431" s="151"/>
      <c r="I431" s="151"/>
      <c r="J431" s="151"/>
      <c r="K431" s="151"/>
      <c r="L431" s="163"/>
      <c r="M431" s="164"/>
      <c r="N431" s="164"/>
      <c r="O431" s="165"/>
      <c r="P431" s="48"/>
      <c r="Q431" s="107"/>
      <c r="R431" s="107"/>
      <c r="S431" s="107"/>
      <c r="T431" s="107"/>
      <c r="U431" s="16"/>
      <c r="V431" s="16"/>
      <c r="W431" s="16"/>
      <c r="X431" s="16"/>
      <c r="Y431" s="16"/>
      <c r="Z431" s="16"/>
      <c r="AA431" s="16"/>
      <c r="AB431" s="16"/>
      <c r="AC431" s="16"/>
      <c r="AD431" s="55"/>
      <c r="AE431" s="56"/>
      <c r="AF431" s="57"/>
      <c r="AG431" s="57"/>
      <c r="AH431" s="57"/>
      <c r="AI431" s="57"/>
      <c r="AJ431" s="58"/>
      <c r="AK431" s="58"/>
      <c r="AL431" s="58"/>
      <c r="AM431" s="59"/>
      <c r="AN431" s="60"/>
      <c r="AO431" s="16"/>
      <c r="AP431" s="16"/>
      <c r="AQ431" s="61"/>
    </row>
    <row r="432" ht="12.75" customHeight="1">
      <c r="A432" s="15"/>
      <c r="B432" s="162"/>
      <c r="C432" s="162"/>
      <c r="D432" s="162"/>
      <c r="E432" s="162"/>
      <c r="F432" s="162"/>
      <c r="G432" s="162"/>
      <c r="H432" s="151"/>
      <c r="I432" s="151"/>
      <c r="J432" s="151"/>
      <c r="K432" s="151"/>
      <c r="L432" s="163"/>
      <c r="M432" s="164"/>
      <c r="N432" s="164"/>
      <c r="O432" s="165"/>
      <c r="P432" s="48"/>
      <c r="Q432" s="107"/>
      <c r="R432" s="107"/>
      <c r="S432" s="107"/>
      <c r="T432" s="107"/>
      <c r="U432" s="16"/>
      <c r="V432" s="16"/>
      <c r="W432" s="16"/>
      <c r="X432" s="16"/>
      <c r="Y432" s="16"/>
      <c r="Z432" s="16"/>
      <c r="AA432" s="16"/>
      <c r="AB432" s="16"/>
      <c r="AC432" s="16"/>
      <c r="AD432" s="55"/>
      <c r="AE432" s="56"/>
      <c r="AF432" s="57"/>
      <c r="AG432" s="57"/>
      <c r="AH432" s="57"/>
      <c r="AI432" s="57"/>
      <c r="AJ432" s="58"/>
      <c r="AK432" s="58"/>
      <c r="AL432" s="58"/>
      <c r="AM432" s="59"/>
      <c r="AN432" s="60"/>
      <c r="AO432" s="16"/>
      <c r="AP432" s="16"/>
      <c r="AQ432" s="61"/>
    </row>
    <row r="433" ht="12.75" customHeight="1">
      <c r="A433" s="15"/>
      <c r="B433" s="162"/>
      <c r="C433" s="162"/>
      <c r="D433" s="162"/>
      <c r="E433" s="162"/>
      <c r="F433" s="162"/>
      <c r="G433" s="162"/>
      <c r="H433" s="151"/>
      <c r="I433" s="151"/>
      <c r="J433" s="151"/>
      <c r="K433" s="151"/>
      <c r="L433" s="163"/>
      <c r="M433" s="164"/>
      <c r="N433" s="164"/>
      <c r="O433" s="165"/>
      <c r="P433" s="48"/>
      <c r="Q433" s="107"/>
      <c r="R433" s="107"/>
      <c r="S433" s="107"/>
      <c r="T433" s="107"/>
      <c r="U433" s="16"/>
      <c r="V433" s="16"/>
      <c r="W433" s="16"/>
      <c r="X433" s="16"/>
      <c r="Y433" s="16"/>
      <c r="Z433" s="16"/>
      <c r="AA433" s="16"/>
      <c r="AB433" s="16"/>
      <c r="AC433" s="16"/>
      <c r="AD433" s="55"/>
      <c r="AE433" s="56"/>
      <c r="AF433" s="57"/>
      <c r="AG433" s="57"/>
      <c r="AH433" s="57"/>
      <c r="AI433" s="57"/>
      <c r="AJ433" s="58"/>
      <c r="AK433" s="58"/>
      <c r="AL433" s="58"/>
      <c r="AM433" s="59"/>
      <c r="AN433" s="60"/>
      <c r="AO433" s="16"/>
      <c r="AP433" s="16"/>
      <c r="AQ433" s="61"/>
    </row>
    <row r="434" ht="12.75" customHeight="1">
      <c r="A434" s="15"/>
      <c r="B434" s="162"/>
      <c r="C434" s="162"/>
      <c r="D434" s="162"/>
      <c r="E434" s="162"/>
      <c r="F434" s="162"/>
      <c r="G434" s="162"/>
      <c r="H434" s="151"/>
      <c r="I434" s="151"/>
      <c r="J434" s="151"/>
      <c r="K434" s="151"/>
      <c r="L434" s="163"/>
      <c r="M434" s="164"/>
      <c r="N434" s="164"/>
      <c r="O434" s="165"/>
      <c r="P434" s="48"/>
      <c r="Q434" s="107"/>
      <c r="R434" s="107"/>
      <c r="S434" s="107"/>
      <c r="T434" s="107"/>
      <c r="U434" s="16"/>
      <c r="V434" s="16"/>
      <c r="W434" s="16"/>
      <c r="X434" s="16"/>
      <c r="Y434" s="16"/>
      <c r="Z434" s="16"/>
      <c r="AA434" s="16"/>
      <c r="AB434" s="16"/>
      <c r="AC434" s="16"/>
      <c r="AD434" s="55"/>
      <c r="AE434" s="56"/>
      <c r="AF434" s="57"/>
      <c r="AG434" s="57"/>
      <c r="AH434" s="57"/>
      <c r="AI434" s="57"/>
      <c r="AJ434" s="58"/>
      <c r="AK434" s="58"/>
      <c r="AL434" s="58"/>
      <c r="AM434" s="59"/>
      <c r="AN434" s="60"/>
      <c r="AO434" s="16"/>
      <c r="AP434" s="16"/>
      <c r="AQ434" s="61"/>
    </row>
    <row r="435" ht="12.75" customHeight="1">
      <c r="A435" s="15"/>
      <c r="B435" s="162"/>
      <c r="C435" s="162"/>
      <c r="D435" s="162"/>
      <c r="E435" s="162"/>
      <c r="F435" s="162"/>
      <c r="G435" s="162"/>
      <c r="H435" s="151"/>
      <c r="I435" s="151"/>
      <c r="J435" s="151"/>
      <c r="K435" s="151"/>
      <c r="L435" s="163"/>
      <c r="M435" s="164"/>
      <c r="N435" s="164"/>
      <c r="O435" s="165"/>
      <c r="P435" s="48"/>
      <c r="Q435" s="107"/>
      <c r="R435" s="107"/>
      <c r="S435" s="107"/>
      <c r="T435" s="107"/>
      <c r="U435" s="16"/>
      <c r="V435" s="16"/>
      <c r="W435" s="16"/>
      <c r="X435" s="16"/>
      <c r="Y435" s="16"/>
      <c r="Z435" s="16"/>
      <c r="AA435" s="16"/>
      <c r="AB435" s="16"/>
      <c r="AC435" s="16"/>
      <c r="AD435" s="55"/>
      <c r="AE435" s="56"/>
      <c r="AF435" s="57"/>
      <c r="AG435" s="57"/>
      <c r="AH435" s="57"/>
      <c r="AI435" s="57"/>
      <c r="AJ435" s="58"/>
      <c r="AK435" s="58"/>
      <c r="AL435" s="58"/>
      <c r="AM435" s="59"/>
      <c r="AN435" s="60"/>
      <c r="AO435" s="16"/>
      <c r="AP435" s="16"/>
      <c r="AQ435" s="61"/>
    </row>
    <row r="436" ht="12.75" customHeight="1">
      <c r="A436" s="15"/>
      <c r="B436" s="162"/>
      <c r="C436" s="162"/>
      <c r="D436" s="162"/>
      <c r="E436" s="162"/>
      <c r="F436" s="162"/>
      <c r="G436" s="162"/>
      <c r="H436" s="151"/>
      <c r="I436" s="151"/>
      <c r="J436" s="151"/>
      <c r="K436" s="151"/>
      <c r="L436" s="163"/>
      <c r="M436" s="164"/>
      <c r="N436" s="164"/>
      <c r="O436" s="165"/>
      <c r="P436" s="48"/>
      <c r="Q436" s="107"/>
      <c r="R436" s="107"/>
      <c r="S436" s="107"/>
      <c r="T436" s="107"/>
      <c r="U436" s="16"/>
      <c r="V436" s="16"/>
      <c r="W436" s="16"/>
      <c r="X436" s="16"/>
      <c r="Y436" s="16"/>
      <c r="Z436" s="16"/>
      <c r="AA436" s="16"/>
      <c r="AB436" s="16"/>
      <c r="AC436" s="16"/>
      <c r="AD436" s="55"/>
      <c r="AE436" s="56"/>
      <c r="AF436" s="57"/>
      <c r="AG436" s="57"/>
      <c r="AH436" s="57"/>
      <c r="AI436" s="57"/>
      <c r="AJ436" s="58"/>
      <c r="AK436" s="58"/>
      <c r="AL436" s="58"/>
      <c r="AM436" s="59"/>
      <c r="AN436" s="60"/>
      <c r="AO436" s="16"/>
      <c r="AP436" s="16"/>
      <c r="AQ436" s="61"/>
    </row>
    <row r="437" ht="12.75" customHeight="1">
      <c r="A437" s="15"/>
      <c r="B437" s="162"/>
      <c r="C437" s="162"/>
      <c r="D437" s="162"/>
      <c r="E437" s="162"/>
      <c r="F437" s="162"/>
      <c r="G437" s="162"/>
      <c r="H437" s="151"/>
      <c r="I437" s="151"/>
      <c r="J437" s="151"/>
      <c r="K437" s="151"/>
      <c r="L437" s="163"/>
      <c r="M437" s="164"/>
      <c r="N437" s="164"/>
      <c r="O437" s="165"/>
      <c r="P437" s="48"/>
      <c r="Q437" s="107"/>
      <c r="R437" s="107"/>
      <c r="S437" s="107"/>
      <c r="T437" s="107"/>
      <c r="U437" s="16"/>
      <c r="V437" s="16"/>
      <c r="W437" s="16"/>
      <c r="X437" s="16"/>
      <c r="Y437" s="16"/>
      <c r="Z437" s="16"/>
      <c r="AA437" s="16"/>
      <c r="AB437" s="16"/>
      <c r="AC437" s="16"/>
      <c r="AD437" s="55"/>
      <c r="AE437" s="56"/>
      <c r="AF437" s="57"/>
      <c r="AG437" s="57"/>
      <c r="AH437" s="57"/>
      <c r="AI437" s="57"/>
      <c r="AJ437" s="58"/>
      <c r="AK437" s="58"/>
      <c r="AL437" s="58"/>
      <c r="AM437" s="59"/>
      <c r="AN437" s="60"/>
      <c r="AO437" s="16"/>
      <c r="AP437" s="16"/>
      <c r="AQ437" s="61"/>
    </row>
    <row r="438" ht="12.75" customHeight="1">
      <c r="A438" s="15"/>
      <c r="B438" s="162"/>
      <c r="C438" s="162"/>
      <c r="D438" s="162"/>
      <c r="E438" s="162"/>
      <c r="F438" s="162"/>
      <c r="G438" s="162"/>
      <c r="H438" s="151"/>
      <c r="I438" s="151"/>
      <c r="J438" s="151"/>
      <c r="K438" s="151"/>
      <c r="L438" s="163"/>
      <c r="M438" s="164"/>
      <c r="N438" s="164"/>
      <c r="O438" s="165"/>
      <c r="P438" s="48"/>
      <c r="Q438" s="107"/>
      <c r="R438" s="107"/>
      <c r="S438" s="107"/>
      <c r="T438" s="107"/>
      <c r="U438" s="16"/>
      <c r="V438" s="16"/>
      <c r="W438" s="16"/>
      <c r="X438" s="16"/>
      <c r="Y438" s="16"/>
      <c r="Z438" s="16"/>
      <c r="AA438" s="16"/>
      <c r="AB438" s="16"/>
      <c r="AC438" s="16"/>
      <c r="AD438" s="55"/>
      <c r="AE438" s="56"/>
      <c r="AF438" s="57"/>
      <c r="AG438" s="57"/>
      <c r="AH438" s="57"/>
      <c r="AI438" s="57"/>
      <c r="AJ438" s="58"/>
      <c r="AK438" s="58"/>
      <c r="AL438" s="58"/>
      <c r="AM438" s="59"/>
      <c r="AN438" s="60"/>
      <c r="AO438" s="16"/>
      <c r="AP438" s="16"/>
      <c r="AQ438" s="61"/>
    </row>
    <row r="439" ht="12.75" customHeight="1">
      <c r="A439" s="15"/>
      <c r="B439" s="162"/>
      <c r="C439" s="162"/>
      <c r="D439" s="162"/>
      <c r="E439" s="162"/>
      <c r="F439" s="162"/>
      <c r="G439" s="162"/>
      <c r="H439" s="151"/>
      <c r="I439" s="151"/>
      <c r="J439" s="151"/>
      <c r="K439" s="151"/>
      <c r="L439" s="163"/>
      <c r="M439" s="164"/>
      <c r="N439" s="164"/>
      <c r="O439" s="165"/>
      <c r="P439" s="48"/>
      <c r="Q439" s="107"/>
      <c r="R439" s="107"/>
      <c r="S439" s="107"/>
      <c r="T439" s="107"/>
      <c r="U439" s="16"/>
      <c r="V439" s="16"/>
      <c r="W439" s="16"/>
      <c r="X439" s="16"/>
      <c r="Y439" s="16"/>
      <c r="Z439" s="16"/>
      <c r="AA439" s="16"/>
      <c r="AB439" s="16"/>
      <c r="AC439" s="16"/>
      <c r="AD439" s="55"/>
      <c r="AE439" s="56"/>
      <c r="AF439" s="57"/>
      <c r="AG439" s="57"/>
      <c r="AH439" s="57"/>
      <c r="AI439" s="57"/>
      <c r="AJ439" s="58"/>
      <c r="AK439" s="58"/>
      <c r="AL439" s="58"/>
      <c r="AM439" s="59"/>
      <c r="AN439" s="60"/>
      <c r="AO439" s="16"/>
      <c r="AP439" s="16"/>
      <c r="AQ439" s="61"/>
    </row>
    <row r="440" ht="12.75" customHeight="1">
      <c r="A440" s="15"/>
      <c r="B440" s="162"/>
      <c r="C440" s="162"/>
      <c r="D440" s="162"/>
      <c r="E440" s="162"/>
      <c r="F440" s="162"/>
      <c r="G440" s="162"/>
      <c r="H440" s="151"/>
      <c r="I440" s="151"/>
      <c r="J440" s="151"/>
      <c r="K440" s="151"/>
      <c r="L440" s="163"/>
      <c r="M440" s="164"/>
      <c r="N440" s="164"/>
      <c r="O440" s="165"/>
      <c r="P440" s="48"/>
      <c r="Q440" s="107"/>
      <c r="R440" s="107"/>
      <c r="S440" s="107"/>
      <c r="T440" s="107"/>
      <c r="U440" s="16"/>
      <c r="V440" s="16"/>
      <c r="W440" s="16"/>
      <c r="X440" s="16"/>
      <c r="Y440" s="16"/>
      <c r="Z440" s="16"/>
      <c r="AA440" s="16"/>
      <c r="AB440" s="16"/>
      <c r="AC440" s="16"/>
      <c r="AD440" s="55"/>
      <c r="AE440" s="56"/>
      <c r="AF440" s="57"/>
      <c r="AG440" s="57"/>
      <c r="AH440" s="57"/>
      <c r="AI440" s="57"/>
      <c r="AJ440" s="58"/>
      <c r="AK440" s="58"/>
      <c r="AL440" s="58"/>
      <c r="AM440" s="59"/>
      <c r="AN440" s="60"/>
      <c r="AO440" s="16"/>
      <c r="AP440" s="16"/>
      <c r="AQ440" s="61"/>
    </row>
    <row r="441" ht="12.75" customHeight="1">
      <c r="A441" s="15"/>
      <c r="B441" s="162"/>
      <c r="C441" s="162"/>
      <c r="D441" s="162"/>
      <c r="E441" s="162"/>
      <c r="F441" s="162"/>
      <c r="G441" s="162"/>
      <c r="H441" s="151"/>
      <c r="I441" s="151"/>
      <c r="J441" s="151"/>
      <c r="K441" s="151"/>
      <c r="L441" s="163"/>
      <c r="M441" s="164"/>
      <c r="N441" s="164"/>
      <c r="O441" s="165"/>
      <c r="P441" s="48"/>
      <c r="Q441" s="107"/>
      <c r="R441" s="107"/>
      <c r="S441" s="107"/>
      <c r="T441" s="107"/>
      <c r="U441" s="16"/>
      <c r="V441" s="16"/>
      <c r="W441" s="16"/>
      <c r="X441" s="16"/>
      <c r="Y441" s="16"/>
      <c r="Z441" s="16"/>
      <c r="AA441" s="16"/>
      <c r="AB441" s="16"/>
      <c r="AC441" s="16"/>
      <c r="AD441" s="55"/>
      <c r="AE441" s="56"/>
      <c r="AF441" s="57"/>
      <c r="AG441" s="57"/>
      <c r="AH441" s="57"/>
      <c r="AI441" s="57"/>
      <c r="AJ441" s="58"/>
      <c r="AK441" s="58"/>
      <c r="AL441" s="58"/>
      <c r="AM441" s="59"/>
      <c r="AN441" s="60"/>
      <c r="AO441" s="16"/>
      <c r="AP441" s="16"/>
      <c r="AQ441" s="61"/>
    </row>
    <row r="442" ht="12.75" customHeight="1">
      <c r="A442" s="15"/>
      <c r="B442" s="162"/>
      <c r="C442" s="162"/>
      <c r="D442" s="162"/>
      <c r="E442" s="162"/>
      <c r="F442" s="162"/>
      <c r="G442" s="162"/>
      <c r="H442" s="151"/>
      <c r="I442" s="151"/>
      <c r="J442" s="151"/>
      <c r="K442" s="151"/>
      <c r="L442" s="163"/>
      <c r="M442" s="164"/>
      <c r="N442" s="164"/>
      <c r="O442" s="165"/>
      <c r="P442" s="48"/>
      <c r="Q442" s="107"/>
      <c r="R442" s="107"/>
      <c r="S442" s="107"/>
      <c r="T442" s="107"/>
      <c r="U442" s="16"/>
      <c r="V442" s="16"/>
      <c r="W442" s="16"/>
      <c r="X442" s="16"/>
      <c r="Y442" s="16"/>
      <c r="Z442" s="16"/>
      <c r="AA442" s="16"/>
      <c r="AB442" s="16"/>
      <c r="AC442" s="16"/>
      <c r="AD442" s="55"/>
      <c r="AE442" s="56"/>
      <c r="AF442" s="57"/>
      <c r="AG442" s="57"/>
      <c r="AH442" s="57"/>
      <c r="AI442" s="57"/>
      <c r="AJ442" s="58"/>
      <c r="AK442" s="58"/>
      <c r="AL442" s="58"/>
      <c r="AM442" s="59"/>
      <c r="AN442" s="60"/>
      <c r="AO442" s="16"/>
      <c r="AP442" s="16"/>
      <c r="AQ442" s="61"/>
    </row>
    <row r="443" ht="12.75" customHeight="1">
      <c r="A443" s="15"/>
      <c r="B443" s="162"/>
      <c r="C443" s="162"/>
      <c r="D443" s="162"/>
      <c r="E443" s="162"/>
      <c r="F443" s="162"/>
      <c r="G443" s="162"/>
      <c r="H443" s="151"/>
      <c r="I443" s="151"/>
      <c r="J443" s="151"/>
      <c r="K443" s="151"/>
      <c r="L443" s="163"/>
      <c r="M443" s="164"/>
      <c r="N443" s="164"/>
      <c r="O443" s="165"/>
      <c r="P443" s="48"/>
      <c r="Q443" s="107"/>
      <c r="R443" s="107"/>
      <c r="S443" s="107"/>
      <c r="T443" s="107"/>
      <c r="U443" s="16"/>
      <c r="V443" s="16"/>
      <c r="W443" s="16"/>
      <c r="X443" s="16"/>
      <c r="Y443" s="16"/>
      <c r="Z443" s="16"/>
      <c r="AA443" s="16"/>
      <c r="AB443" s="16"/>
      <c r="AC443" s="16"/>
      <c r="AD443" s="55"/>
      <c r="AE443" s="56"/>
      <c r="AF443" s="57"/>
      <c r="AG443" s="57"/>
      <c r="AH443" s="57"/>
      <c r="AI443" s="57"/>
      <c r="AJ443" s="58"/>
      <c r="AK443" s="58"/>
      <c r="AL443" s="58"/>
      <c r="AM443" s="59"/>
      <c r="AN443" s="60"/>
      <c r="AO443" s="16"/>
      <c r="AP443" s="16"/>
      <c r="AQ443" s="61"/>
    </row>
    <row r="444" ht="12.75" customHeight="1">
      <c r="A444" s="15"/>
      <c r="B444" s="162"/>
      <c r="C444" s="162"/>
      <c r="D444" s="162"/>
      <c r="E444" s="162"/>
      <c r="F444" s="162"/>
      <c r="G444" s="162"/>
      <c r="H444" s="151"/>
      <c r="I444" s="151"/>
      <c r="J444" s="151"/>
      <c r="K444" s="151"/>
      <c r="L444" s="163"/>
      <c r="M444" s="164"/>
      <c r="N444" s="164"/>
      <c r="O444" s="165"/>
      <c r="P444" s="48"/>
      <c r="Q444" s="107"/>
      <c r="R444" s="107"/>
      <c r="S444" s="107"/>
      <c r="T444" s="107"/>
      <c r="U444" s="16"/>
      <c r="V444" s="16"/>
      <c r="W444" s="16"/>
      <c r="X444" s="16"/>
      <c r="Y444" s="16"/>
      <c r="Z444" s="16"/>
      <c r="AA444" s="16"/>
      <c r="AB444" s="16"/>
      <c r="AC444" s="16"/>
      <c r="AD444" s="55"/>
      <c r="AE444" s="56"/>
      <c r="AF444" s="57"/>
      <c r="AG444" s="57"/>
      <c r="AH444" s="57"/>
      <c r="AI444" s="57"/>
      <c r="AJ444" s="58"/>
      <c r="AK444" s="58"/>
      <c r="AL444" s="58"/>
      <c r="AM444" s="59"/>
      <c r="AN444" s="60"/>
      <c r="AO444" s="16"/>
      <c r="AP444" s="16"/>
      <c r="AQ444" s="61"/>
    </row>
    <row r="445" ht="12.75" customHeight="1">
      <c r="A445" s="15"/>
      <c r="B445" s="162"/>
      <c r="C445" s="162"/>
      <c r="D445" s="162"/>
      <c r="E445" s="162"/>
      <c r="F445" s="162"/>
      <c r="G445" s="162"/>
      <c r="H445" s="151"/>
      <c r="I445" s="151"/>
      <c r="J445" s="151"/>
      <c r="K445" s="151"/>
      <c r="L445" s="163"/>
      <c r="M445" s="164"/>
      <c r="N445" s="164"/>
      <c r="O445" s="165"/>
      <c r="P445" s="48"/>
      <c r="Q445" s="107"/>
      <c r="R445" s="107"/>
      <c r="S445" s="107"/>
      <c r="T445" s="107"/>
      <c r="U445" s="16"/>
      <c r="V445" s="16"/>
      <c r="W445" s="16"/>
      <c r="X445" s="16"/>
      <c r="Y445" s="16"/>
      <c r="Z445" s="16"/>
      <c r="AA445" s="16"/>
      <c r="AB445" s="16"/>
      <c r="AC445" s="16"/>
      <c r="AD445" s="55"/>
      <c r="AE445" s="56"/>
      <c r="AF445" s="57"/>
      <c r="AG445" s="57"/>
      <c r="AH445" s="57"/>
      <c r="AI445" s="57"/>
      <c r="AJ445" s="58"/>
      <c r="AK445" s="58"/>
      <c r="AL445" s="58"/>
      <c r="AM445" s="59"/>
      <c r="AN445" s="60"/>
      <c r="AO445" s="16"/>
      <c r="AP445" s="16"/>
      <c r="AQ445" s="61"/>
    </row>
    <row r="446" ht="12.75" customHeight="1">
      <c r="A446" s="15"/>
      <c r="B446" s="162"/>
      <c r="C446" s="162"/>
      <c r="D446" s="162"/>
      <c r="E446" s="162"/>
      <c r="F446" s="162"/>
      <c r="G446" s="162"/>
      <c r="H446" s="151"/>
      <c r="I446" s="151"/>
      <c r="J446" s="151"/>
      <c r="K446" s="151"/>
      <c r="L446" s="163"/>
      <c r="M446" s="164"/>
      <c r="N446" s="164"/>
      <c r="O446" s="165"/>
      <c r="P446" s="48"/>
      <c r="Q446" s="107"/>
      <c r="R446" s="107"/>
      <c r="S446" s="107"/>
      <c r="T446" s="107"/>
      <c r="U446" s="16"/>
      <c r="V446" s="16"/>
      <c r="W446" s="16"/>
      <c r="X446" s="16"/>
      <c r="Y446" s="16"/>
      <c r="Z446" s="16"/>
      <c r="AA446" s="16"/>
      <c r="AB446" s="16"/>
      <c r="AC446" s="16"/>
      <c r="AD446" s="55"/>
      <c r="AE446" s="56"/>
      <c r="AF446" s="57"/>
      <c r="AG446" s="57"/>
      <c r="AH446" s="57"/>
      <c r="AI446" s="57"/>
      <c r="AJ446" s="58"/>
      <c r="AK446" s="58"/>
      <c r="AL446" s="58"/>
      <c r="AM446" s="59"/>
      <c r="AN446" s="60"/>
      <c r="AO446" s="16"/>
      <c r="AP446" s="16"/>
      <c r="AQ446" s="61"/>
    </row>
    <row r="447" ht="12.75" customHeight="1">
      <c r="A447" s="15"/>
      <c r="B447" s="162"/>
      <c r="C447" s="162"/>
      <c r="D447" s="162"/>
      <c r="E447" s="162"/>
      <c r="F447" s="162"/>
      <c r="G447" s="162"/>
      <c r="H447" s="151"/>
      <c r="I447" s="151"/>
      <c r="J447" s="151"/>
      <c r="K447" s="151"/>
      <c r="L447" s="163"/>
      <c r="M447" s="164"/>
      <c r="N447" s="164"/>
      <c r="O447" s="165"/>
      <c r="P447" s="48"/>
      <c r="Q447" s="107"/>
      <c r="R447" s="107"/>
      <c r="S447" s="107"/>
      <c r="T447" s="107"/>
      <c r="U447" s="16"/>
      <c r="V447" s="16"/>
      <c r="W447" s="16"/>
      <c r="X447" s="16"/>
      <c r="Y447" s="16"/>
      <c r="Z447" s="16"/>
      <c r="AA447" s="16"/>
      <c r="AB447" s="16"/>
      <c r="AC447" s="16"/>
      <c r="AD447" s="55"/>
      <c r="AE447" s="56"/>
      <c r="AF447" s="57"/>
      <c r="AG447" s="57"/>
      <c r="AH447" s="57"/>
      <c r="AI447" s="57"/>
      <c r="AJ447" s="58"/>
      <c r="AK447" s="58"/>
      <c r="AL447" s="58"/>
      <c r="AM447" s="59"/>
      <c r="AN447" s="60"/>
      <c r="AO447" s="16"/>
      <c r="AP447" s="16"/>
      <c r="AQ447" s="61"/>
    </row>
    <row r="448" ht="12.75" customHeight="1">
      <c r="A448" s="15"/>
      <c r="B448" s="162"/>
      <c r="C448" s="162"/>
      <c r="D448" s="162"/>
      <c r="E448" s="162"/>
      <c r="F448" s="162"/>
      <c r="G448" s="162"/>
      <c r="H448" s="151"/>
      <c r="I448" s="151"/>
      <c r="J448" s="151"/>
      <c r="K448" s="151"/>
      <c r="L448" s="163"/>
      <c r="M448" s="164"/>
      <c r="N448" s="164"/>
      <c r="O448" s="165"/>
      <c r="P448" s="48"/>
      <c r="Q448" s="107"/>
      <c r="R448" s="107"/>
      <c r="S448" s="107"/>
      <c r="T448" s="107"/>
      <c r="U448" s="16"/>
      <c r="V448" s="16"/>
      <c r="W448" s="16"/>
      <c r="X448" s="16"/>
      <c r="Y448" s="16"/>
      <c r="Z448" s="16"/>
      <c r="AA448" s="16"/>
      <c r="AB448" s="16"/>
      <c r="AC448" s="16"/>
      <c r="AD448" s="55"/>
      <c r="AE448" s="56"/>
      <c r="AF448" s="57"/>
      <c r="AG448" s="57"/>
      <c r="AH448" s="57"/>
      <c r="AI448" s="57"/>
      <c r="AJ448" s="58"/>
      <c r="AK448" s="58"/>
      <c r="AL448" s="58"/>
      <c r="AM448" s="59"/>
      <c r="AN448" s="60"/>
      <c r="AO448" s="16"/>
      <c r="AP448" s="16"/>
      <c r="AQ448" s="61"/>
    </row>
    <row r="449" ht="12.75" customHeight="1">
      <c r="A449" s="15"/>
      <c r="B449" s="162"/>
      <c r="C449" s="162"/>
      <c r="D449" s="162"/>
      <c r="E449" s="162"/>
      <c r="F449" s="162"/>
      <c r="G449" s="162"/>
      <c r="H449" s="151"/>
      <c r="I449" s="151"/>
      <c r="J449" s="151"/>
      <c r="K449" s="151"/>
      <c r="L449" s="163"/>
      <c r="M449" s="164"/>
      <c r="N449" s="164"/>
      <c r="O449" s="165"/>
      <c r="P449" s="48"/>
      <c r="Q449" s="107"/>
      <c r="R449" s="107"/>
      <c r="S449" s="107"/>
      <c r="T449" s="107"/>
      <c r="U449" s="16"/>
      <c r="V449" s="16"/>
      <c r="W449" s="16"/>
      <c r="X449" s="16"/>
      <c r="Y449" s="16"/>
      <c r="Z449" s="16"/>
      <c r="AA449" s="16"/>
      <c r="AB449" s="16"/>
      <c r="AC449" s="16"/>
      <c r="AD449" s="55"/>
      <c r="AE449" s="56"/>
      <c r="AF449" s="57"/>
      <c r="AG449" s="57"/>
      <c r="AH449" s="57"/>
      <c r="AI449" s="57"/>
      <c r="AJ449" s="58"/>
      <c r="AK449" s="58"/>
      <c r="AL449" s="58"/>
      <c r="AM449" s="59"/>
      <c r="AN449" s="60"/>
      <c r="AO449" s="16"/>
      <c r="AP449" s="16"/>
      <c r="AQ449" s="61"/>
    </row>
    <row r="450" ht="12.75" customHeight="1">
      <c r="A450" s="15"/>
      <c r="B450" s="162"/>
      <c r="C450" s="162"/>
      <c r="D450" s="162"/>
      <c r="E450" s="162"/>
      <c r="F450" s="162"/>
      <c r="G450" s="162"/>
      <c r="H450" s="151"/>
      <c r="I450" s="151"/>
      <c r="J450" s="151"/>
      <c r="K450" s="151"/>
      <c r="L450" s="163"/>
      <c r="M450" s="164"/>
      <c r="N450" s="164"/>
      <c r="O450" s="165"/>
      <c r="P450" s="48"/>
      <c r="Q450" s="107"/>
      <c r="R450" s="107"/>
      <c r="S450" s="107"/>
      <c r="T450" s="107"/>
      <c r="U450" s="16"/>
      <c r="V450" s="16"/>
      <c r="W450" s="16"/>
      <c r="X450" s="16"/>
      <c r="Y450" s="16"/>
      <c r="Z450" s="16"/>
      <c r="AA450" s="16"/>
      <c r="AB450" s="16"/>
      <c r="AC450" s="16"/>
      <c r="AD450" s="55"/>
      <c r="AE450" s="56"/>
      <c r="AF450" s="57"/>
      <c r="AG450" s="57"/>
      <c r="AH450" s="57"/>
      <c r="AI450" s="57"/>
      <c r="AJ450" s="58"/>
      <c r="AK450" s="58"/>
      <c r="AL450" s="58"/>
      <c r="AM450" s="59"/>
      <c r="AN450" s="60"/>
      <c r="AO450" s="16"/>
      <c r="AP450" s="16"/>
      <c r="AQ450" s="61"/>
    </row>
    <row r="451" ht="12.75" customHeight="1">
      <c r="A451" s="15"/>
      <c r="B451" s="162"/>
      <c r="C451" s="162"/>
      <c r="D451" s="162"/>
      <c r="E451" s="162"/>
      <c r="F451" s="162"/>
      <c r="G451" s="162"/>
      <c r="H451" s="151"/>
      <c r="I451" s="151"/>
      <c r="J451" s="151"/>
      <c r="K451" s="151"/>
      <c r="L451" s="163"/>
      <c r="M451" s="164"/>
      <c r="N451" s="164"/>
      <c r="O451" s="165"/>
      <c r="P451" s="48"/>
      <c r="Q451" s="107"/>
      <c r="R451" s="107"/>
      <c r="S451" s="107"/>
      <c r="T451" s="107"/>
      <c r="U451" s="16"/>
      <c r="V451" s="16"/>
      <c r="W451" s="16"/>
      <c r="X451" s="16"/>
      <c r="Y451" s="16"/>
      <c r="Z451" s="16"/>
      <c r="AA451" s="16"/>
      <c r="AB451" s="16"/>
      <c r="AC451" s="16"/>
      <c r="AD451" s="55"/>
      <c r="AE451" s="56"/>
      <c r="AF451" s="57"/>
      <c r="AG451" s="57"/>
      <c r="AH451" s="57"/>
      <c r="AI451" s="57"/>
      <c r="AJ451" s="58"/>
      <c r="AK451" s="58"/>
      <c r="AL451" s="58"/>
      <c r="AM451" s="59"/>
      <c r="AN451" s="60"/>
      <c r="AO451" s="16"/>
      <c r="AP451" s="16"/>
      <c r="AQ451" s="61"/>
    </row>
    <row r="452" ht="12.75" customHeight="1">
      <c r="A452" s="15"/>
      <c r="B452" s="162"/>
      <c r="C452" s="162"/>
      <c r="D452" s="162"/>
      <c r="E452" s="162"/>
      <c r="F452" s="162"/>
      <c r="G452" s="162"/>
      <c r="H452" s="151"/>
      <c r="I452" s="151"/>
      <c r="J452" s="151"/>
      <c r="K452" s="151"/>
      <c r="L452" s="163"/>
      <c r="M452" s="164"/>
      <c r="N452" s="164"/>
      <c r="O452" s="165"/>
      <c r="P452" s="48"/>
      <c r="Q452" s="107"/>
      <c r="R452" s="107"/>
      <c r="S452" s="107"/>
      <c r="T452" s="107"/>
      <c r="U452" s="16"/>
      <c r="V452" s="16"/>
      <c r="W452" s="16"/>
      <c r="X452" s="16"/>
      <c r="Y452" s="16"/>
      <c r="Z452" s="16"/>
      <c r="AA452" s="16"/>
      <c r="AB452" s="16"/>
      <c r="AC452" s="16"/>
      <c r="AD452" s="55"/>
      <c r="AE452" s="56"/>
      <c r="AF452" s="57"/>
      <c r="AG452" s="57"/>
      <c r="AH452" s="57"/>
      <c r="AI452" s="57"/>
      <c r="AJ452" s="58"/>
      <c r="AK452" s="58"/>
      <c r="AL452" s="58"/>
      <c r="AM452" s="59"/>
      <c r="AN452" s="60"/>
      <c r="AO452" s="16"/>
      <c r="AP452" s="16"/>
      <c r="AQ452" s="61"/>
    </row>
    <row r="453" ht="12.75" customHeight="1">
      <c r="A453" s="15"/>
      <c r="B453" s="162"/>
      <c r="C453" s="162"/>
      <c r="D453" s="162"/>
      <c r="E453" s="162"/>
      <c r="F453" s="162"/>
      <c r="G453" s="162"/>
      <c r="H453" s="151"/>
      <c r="I453" s="151"/>
      <c r="J453" s="151"/>
      <c r="K453" s="151"/>
      <c r="L453" s="163"/>
      <c r="M453" s="164"/>
      <c r="N453" s="164"/>
      <c r="O453" s="165"/>
      <c r="P453" s="48"/>
      <c r="Q453" s="107"/>
      <c r="R453" s="107"/>
      <c r="S453" s="107"/>
      <c r="T453" s="107"/>
      <c r="U453" s="16"/>
      <c r="V453" s="16"/>
      <c r="W453" s="16"/>
      <c r="X453" s="16"/>
      <c r="Y453" s="16"/>
      <c r="Z453" s="16"/>
      <c r="AA453" s="16"/>
      <c r="AB453" s="16"/>
      <c r="AC453" s="16"/>
      <c r="AD453" s="55"/>
      <c r="AE453" s="56"/>
      <c r="AF453" s="57"/>
      <c r="AG453" s="57"/>
      <c r="AH453" s="57"/>
      <c r="AI453" s="57"/>
      <c r="AJ453" s="58"/>
      <c r="AK453" s="58"/>
      <c r="AL453" s="58"/>
      <c r="AM453" s="59"/>
      <c r="AN453" s="60"/>
      <c r="AO453" s="16"/>
      <c r="AP453" s="16"/>
      <c r="AQ453" s="61"/>
    </row>
    <row r="454" ht="12.75" customHeight="1">
      <c r="A454" s="15"/>
      <c r="B454" s="162"/>
      <c r="C454" s="162"/>
      <c r="D454" s="162"/>
      <c r="E454" s="162"/>
      <c r="F454" s="162"/>
      <c r="G454" s="162"/>
      <c r="H454" s="151"/>
      <c r="I454" s="151"/>
      <c r="J454" s="151"/>
      <c r="K454" s="151"/>
      <c r="L454" s="163"/>
      <c r="M454" s="164"/>
      <c r="N454" s="164"/>
      <c r="O454" s="165"/>
      <c r="P454" s="48"/>
      <c r="Q454" s="107"/>
      <c r="R454" s="107"/>
      <c r="S454" s="107"/>
      <c r="T454" s="107"/>
      <c r="U454" s="16"/>
      <c r="V454" s="16"/>
      <c r="W454" s="16"/>
      <c r="X454" s="16"/>
      <c r="Y454" s="16"/>
      <c r="Z454" s="16"/>
      <c r="AA454" s="16"/>
      <c r="AB454" s="16"/>
      <c r="AC454" s="16"/>
      <c r="AD454" s="55"/>
      <c r="AE454" s="56"/>
      <c r="AF454" s="57"/>
      <c r="AG454" s="57"/>
      <c r="AH454" s="57"/>
      <c r="AI454" s="57"/>
      <c r="AJ454" s="58"/>
      <c r="AK454" s="58"/>
      <c r="AL454" s="58"/>
      <c r="AM454" s="59"/>
      <c r="AN454" s="60"/>
      <c r="AO454" s="16"/>
      <c r="AP454" s="16"/>
      <c r="AQ454" s="61"/>
    </row>
    <row r="455" ht="12.75" customHeight="1">
      <c r="A455" s="15"/>
      <c r="B455" s="162"/>
      <c r="C455" s="162"/>
      <c r="D455" s="162"/>
      <c r="E455" s="162"/>
      <c r="F455" s="162"/>
      <c r="G455" s="162"/>
      <c r="H455" s="151"/>
      <c r="I455" s="151"/>
      <c r="J455" s="151"/>
      <c r="K455" s="151"/>
      <c r="L455" s="163"/>
      <c r="M455" s="164"/>
      <c r="N455" s="164"/>
      <c r="O455" s="165"/>
      <c r="P455" s="48"/>
      <c r="Q455" s="107"/>
      <c r="R455" s="107"/>
      <c r="S455" s="107"/>
      <c r="T455" s="107"/>
      <c r="U455" s="16"/>
      <c r="V455" s="16"/>
      <c r="W455" s="16"/>
      <c r="X455" s="16"/>
      <c r="Y455" s="16"/>
      <c r="Z455" s="16"/>
      <c r="AA455" s="16"/>
      <c r="AB455" s="16"/>
      <c r="AC455" s="16"/>
      <c r="AD455" s="55"/>
      <c r="AE455" s="56"/>
      <c r="AF455" s="57"/>
      <c r="AG455" s="57"/>
      <c r="AH455" s="57"/>
      <c r="AI455" s="57"/>
      <c r="AJ455" s="58"/>
      <c r="AK455" s="58"/>
      <c r="AL455" s="58"/>
      <c r="AM455" s="59"/>
      <c r="AN455" s="60"/>
      <c r="AO455" s="16"/>
      <c r="AP455" s="16"/>
      <c r="AQ455" s="61"/>
    </row>
    <row r="456" ht="12.75" customHeight="1">
      <c r="A456" s="15"/>
      <c r="B456" s="162"/>
      <c r="C456" s="162"/>
      <c r="D456" s="162"/>
      <c r="E456" s="162"/>
      <c r="F456" s="162"/>
      <c r="G456" s="162"/>
      <c r="H456" s="151"/>
      <c r="I456" s="151"/>
      <c r="J456" s="151"/>
      <c r="K456" s="151"/>
      <c r="L456" s="163"/>
      <c r="M456" s="164"/>
      <c r="N456" s="164"/>
      <c r="O456" s="165"/>
      <c r="P456" s="48"/>
      <c r="Q456" s="107"/>
      <c r="R456" s="107"/>
      <c r="S456" s="107"/>
      <c r="T456" s="107"/>
      <c r="U456" s="16"/>
      <c r="V456" s="16"/>
      <c r="W456" s="16"/>
      <c r="X456" s="16"/>
      <c r="Y456" s="16"/>
      <c r="Z456" s="16"/>
      <c r="AA456" s="16"/>
      <c r="AB456" s="16"/>
      <c r="AC456" s="16"/>
      <c r="AD456" s="55"/>
      <c r="AE456" s="56"/>
      <c r="AF456" s="57"/>
      <c r="AG456" s="57"/>
      <c r="AH456" s="57"/>
      <c r="AI456" s="57"/>
      <c r="AJ456" s="58"/>
      <c r="AK456" s="58"/>
      <c r="AL456" s="58"/>
      <c r="AM456" s="59"/>
      <c r="AN456" s="60"/>
      <c r="AO456" s="16"/>
      <c r="AP456" s="16"/>
      <c r="AQ456" s="61"/>
    </row>
    <row r="457" ht="12.75" customHeight="1">
      <c r="A457" s="15"/>
      <c r="B457" s="162"/>
      <c r="C457" s="162"/>
      <c r="D457" s="162"/>
      <c r="E457" s="162"/>
      <c r="F457" s="162"/>
      <c r="G457" s="162"/>
      <c r="H457" s="151"/>
      <c r="I457" s="151"/>
      <c r="J457" s="151"/>
      <c r="K457" s="151"/>
      <c r="L457" s="163"/>
      <c r="M457" s="164"/>
      <c r="N457" s="164"/>
      <c r="O457" s="165"/>
      <c r="P457" s="48"/>
      <c r="Q457" s="107"/>
      <c r="R457" s="107"/>
      <c r="S457" s="107"/>
      <c r="T457" s="107"/>
      <c r="U457" s="16"/>
      <c r="V457" s="16"/>
      <c r="W457" s="16"/>
      <c r="X457" s="16"/>
      <c r="Y457" s="16"/>
      <c r="Z457" s="16"/>
      <c r="AA457" s="16"/>
      <c r="AB457" s="16"/>
      <c r="AC457" s="16"/>
      <c r="AD457" s="55"/>
      <c r="AE457" s="56"/>
      <c r="AF457" s="57"/>
      <c r="AG457" s="57"/>
      <c r="AH457" s="57"/>
      <c r="AI457" s="57"/>
      <c r="AJ457" s="58"/>
      <c r="AK457" s="58"/>
      <c r="AL457" s="58"/>
      <c r="AM457" s="59"/>
      <c r="AN457" s="60"/>
      <c r="AO457" s="16"/>
      <c r="AP457" s="16"/>
      <c r="AQ457" s="61"/>
    </row>
    <row r="458" ht="12.75" customHeight="1">
      <c r="A458" s="15"/>
      <c r="B458" s="162"/>
      <c r="C458" s="162"/>
      <c r="D458" s="162"/>
      <c r="E458" s="162"/>
      <c r="F458" s="162"/>
      <c r="G458" s="162"/>
      <c r="H458" s="151"/>
      <c r="I458" s="151"/>
      <c r="J458" s="151"/>
      <c r="K458" s="151"/>
      <c r="L458" s="163"/>
      <c r="M458" s="164"/>
      <c r="N458" s="164"/>
      <c r="O458" s="165"/>
      <c r="P458" s="48"/>
      <c r="Q458" s="107"/>
      <c r="R458" s="107"/>
      <c r="S458" s="107"/>
      <c r="T458" s="107"/>
      <c r="U458" s="16"/>
      <c r="V458" s="16"/>
      <c r="W458" s="16"/>
      <c r="X458" s="16"/>
      <c r="Y458" s="16"/>
      <c r="Z458" s="16"/>
      <c r="AA458" s="16"/>
      <c r="AB458" s="16"/>
      <c r="AC458" s="16"/>
      <c r="AD458" s="55"/>
      <c r="AE458" s="56"/>
      <c r="AF458" s="57"/>
      <c r="AG458" s="57"/>
      <c r="AH458" s="57"/>
      <c r="AI458" s="57"/>
      <c r="AJ458" s="58"/>
      <c r="AK458" s="58"/>
      <c r="AL458" s="58"/>
      <c r="AM458" s="59"/>
      <c r="AN458" s="60"/>
      <c r="AO458" s="16"/>
      <c r="AP458" s="16"/>
      <c r="AQ458" s="61"/>
    </row>
    <row r="459" ht="12.75" customHeight="1">
      <c r="A459" s="15"/>
      <c r="B459" s="162"/>
      <c r="C459" s="162"/>
      <c r="D459" s="162"/>
      <c r="E459" s="162"/>
      <c r="F459" s="162"/>
      <c r="G459" s="162"/>
      <c r="H459" s="151"/>
      <c r="I459" s="151"/>
      <c r="J459" s="151"/>
      <c r="K459" s="151"/>
      <c r="L459" s="163"/>
      <c r="M459" s="164"/>
      <c r="N459" s="164"/>
      <c r="O459" s="165"/>
      <c r="P459" s="48"/>
      <c r="Q459" s="107"/>
      <c r="R459" s="107"/>
      <c r="S459" s="107"/>
      <c r="T459" s="107"/>
      <c r="U459" s="16"/>
      <c r="V459" s="16"/>
      <c r="W459" s="16"/>
      <c r="X459" s="16"/>
      <c r="Y459" s="16"/>
      <c r="Z459" s="16"/>
      <c r="AA459" s="16"/>
      <c r="AB459" s="16"/>
      <c r="AC459" s="16"/>
      <c r="AD459" s="55"/>
      <c r="AE459" s="56"/>
      <c r="AF459" s="57"/>
      <c r="AG459" s="57"/>
      <c r="AH459" s="57"/>
      <c r="AI459" s="57"/>
      <c r="AJ459" s="58"/>
      <c r="AK459" s="58"/>
      <c r="AL459" s="58"/>
      <c r="AM459" s="59"/>
      <c r="AN459" s="60"/>
      <c r="AO459" s="16"/>
      <c r="AP459" s="16"/>
      <c r="AQ459" s="61"/>
    </row>
    <row r="460" ht="12.75" customHeight="1">
      <c r="A460" s="15"/>
      <c r="B460" s="162"/>
      <c r="C460" s="162"/>
      <c r="D460" s="162"/>
      <c r="E460" s="162"/>
      <c r="F460" s="162"/>
      <c r="G460" s="162"/>
      <c r="H460" s="151"/>
      <c r="I460" s="151"/>
      <c r="J460" s="151"/>
      <c r="K460" s="151"/>
      <c r="L460" s="163"/>
      <c r="M460" s="164"/>
      <c r="N460" s="164"/>
      <c r="O460" s="165"/>
      <c r="P460" s="48"/>
      <c r="Q460" s="107"/>
      <c r="R460" s="107"/>
      <c r="S460" s="107"/>
      <c r="T460" s="107"/>
      <c r="U460" s="16"/>
      <c r="V460" s="16"/>
      <c r="W460" s="16"/>
      <c r="X460" s="16"/>
      <c r="Y460" s="16"/>
      <c r="Z460" s="16"/>
      <c r="AA460" s="16"/>
      <c r="AB460" s="16"/>
      <c r="AC460" s="16"/>
      <c r="AD460" s="55"/>
      <c r="AE460" s="56"/>
      <c r="AF460" s="57"/>
      <c r="AG460" s="57"/>
      <c r="AH460" s="57"/>
      <c r="AI460" s="57"/>
      <c r="AJ460" s="58"/>
      <c r="AK460" s="58"/>
      <c r="AL460" s="58"/>
      <c r="AM460" s="59"/>
      <c r="AN460" s="60"/>
      <c r="AO460" s="16"/>
      <c r="AP460" s="16"/>
      <c r="AQ460" s="61"/>
    </row>
    <row r="461" ht="12.75" customHeight="1">
      <c r="A461" s="15"/>
      <c r="B461" s="162"/>
      <c r="C461" s="162"/>
      <c r="D461" s="162"/>
      <c r="E461" s="162"/>
      <c r="F461" s="162"/>
      <c r="G461" s="162"/>
      <c r="H461" s="151"/>
      <c r="I461" s="151"/>
      <c r="J461" s="151"/>
      <c r="K461" s="151"/>
      <c r="L461" s="163"/>
      <c r="M461" s="164"/>
      <c r="N461" s="164"/>
      <c r="O461" s="165"/>
      <c r="P461" s="48"/>
      <c r="Q461" s="107"/>
      <c r="R461" s="107"/>
      <c r="S461" s="107"/>
      <c r="T461" s="107"/>
      <c r="U461" s="16"/>
      <c r="V461" s="16"/>
      <c r="W461" s="16"/>
      <c r="X461" s="16"/>
      <c r="Y461" s="16"/>
      <c r="Z461" s="16"/>
      <c r="AA461" s="16"/>
      <c r="AB461" s="16"/>
      <c r="AC461" s="16"/>
      <c r="AD461" s="55"/>
      <c r="AE461" s="56"/>
      <c r="AF461" s="57"/>
      <c r="AG461" s="57"/>
      <c r="AH461" s="57"/>
      <c r="AI461" s="57"/>
      <c r="AJ461" s="58"/>
      <c r="AK461" s="58"/>
      <c r="AL461" s="58"/>
      <c r="AM461" s="59"/>
      <c r="AN461" s="60"/>
      <c r="AO461" s="16"/>
      <c r="AP461" s="16"/>
      <c r="AQ461" s="61"/>
    </row>
    <row r="462" ht="12.75" customHeight="1">
      <c r="A462" s="15"/>
      <c r="B462" s="162"/>
      <c r="C462" s="162"/>
      <c r="D462" s="162"/>
      <c r="E462" s="162"/>
      <c r="F462" s="162"/>
      <c r="G462" s="162"/>
      <c r="H462" s="151"/>
      <c r="I462" s="151"/>
      <c r="J462" s="151"/>
      <c r="K462" s="151"/>
      <c r="L462" s="163"/>
      <c r="M462" s="164"/>
      <c r="N462" s="164"/>
      <c r="O462" s="165"/>
      <c r="P462" s="48"/>
      <c r="Q462" s="107"/>
      <c r="R462" s="107"/>
      <c r="S462" s="107"/>
      <c r="T462" s="107"/>
      <c r="U462" s="16"/>
      <c r="V462" s="16"/>
      <c r="W462" s="16"/>
      <c r="X462" s="16"/>
      <c r="Y462" s="16"/>
      <c r="Z462" s="16"/>
      <c r="AA462" s="16"/>
      <c r="AB462" s="16"/>
      <c r="AC462" s="16"/>
      <c r="AD462" s="55"/>
      <c r="AE462" s="56"/>
      <c r="AF462" s="57"/>
      <c r="AG462" s="57"/>
      <c r="AH462" s="57"/>
      <c r="AI462" s="57"/>
      <c r="AJ462" s="58"/>
      <c r="AK462" s="58"/>
      <c r="AL462" s="58"/>
      <c r="AM462" s="59"/>
      <c r="AN462" s="60"/>
      <c r="AO462" s="16"/>
      <c r="AP462" s="16"/>
      <c r="AQ462" s="61"/>
    </row>
    <row r="463" ht="12.75" customHeight="1">
      <c r="A463" s="15"/>
      <c r="B463" s="162"/>
      <c r="C463" s="162"/>
      <c r="D463" s="162"/>
      <c r="E463" s="162"/>
      <c r="F463" s="162"/>
      <c r="G463" s="162"/>
      <c r="H463" s="151"/>
      <c r="I463" s="151"/>
      <c r="J463" s="151"/>
      <c r="K463" s="151"/>
      <c r="L463" s="163"/>
      <c r="M463" s="164"/>
      <c r="N463" s="164"/>
      <c r="O463" s="165"/>
      <c r="P463" s="48"/>
      <c r="Q463" s="107"/>
      <c r="R463" s="107"/>
      <c r="S463" s="107"/>
      <c r="T463" s="107"/>
      <c r="U463" s="16"/>
      <c r="V463" s="16"/>
      <c r="W463" s="16"/>
      <c r="X463" s="16"/>
      <c r="Y463" s="16"/>
      <c r="Z463" s="16"/>
      <c r="AA463" s="16"/>
      <c r="AB463" s="16"/>
      <c r="AC463" s="16"/>
      <c r="AD463" s="55"/>
      <c r="AE463" s="56"/>
      <c r="AF463" s="57"/>
      <c r="AG463" s="57"/>
      <c r="AH463" s="57"/>
      <c r="AI463" s="57"/>
      <c r="AJ463" s="58"/>
      <c r="AK463" s="58"/>
      <c r="AL463" s="58"/>
      <c r="AM463" s="59"/>
      <c r="AN463" s="60"/>
      <c r="AO463" s="16"/>
      <c r="AP463" s="16"/>
      <c r="AQ463" s="61"/>
    </row>
    <row r="464" ht="12.75" customHeight="1">
      <c r="A464" s="15"/>
      <c r="B464" s="162"/>
      <c r="C464" s="162"/>
      <c r="D464" s="162"/>
      <c r="E464" s="162"/>
      <c r="F464" s="162"/>
      <c r="G464" s="162"/>
      <c r="H464" s="151"/>
      <c r="I464" s="151"/>
      <c r="J464" s="151"/>
      <c r="K464" s="151"/>
      <c r="L464" s="163"/>
      <c r="M464" s="164"/>
      <c r="N464" s="164"/>
      <c r="O464" s="165"/>
      <c r="P464" s="48"/>
      <c r="Q464" s="107"/>
      <c r="R464" s="107"/>
      <c r="S464" s="107"/>
      <c r="T464" s="107"/>
      <c r="U464" s="16"/>
      <c r="V464" s="16"/>
      <c r="W464" s="16"/>
      <c r="X464" s="16"/>
      <c r="Y464" s="16"/>
      <c r="Z464" s="16"/>
      <c r="AA464" s="16"/>
      <c r="AB464" s="16"/>
      <c r="AC464" s="16"/>
      <c r="AD464" s="55"/>
      <c r="AE464" s="56"/>
      <c r="AF464" s="57"/>
      <c r="AG464" s="57"/>
      <c r="AH464" s="57"/>
      <c r="AI464" s="57"/>
      <c r="AJ464" s="58"/>
      <c r="AK464" s="58"/>
      <c r="AL464" s="58"/>
      <c r="AM464" s="59"/>
      <c r="AN464" s="60"/>
      <c r="AO464" s="16"/>
      <c r="AP464" s="16"/>
      <c r="AQ464" s="61"/>
    </row>
    <row r="465" ht="12.75" customHeight="1">
      <c r="A465" s="15"/>
      <c r="B465" s="162"/>
      <c r="C465" s="162"/>
      <c r="D465" s="162"/>
      <c r="E465" s="162"/>
      <c r="F465" s="162"/>
      <c r="G465" s="162"/>
      <c r="H465" s="151"/>
      <c r="I465" s="151"/>
      <c r="J465" s="151"/>
      <c r="K465" s="151"/>
      <c r="L465" s="163"/>
      <c r="M465" s="164"/>
      <c r="N465" s="164"/>
      <c r="O465" s="165"/>
      <c r="P465" s="48"/>
      <c r="Q465" s="107"/>
      <c r="R465" s="107"/>
      <c r="S465" s="107"/>
      <c r="T465" s="107"/>
      <c r="U465" s="16"/>
      <c r="V465" s="16"/>
      <c r="W465" s="16"/>
      <c r="X465" s="16"/>
      <c r="Y465" s="16"/>
      <c r="Z465" s="16"/>
      <c r="AA465" s="16"/>
      <c r="AB465" s="16"/>
      <c r="AC465" s="16"/>
      <c r="AD465" s="55"/>
      <c r="AE465" s="56"/>
      <c r="AF465" s="57"/>
      <c r="AG465" s="57"/>
      <c r="AH465" s="57"/>
      <c r="AI465" s="57"/>
      <c r="AJ465" s="58"/>
      <c r="AK465" s="58"/>
      <c r="AL465" s="58"/>
      <c r="AM465" s="59"/>
      <c r="AN465" s="60"/>
      <c r="AO465" s="16"/>
      <c r="AP465" s="16"/>
      <c r="AQ465" s="61"/>
    </row>
    <row r="466" ht="12.75" customHeight="1">
      <c r="A466" s="15"/>
      <c r="B466" s="162"/>
      <c r="C466" s="162"/>
      <c r="D466" s="162"/>
      <c r="E466" s="162"/>
      <c r="F466" s="162"/>
      <c r="G466" s="162"/>
      <c r="H466" s="151"/>
      <c r="I466" s="151"/>
      <c r="J466" s="151"/>
      <c r="K466" s="151"/>
      <c r="L466" s="163"/>
      <c r="M466" s="164"/>
      <c r="N466" s="164"/>
      <c r="O466" s="165"/>
      <c r="P466" s="48"/>
      <c r="Q466" s="107"/>
      <c r="R466" s="107"/>
      <c r="S466" s="107"/>
      <c r="T466" s="107"/>
      <c r="U466" s="16"/>
      <c r="V466" s="16"/>
      <c r="W466" s="16"/>
      <c r="X466" s="16"/>
      <c r="Y466" s="16"/>
      <c r="Z466" s="16"/>
      <c r="AA466" s="16"/>
      <c r="AB466" s="16"/>
      <c r="AC466" s="16"/>
      <c r="AD466" s="55"/>
      <c r="AE466" s="56"/>
      <c r="AF466" s="57"/>
      <c r="AG466" s="57"/>
      <c r="AH466" s="57"/>
      <c r="AI466" s="57"/>
      <c r="AJ466" s="58"/>
      <c r="AK466" s="58"/>
      <c r="AL466" s="58"/>
      <c r="AM466" s="59"/>
      <c r="AN466" s="60"/>
      <c r="AO466" s="16"/>
      <c r="AP466" s="16"/>
      <c r="AQ466" s="61"/>
    </row>
    <row r="467" ht="12.75" customHeight="1">
      <c r="A467" s="15"/>
      <c r="B467" s="162"/>
      <c r="C467" s="162"/>
      <c r="D467" s="162"/>
      <c r="E467" s="162"/>
      <c r="F467" s="162"/>
      <c r="G467" s="162"/>
      <c r="H467" s="151"/>
      <c r="I467" s="151"/>
      <c r="J467" s="151"/>
      <c r="K467" s="151"/>
      <c r="L467" s="163"/>
      <c r="M467" s="164"/>
      <c r="N467" s="164"/>
      <c r="O467" s="165"/>
      <c r="P467" s="48"/>
      <c r="Q467" s="107"/>
      <c r="R467" s="107"/>
      <c r="S467" s="107"/>
      <c r="T467" s="107"/>
      <c r="U467" s="16"/>
      <c r="V467" s="16"/>
      <c r="W467" s="16"/>
      <c r="X467" s="16"/>
      <c r="Y467" s="16"/>
      <c r="Z467" s="16"/>
      <c r="AA467" s="16"/>
      <c r="AB467" s="16"/>
      <c r="AC467" s="16"/>
      <c r="AD467" s="55"/>
      <c r="AE467" s="56"/>
      <c r="AF467" s="57"/>
      <c r="AG467" s="57"/>
      <c r="AH467" s="57"/>
      <c r="AI467" s="57"/>
      <c r="AJ467" s="58"/>
      <c r="AK467" s="58"/>
      <c r="AL467" s="58"/>
      <c r="AM467" s="59"/>
      <c r="AN467" s="60"/>
      <c r="AO467" s="16"/>
      <c r="AP467" s="16"/>
      <c r="AQ467" s="61"/>
    </row>
    <row r="468" ht="12.75" customHeight="1">
      <c r="A468" s="15"/>
      <c r="B468" s="162"/>
      <c r="C468" s="162"/>
      <c r="D468" s="162"/>
      <c r="E468" s="162"/>
      <c r="F468" s="162"/>
      <c r="G468" s="162"/>
      <c r="H468" s="151"/>
      <c r="I468" s="151"/>
      <c r="J468" s="151"/>
      <c r="K468" s="151"/>
      <c r="L468" s="163"/>
      <c r="M468" s="164"/>
      <c r="N468" s="164"/>
      <c r="O468" s="165"/>
      <c r="P468" s="48"/>
      <c r="Q468" s="107"/>
      <c r="R468" s="107"/>
      <c r="S468" s="107"/>
      <c r="T468" s="107"/>
      <c r="U468" s="16"/>
      <c r="V468" s="16"/>
      <c r="W468" s="16"/>
      <c r="X468" s="16"/>
      <c r="Y468" s="16"/>
      <c r="Z468" s="16"/>
      <c r="AA468" s="16"/>
      <c r="AB468" s="16"/>
      <c r="AC468" s="16"/>
      <c r="AD468" s="55"/>
      <c r="AE468" s="56"/>
      <c r="AF468" s="57"/>
      <c r="AG468" s="57"/>
      <c r="AH468" s="57"/>
      <c r="AI468" s="57"/>
      <c r="AJ468" s="58"/>
      <c r="AK468" s="58"/>
      <c r="AL468" s="58"/>
      <c r="AM468" s="59"/>
      <c r="AN468" s="60"/>
      <c r="AO468" s="16"/>
      <c r="AP468" s="16"/>
      <c r="AQ468" s="61"/>
    </row>
    <row r="469" ht="12.75" customHeight="1">
      <c r="A469" s="15"/>
      <c r="B469" s="162"/>
      <c r="C469" s="162"/>
      <c r="D469" s="162"/>
      <c r="E469" s="162"/>
      <c r="F469" s="162"/>
      <c r="G469" s="162"/>
      <c r="H469" s="151"/>
      <c r="I469" s="151"/>
      <c r="J469" s="151"/>
      <c r="K469" s="151"/>
      <c r="L469" s="163"/>
      <c r="M469" s="164"/>
      <c r="N469" s="164"/>
      <c r="O469" s="165"/>
      <c r="P469" s="48"/>
      <c r="Q469" s="107"/>
      <c r="R469" s="107"/>
      <c r="S469" s="107"/>
      <c r="T469" s="107"/>
      <c r="U469" s="16"/>
      <c r="V469" s="16"/>
      <c r="W469" s="16"/>
      <c r="X469" s="16"/>
      <c r="Y469" s="16"/>
      <c r="Z469" s="16"/>
      <c r="AA469" s="16"/>
      <c r="AB469" s="16"/>
      <c r="AC469" s="16"/>
      <c r="AD469" s="55"/>
      <c r="AE469" s="56"/>
      <c r="AF469" s="57"/>
      <c r="AG469" s="57"/>
      <c r="AH469" s="57"/>
      <c r="AI469" s="57"/>
      <c r="AJ469" s="58"/>
      <c r="AK469" s="58"/>
      <c r="AL469" s="58"/>
      <c r="AM469" s="59"/>
      <c r="AN469" s="60"/>
      <c r="AO469" s="16"/>
      <c r="AP469" s="16"/>
      <c r="AQ469" s="61"/>
    </row>
    <row r="470" ht="12.75" customHeight="1">
      <c r="A470" s="15"/>
      <c r="B470" s="162"/>
      <c r="C470" s="162"/>
      <c r="D470" s="162"/>
      <c r="E470" s="162"/>
      <c r="F470" s="162"/>
      <c r="G470" s="162"/>
      <c r="H470" s="151"/>
      <c r="I470" s="151"/>
      <c r="J470" s="151"/>
      <c r="K470" s="151"/>
      <c r="L470" s="163"/>
      <c r="M470" s="164"/>
      <c r="N470" s="164"/>
      <c r="O470" s="165"/>
      <c r="P470" s="48"/>
      <c r="Q470" s="107"/>
      <c r="R470" s="107"/>
      <c r="S470" s="107"/>
      <c r="T470" s="107"/>
      <c r="U470" s="16"/>
      <c r="V470" s="16"/>
      <c r="W470" s="16"/>
      <c r="X470" s="16"/>
      <c r="Y470" s="16"/>
      <c r="Z470" s="16"/>
      <c r="AA470" s="16"/>
      <c r="AB470" s="16"/>
      <c r="AC470" s="16"/>
      <c r="AD470" s="55"/>
      <c r="AE470" s="56"/>
      <c r="AF470" s="57"/>
      <c r="AG470" s="57"/>
      <c r="AH470" s="57"/>
      <c r="AI470" s="57"/>
      <c r="AJ470" s="58"/>
      <c r="AK470" s="58"/>
      <c r="AL470" s="58"/>
      <c r="AM470" s="59"/>
      <c r="AN470" s="60"/>
      <c r="AO470" s="16"/>
      <c r="AP470" s="16"/>
      <c r="AQ470" s="61"/>
    </row>
    <row r="471" ht="12.75" customHeight="1">
      <c r="A471" s="15"/>
      <c r="B471" s="162"/>
      <c r="C471" s="162"/>
      <c r="D471" s="162"/>
      <c r="E471" s="162"/>
      <c r="F471" s="162"/>
      <c r="G471" s="162"/>
      <c r="H471" s="151"/>
      <c r="I471" s="151"/>
      <c r="J471" s="151"/>
      <c r="K471" s="151"/>
      <c r="L471" s="163"/>
      <c r="M471" s="164"/>
      <c r="N471" s="164"/>
      <c r="O471" s="165"/>
      <c r="P471" s="48"/>
      <c r="Q471" s="107"/>
      <c r="R471" s="107"/>
      <c r="S471" s="107"/>
      <c r="T471" s="107"/>
      <c r="U471" s="16"/>
      <c r="V471" s="16"/>
      <c r="W471" s="16"/>
      <c r="X471" s="16"/>
      <c r="Y471" s="16"/>
      <c r="Z471" s="16"/>
      <c r="AA471" s="16"/>
      <c r="AB471" s="16"/>
      <c r="AC471" s="16"/>
      <c r="AD471" s="55"/>
      <c r="AE471" s="56"/>
      <c r="AF471" s="57"/>
      <c r="AG471" s="57"/>
      <c r="AH471" s="57"/>
      <c r="AI471" s="57"/>
      <c r="AJ471" s="58"/>
      <c r="AK471" s="58"/>
      <c r="AL471" s="58"/>
      <c r="AM471" s="59"/>
      <c r="AN471" s="60"/>
      <c r="AO471" s="16"/>
      <c r="AP471" s="16"/>
      <c r="AQ471" s="61"/>
    </row>
    <row r="472" ht="12.75" customHeight="1">
      <c r="A472" s="15"/>
      <c r="B472" s="162"/>
      <c r="C472" s="162"/>
      <c r="D472" s="162"/>
      <c r="E472" s="162"/>
      <c r="F472" s="162"/>
      <c r="G472" s="162"/>
      <c r="H472" s="151"/>
      <c r="I472" s="151"/>
      <c r="J472" s="151"/>
      <c r="K472" s="151"/>
      <c r="L472" s="163"/>
      <c r="M472" s="164"/>
      <c r="N472" s="164"/>
      <c r="O472" s="165"/>
      <c r="P472" s="48"/>
      <c r="Q472" s="107"/>
      <c r="R472" s="107"/>
      <c r="S472" s="107"/>
      <c r="T472" s="107"/>
      <c r="U472" s="16"/>
      <c r="V472" s="16"/>
      <c r="W472" s="16"/>
      <c r="X472" s="16"/>
      <c r="Y472" s="16"/>
      <c r="Z472" s="16"/>
      <c r="AA472" s="16"/>
      <c r="AB472" s="16"/>
      <c r="AC472" s="16"/>
      <c r="AD472" s="55"/>
      <c r="AE472" s="56"/>
      <c r="AF472" s="57"/>
      <c r="AG472" s="57"/>
      <c r="AH472" s="57"/>
      <c r="AI472" s="57"/>
      <c r="AJ472" s="58"/>
      <c r="AK472" s="58"/>
      <c r="AL472" s="58"/>
      <c r="AM472" s="59"/>
      <c r="AN472" s="60"/>
      <c r="AO472" s="16"/>
      <c r="AP472" s="16"/>
      <c r="AQ472" s="61"/>
    </row>
    <row r="473" ht="12.75" customHeight="1">
      <c r="A473" s="15"/>
      <c r="B473" s="162"/>
      <c r="C473" s="162"/>
      <c r="D473" s="162"/>
      <c r="E473" s="162"/>
      <c r="F473" s="162"/>
      <c r="G473" s="162"/>
      <c r="H473" s="151"/>
      <c r="I473" s="151"/>
      <c r="J473" s="151"/>
      <c r="K473" s="151"/>
      <c r="L473" s="163"/>
      <c r="M473" s="164"/>
      <c r="N473" s="164"/>
      <c r="O473" s="165"/>
      <c r="P473" s="48"/>
      <c r="Q473" s="107"/>
      <c r="R473" s="107"/>
      <c r="S473" s="107"/>
      <c r="T473" s="107"/>
      <c r="U473" s="16"/>
      <c r="V473" s="16"/>
      <c r="W473" s="16"/>
      <c r="X473" s="16"/>
      <c r="Y473" s="16"/>
      <c r="Z473" s="16"/>
      <c r="AA473" s="16"/>
      <c r="AB473" s="16"/>
      <c r="AC473" s="16"/>
      <c r="AD473" s="55"/>
      <c r="AE473" s="56"/>
      <c r="AF473" s="57"/>
      <c r="AG473" s="57"/>
      <c r="AH473" s="57"/>
      <c r="AI473" s="57"/>
      <c r="AJ473" s="58"/>
      <c r="AK473" s="58"/>
      <c r="AL473" s="58"/>
      <c r="AM473" s="59"/>
      <c r="AN473" s="60"/>
      <c r="AO473" s="16"/>
      <c r="AP473" s="16"/>
      <c r="AQ473" s="61"/>
    </row>
    <row r="474" ht="12.75" customHeight="1">
      <c r="A474" s="15"/>
      <c r="B474" s="162"/>
      <c r="C474" s="162"/>
      <c r="D474" s="162"/>
      <c r="E474" s="162"/>
      <c r="F474" s="162"/>
      <c r="G474" s="162"/>
      <c r="H474" s="151"/>
      <c r="I474" s="151"/>
      <c r="J474" s="151"/>
      <c r="K474" s="151"/>
      <c r="L474" s="163"/>
      <c r="M474" s="164"/>
      <c r="N474" s="164"/>
      <c r="O474" s="165"/>
      <c r="P474" s="48"/>
      <c r="Q474" s="107"/>
      <c r="R474" s="107"/>
      <c r="S474" s="107"/>
      <c r="T474" s="107"/>
      <c r="U474" s="16"/>
      <c r="V474" s="16"/>
      <c r="W474" s="16"/>
      <c r="X474" s="16"/>
      <c r="Y474" s="16"/>
      <c r="Z474" s="16"/>
      <c r="AA474" s="16"/>
      <c r="AB474" s="16"/>
      <c r="AC474" s="16"/>
      <c r="AD474" s="55"/>
      <c r="AE474" s="56"/>
      <c r="AF474" s="57"/>
      <c r="AG474" s="57"/>
      <c r="AH474" s="57"/>
      <c r="AI474" s="57"/>
      <c r="AJ474" s="58"/>
      <c r="AK474" s="58"/>
      <c r="AL474" s="58"/>
      <c r="AM474" s="59"/>
      <c r="AN474" s="60"/>
      <c r="AO474" s="16"/>
      <c r="AP474" s="16"/>
      <c r="AQ474" s="61"/>
    </row>
    <row r="475" ht="12.75" customHeight="1">
      <c r="A475" s="15"/>
      <c r="B475" s="162"/>
      <c r="C475" s="162"/>
      <c r="D475" s="162"/>
      <c r="E475" s="162"/>
      <c r="F475" s="162"/>
      <c r="G475" s="162"/>
      <c r="H475" s="151"/>
      <c r="I475" s="151"/>
      <c r="J475" s="151"/>
      <c r="K475" s="151"/>
      <c r="L475" s="163"/>
      <c r="M475" s="164"/>
      <c r="N475" s="164"/>
      <c r="O475" s="165"/>
      <c r="P475" s="48"/>
      <c r="Q475" s="107"/>
      <c r="R475" s="107"/>
      <c r="S475" s="107"/>
      <c r="T475" s="107"/>
      <c r="U475" s="16"/>
      <c r="V475" s="16"/>
      <c r="W475" s="16"/>
      <c r="X475" s="16"/>
      <c r="Y475" s="16"/>
      <c r="Z475" s="16"/>
      <c r="AA475" s="16"/>
      <c r="AB475" s="16"/>
      <c r="AC475" s="16"/>
      <c r="AD475" s="55"/>
      <c r="AE475" s="56"/>
      <c r="AF475" s="57"/>
      <c r="AG475" s="57"/>
      <c r="AH475" s="57"/>
      <c r="AI475" s="57"/>
      <c r="AJ475" s="58"/>
      <c r="AK475" s="58"/>
      <c r="AL475" s="58"/>
      <c r="AM475" s="59"/>
      <c r="AN475" s="60"/>
      <c r="AO475" s="16"/>
      <c r="AP475" s="16"/>
      <c r="AQ475" s="61"/>
    </row>
    <row r="476" ht="12.75" customHeight="1">
      <c r="A476" s="15"/>
      <c r="B476" s="162"/>
      <c r="C476" s="162"/>
      <c r="D476" s="162"/>
      <c r="E476" s="162"/>
      <c r="F476" s="162"/>
      <c r="G476" s="162"/>
      <c r="H476" s="151"/>
      <c r="I476" s="151"/>
      <c r="J476" s="151"/>
      <c r="K476" s="151"/>
      <c r="L476" s="163"/>
      <c r="M476" s="164"/>
      <c r="N476" s="164"/>
      <c r="O476" s="165"/>
      <c r="P476" s="48"/>
      <c r="Q476" s="107"/>
      <c r="R476" s="107"/>
      <c r="S476" s="107"/>
      <c r="T476" s="107"/>
      <c r="U476" s="16"/>
      <c r="V476" s="16"/>
      <c r="W476" s="16"/>
      <c r="X476" s="16"/>
      <c r="Y476" s="16"/>
      <c r="Z476" s="16"/>
      <c r="AA476" s="16"/>
      <c r="AB476" s="16"/>
      <c r="AC476" s="16"/>
      <c r="AD476" s="55"/>
      <c r="AE476" s="56"/>
      <c r="AF476" s="57"/>
      <c r="AG476" s="57"/>
      <c r="AH476" s="57"/>
      <c r="AI476" s="57"/>
      <c r="AJ476" s="58"/>
      <c r="AK476" s="58"/>
      <c r="AL476" s="58"/>
      <c r="AM476" s="59"/>
      <c r="AN476" s="60"/>
      <c r="AO476" s="16"/>
      <c r="AP476" s="16"/>
      <c r="AQ476" s="61"/>
    </row>
    <row r="477" ht="12.75" customHeight="1">
      <c r="A477" s="15"/>
      <c r="B477" s="162"/>
      <c r="C477" s="162"/>
      <c r="D477" s="162"/>
      <c r="E477" s="162"/>
      <c r="F477" s="162"/>
      <c r="G477" s="162"/>
      <c r="H477" s="151"/>
      <c r="I477" s="151"/>
      <c r="J477" s="151"/>
      <c r="K477" s="151"/>
      <c r="L477" s="163"/>
      <c r="M477" s="164"/>
      <c r="N477" s="164"/>
      <c r="O477" s="165"/>
      <c r="P477" s="48"/>
      <c r="Q477" s="107"/>
      <c r="R477" s="107"/>
      <c r="S477" s="107"/>
      <c r="T477" s="107"/>
      <c r="U477" s="16"/>
      <c r="V477" s="16"/>
      <c r="W477" s="16"/>
      <c r="X477" s="16"/>
      <c r="Y477" s="16"/>
      <c r="Z477" s="16"/>
      <c r="AA477" s="16"/>
      <c r="AB477" s="16"/>
      <c r="AC477" s="16"/>
      <c r="AD477" s="55"/>
      <c r="AE477" s="56"/>
      <c r="AF477" s="57"/>
      <c r="AG477" s="57"/>
      <c r="AH477" s="57"/>
      <c r="AI477" s="57"/>
      <c r="AJ477" s="58"/>
      <c r="AK477" s="58"/>
      <c r="AL477" s="58"/>
      <c r="AM477" s="59"/>
      <c r="AN477" s="60"/>
      <c r="AO477" s="16"/>
      <c r="AP477" s="16"/>
      <c r="AQ477" s="61"/>
    </row>
    <row r="478" ht="12.75" customHeight="1">
      <c r="A478" s="15"/>
      <c r="B478" s="162"/>
      <c r="C478" s="162"/>
      <c r="D478" s="162"/>
      <c r="E478" s="162"/>
      <c r="F478" s="162"/>
      <c r="G478" s="162"/>
      <c r="H478" s="151"/>
      <c r="I478" s="151"/>
      <c r="J478" s="151"/>
      <c r="K478" s="151"/>
      <c r="L478" s="163"/>
      <c r="M478" s="164"/>
      <c r="N478" s="164"/>
      <c r="O478" s="165"/>
      <c r="P478" s="48"/>
      <c r="Q478" s="107"/>
      <c r="R478" s="107"/>
      <c r="S478" s="107"/>
      <c r="T478" s="107"/>
      <c r="U478" s="16"/>
      <c r="V478" s="16"/>
      <c r="W478" s="16"/>
      <c r="X478" s="16"/>
      <c r="Y478" s="16"/>
      <c r="Z478" s="16"/>
      <c r="AA478" s="16"/>
      <c r="AB478" s="16"/>
      <c r="AC478" s="16"/>
      <c r="AD478" s="55"/>
      <c r="AE478" s="56"/>
      <c r="AF478" s="57"/>
      <c r="AG478" s="57"/>
      <c r="AH478" s="57"/>
      <c r="AI478" s="57"/>
      <c r="AJ478" s="58"/>
      <c r="AK478" s="58"/>
      <c r="AL478" s="58"/>
      <c r="AM478" s="59"/>
      <c r="AN478" s="60"/>
      <c r="AO478" s="16"/>
      <c r="AP478" s="16"/>
      <c r="AQ478" s="61"/>
    </row>
    <row r="479" ht="12.75" customHeight="1">
      <c r="A479" s="15"/>
      <c r="B479" s="162"/>
      <c r="C479" s="162"/>
      <c r="D479" s="162"/>
      <c r="E479" s="162"/>
      <c r="F479" s="162"/>
      <c r="G479" s="162"/>
      <c r="H479" s="151"/>
      <c r="I479" s="151"/>
      <c r="J479" s="151"/>
      <c r="K479" s="151"/>
      <c r="L479" s="163"/>
      <c r="M479" s="164"/>
      <c r="N479" s="164"/>
      <c r="O479" s="165"/>
      <c r="P479" s="48"/>
      <c r="Q479" s="107"/>
      <c r="R479" s="107"/>
      <c r="S479" s="107"/>
      <c r="T479" s="107"/>
      <c r="U479" s="16"/>
      <c r="V479" s="16"/>
      <c r="W479" s="16"/>
      <c r="X479" s="16"/>
      <c r="Y479" s="16"/>
      <c r="Z479" s="16"/>
      <c r="AA479" s="16"/>
      <c r="AB479" s="16"/>
      <c r="AC479" s="16"/>
      <c r="AD479" s="55"/>
      <c r="AE479" s="56"/>
      <c r="AF479" s="57"/>
      <c r="AG479" s="57"/>
      <c r="AH479" s="57"/>
      <c r="AI479" s="57"/>
      <c r="AJ479" s="58"/>
      <c r="AK479" s="58"/>
      <c r="AL479" s="58"/>
      <c r="AM479" s="59"/>
      <c r="AN479" s="60"/>
      <c r="AO479" s="16"/>
      <c r="AP479" s="16"/>
      <c r="AQ479" s="61"/>
    </row>
    <row r="480" ht="12.75" customHeight="1">
      <c r="A480" s="15"/>
      <c r="B480" s="162"/>
      <c r="C480" s="162"/>
      <c r="D480" s="162"/>
      <c r="E480" s="162"/>
      <c r="F480" s="162"/>
      <c r="G480" s="162"/>
      <c r="H480" s="151"/>
      <c r="I480" s="151"/>
      <c r="J480" s="151"/>
      <c r="K480" s="151"/>
      <c r="L480" s="163"/>
      <c r="M480" s="164"/>
      <c r="N480" s="164"/>
      <c r="O480" s="165"/>
      <c r="P480" s="48"/>
      <c r="Q480" s="107"/>
      <c r="R480" s="107"/>
      <c r="S480" s="107"/>
      <c r="T480" s="107"/>
      <c r="U480" s="16"/>
      <c r="V480" s="16"/>
      <c r="W480" s="16"/>
      <c r="X480" s="16"/>
      <c r="Y480" s="16"/>
      <c r="Z480" s="16"/>
      <c r="AA480" s="16"/>
      <c r="AB480" s="16"/>
      <c r="AC480" s="16"/>
      <c r="AD480" s="55"/>
      <c r="AE480" s="56"/>
      <c r="AF480" s="57"/>
      <c r="AG480" s="57"/>
      <c r="AH480" s="57"/>
      <c r="AI480" s="57"/>
      <c r="AJ480" s="58"/>
      <c r="AK480" s="58"/>
      <c r="AL480" s="58"/>
      <c r="AM480" s="59"/>
      <c r="AN480" s="60"/>
      <c r="AO480" s="16"/>
      <c r="AP480" s="16"/>
      <c r="AQ480" s="61"/>
    </row>
    <row r="481" ht="12.75" customHeight="1">
      <c r="A481" s="15"/>
      <c r="B481" s="162"/>
      <c r="C481" s="162"/>
      <c r="D481" s="162"/>
      <c r="E481" s="162"/>
      <c r="F481" s="162"/>
      <c r="G481" s="162"/>
      <c r="H481" s="151"/>
      <c r="I481" s="151"/>
      <c r="J481" s="151"/>
      <c r="K481" s="151"/>
      <c r="L481" s="163"/>
      <c r="M481" s="164"/>
      <c r="N481" s="164"/>
      <c r="O481" s="165"/>
      <c r="P481" s="48"/>
      <c r="Q481" s="107"/>
      <c r="R481" s="107"/>
      <c r="S481" s="107"/>
      <c r="T481" s="107"/>
      <c r="U481" s="16"/>
      <c r="V481" s="16"/>
      <c r="W481" s="16"/>
      <c r="X481" s="16"/>
      <c r="Y481" s="16"/>
      <c r="Z481" s="16"/>
      <c r="AA481" s="16"/>
      <c r="AB481" s="16"/>
      <c r="AC481" s="16"/>
      <c r="AD481" s="55"/>
      <c r="AE481" s="56"/>
      <c r="AF481" s="57"/>
      <c r="AG481" s="57"/>
      <c r="AH481" s="57"/>
      <c r="AI481" s="57"/>
      <c r="AJ481" s="58"/>
      <c r="AK481" s="58"/>
      <c r="AL481" s="58"/>
      <c r="AM481" s="59"/>
      <c r="AN481" s="60"/>
      <c r="AO481" s="16"/>
      <c r="AP481" s="16"/>
      <c r="AQ481" s="61"/>
    </row>
    <row r="482" ht="12.75" customHeight="1">
      <c r="A482" s="15"/>
      <c r="B482" s="162"/>
      <c r="C482" s="162"/>
      <c r="D482" s="162"/>
      <c r="E482" s="162"/>
      <c r="F482" s="162"/>
      <c r="G482" s="162"/>
      <c r="H482" s="151"/>
      <c r="I482" s="151"/>
      <c r="J482" s="151"/>
      <c r="K482" s="151"/>
      <c r="L482" s="163"/>
      <c r="M482" s="164"/>
      <c r="N482" s="164"/>
      <c r="O482" s="165"/>
      <c r="P482" s="48"/>
      <c r="Q482" s="107"/>
      <c r="R482" s="107"/>
      <c r="S482" s="107"/>
      <c r="T482" s="107"/>
      <c r="U482" s="16"/>
      <c r="V482" s="16"/>
      <c r="W482" s="16"/>
      <c r="X482" s="16"/>
      <c r="Y482" s="16"/>
      <c r="Z482" s="16"/>
      <c r="AA482" s="16"/>
      <c r="AB482" s="16"/>
      <c r="AC482" s="16"/>
      <c r="AD482" s="55"/>
      <c r="AE482" s="56"/>
      <c r="AF482" s="57"/>
      <c r="AG482" s="57"/>
      <c r="AH482" s="57"/>
      <c r="AI482" s="57"/>
      <c r="AJ482" s="58"/>
      <c r="AK482" s="58"/>
      <c r="AL482" s="58"/>
      <c r="AM482" s="59"/>
      <c r="AN482" s="60"/>
      <c r="AO482" s="16"/>
      <c r="AP482" s="16"/>
      <c r="AQ482" s="61"/>
    </row>
    <row r="483" ht="12.75" customHeight="1">
      <c r="A483" s="15"/>
      <c r="B483" s="162"/>
      <c r="C483" s="162"/>
      <c r="D483" s="162"/>
      <c r="E483" s="162"/>
      <c r="F483" s="162"/>
      <c r="G483" s="162"/>
      <c r="H483" s="151"/>
      <c r="I483" s="151"/>
      <c r="J483" s="151"/>
      <c r="K483" s="151"/>
      <c r="L483" s="163"/>
      <c r="M483" s="164"/>
      <c r="N483" s="164"/>
      <c r="O483" s="165"/>
      <c r="P483" s="48"/>
      <c r="Q483" s="107"/>
      <c r="R483" s="107"/>
      <c r="S483" s="107"/>
      <c r="T483" s="107"/>
      <c r="U483" s="16"/>
      <c r="V483" s="16"/>
      <c r="W483" s="16"/>
      <c r="X483" s="16"/>
      <c r="Y483" s="16"/>
      <c r="Z483" s="16"/>
      <c r="AA483" s="16"/>
      <c r="AB483" s="16"/>
      <c r="AC483" s="16"/>
      <c r="AD483" s="55"/>
      <c r="AE483" s="56"/>
      <c r="AF483" s="57"/>
      <c r="AG483" s="57"/>
      <c r="AH483" s="57"/>
      <c r="AI483" s="57"/>
      <c r="AJ483" s="58"/>
      <c r="AK483" s="58"/>
      <c r="AL483" s="58"/>
      <c r="AM483" s="59"/>
      <c r="AN483" s="60"/>
      <c r="AO483" s="16"/>
      <c r="AP483" s="16"/>
      <c r="AQ483" s="61"/>
    </row>
    <row r="484" ht="12.75" customHeight="1">
      <c r="A484" s="15"/>
      <c r="B484" s="162"/>
      <c r="C484" s="162"/>
      <c r="D484" s="162"/>
      <c r="E484" s="162"/>
      <c r="F484" s="162"/>
      <c r="G484" s="162"/>
      <c r="H484" s="151"/>
      <c r="I484" s="151"/>
      <c r="J484" s="151"/>
      <c r="K484" s="151"/>
      <c r="L484" s="163"/>
      <c r="M484" s="164"/>
      <c r="N484" s="164"/>
      <c r="O484" s="165"/>
      <c r="P484" s="48"/>
      <c r="Q484" s="107"/>
      <c r="R484" s="107"/>
      <c r="S484" s="107"/>
      <c r="T484" s="107"/>
      <c r="U484" s="16"/>
      <c r="V484" s="16"/>
      <c r="W484" s="16"/>
      <c r="X484" s="16"/>
      <c r="Y484" s="16"/>
      <c r="Z484" s="16"/>
      <c r="AA484" s="16"/>
      <c r="AB484" s="16"/>
      <c r="AC484" s="16"/>
      <c r="AD484" s="55"/>
      <c r="AE484" s="56"/>
      <c r="AF484" s="57"/>
      <c r="AG484" s="57"/>
      <c r="AH484" s="57"/>
      <c r="AI484" s="57"/>
      <c r="AJ484" s="58"/>
      <c r="AK484" s="58"/>
      <c r="AL484" s="58"/>
      <c r="AM484" s="59"/>
      <c r="AN484" s="60"/>
      <c r="AO484" s="16"/>
      <c r="AP484" s="16"/>
      <c r="AQ484" s="61"/>
    </row>
    <row r="485" ht="12.75" customHeight="1">
      <c r="A485" s="15"/>
      <c r="B485" s="162"/>
      <c r="C485" s="162"/>
      <c r="D485" s="162"/>
      <c r="E485" s="162"/>
      <c r="F485" s="162"/>
      <c r="G485" s="162"/>
      <c r="H485" s="151"/>
      <c r="I485" s="151"/>
      <c r="J485" s="151"/>
      <c r="K485" s="151"/>
      <c r="L485" s="163"/>
      <c r="M485" s="164"/>
      <c r="N485" s="164"/>
      <c r="O485" s="165"/>
      <c r="P485" s="48"/>
      <c r="Q485" s="107"/>
      <c r="R485" s="107"/>
      <c r="S485" s="107"/>
      <c r="T485" s="107"/>
      <c r="U485" s="16"/>
      <c r="V485" s="16"/>
      <c r="W485" s="16"/>
      <c r="X485" s="16"/>
      <c r="Y485" s="16"/>
      <c r="Z485" s="16"/>
      <c r="AA485" s="16"/>
      <c r="AB485" s="16"/>
      <c r="AC485" s="16"/>
      <c r="AD485" s="55"/>
      <c r="AE485" s="56"/>
      <c r="AF485" s="57"/>
      <c r="AG485" s="57"/>
      <c r="AH485" s="57"/>
      <c r="AI485" s="57"/>
      <c r="AJ485" s="58"/>
      <c r="AK485" s="58"/>
      <c r="AL485" s="58"/>
      <c r="AM485" s="59"/>
      <c r="AN485" s="60"/>
      <c r="AO485" s="16"/>
      <c r="AP485" s="16"/>
      <c r="AQ485" s="61"/>
    </row>
    <row r="486" ht="12.75" customHeight="1">
      <c r="A486" s="15"/>
      <c r="B486" s="162"/>
      <c r="C486" s="162"/>
      <c r="D486" s="162"/>
      <c r="E486" s="162"/>
      <c r="F486" s="162"/>
      <c r="G486" s="162"/>
      <c r="H486" s="151"/>
      <c r="I486" s="151"/>
      <c r="J486" s="151"/>
      <c r="K486" s="151"/>
      <c r="L486" s="163"/>
      <c r="M486" s="164"/>
      <c r="N486" s="164"/>
      <c r="O486" s="165"/>
      <c r="P486" s="48"/>
      <c r="Q486" s="107"/>
      <c r="R486" s="107"/>
      <c r="S486" s="107"/>
      <c r="T486" s="107"/>
      <c r="U486" s="16"/>
      <c r="V486" s="16"/>
      <c r="W486" s="16"/>
      <c r="X486" s="16"/>
      <c r="Y486" s="16"/>
      <c r="Z486" s="16"/>
      <c r="AA486" s="16"/>
      <c r="AB486" s="16"/>
      <c r="AC486" s="16"/>
      <c r="AD486" s="55"/>
      <c r="AE486" s="56"/>
      <c r="AF486" s="57"/>
      <c r="AG486" s="57"/>
      <c r="AH486" s="57"/>
      <c r="AI486" s="57"/>
      <c r="AJ486" s="58"/>
      <c r="AK486" s="58"/>
      <c r="AL486" s="58"/>
      <c r="AM486" s="59"/>
      <c r="AN486" s="60"/>
      <c r="AO486" s="16"/>
      <c r="AP486" s="16"/>
      <c r="AQ486" s="61"/>
    </row>
    <row r="487" ht="12.75" customHeight="1">
      <c r="A487" s="15"/>
      <c r="B487" s="162"/>
      <c r="C487" s="162"/>
      <c r="D487" s="162"/>
      <c r="E487" s="162"/>
      <c r="F487" s="162"/>
      <c r="G487" s="162"/>
      <c r="H487" s="151"/>
      <c r="I487" s="151"/>
      <c r="J487" s="151"/>
      <c r="K487" s="151"/>
      <c r="L487" s="163"/>
      <c r="M487" s="164"/>
      <c r="N487" s="164"/>
      <c r="O487" s="165"/>
      <c r="P487" s="48"/>
      <c r="Q487" s="107"/>
      <c r="R487" s="107"/>
      <c r="S487" s="107"/>
      <c r="T487" s="107"/>
      <c r="U487" s="16"/>
      <c r="V487" s="16"/>
      <c r="W487" s="16"/>
      <c r="X487" s="16"/>
      <c r="Y487" s="16"/>
      <c r="Z487" s="16"/>
      <c r="AA487" s="16"/>
      <c r="AB487" s="16"/>
      <c r="AC487" s="16"/>
      <c r="AD487" s="55"/>
      <c r="AE487" s="56"/>
      <c r="AF487" s="57"/>
      <c r="AG487" s="57"/>
      <c r="AH487" s="57"/>
      <c r="AI487" s="57"/>
      <c r="AJ487" s="58"/>
      <c r="AK487" s="58"/>
      <c r="AL487" s="58"/>
      <c r="AM487" s="59"/>
      <c r="AN487" s="60"/>
      <c r="AO487" s="16"/>
      <c r="AP487" s="16"/>
      <c r="AQ487" s="61"/>
    </row>
    <row r="488" ht="12.75" customHeight="1">
      <c r="A488" s="15"/>
      <c r="B488" s="162"/>
      <c r="C488" s="162"/>
      <c r="D488" s="162"/>
      <c r="E488" s="162"/>
      <c r="F488" s="162"/>
      <c r="G488" s="162"/>
      <c r="H488" s="151"/>
      <c r="I488" s="151"/>
      <c r="J488" s="151"/>
      <c r="K488" s="151"/>
      <c r="L488" s="163"/>
      <c r="M488" s="164"/>
      <c r="N488" s="164"/>
      <c r="O488" s="165"/>
      <c r="P488" s="48"/>
      <c r="Q488" s="107"/>
      <c r="R488" s="107"/>
      <c r="S488" s="107"/>
      <c r="T488" s="107"/>
      <c r="U488" s="16"/>
      <c r="V488" s="16"/>
      <c r="W488" s="16"/>
      <c r="X488" s="16"/>
      <c r="Y488" s="16"/>
      <c r="Z488" s="16"/>
      <c r="AA488" s="16"/>
      <c r="AB488" s="16"/>
      <c r="AC488" s="16"/>
      <c r="AD488" s="55"/>
      <c r="AE488" s="56"/>
      <c r="AF488" s="57"/>
      <c r="AG488" s="57"/>
      <c r="AH488" s="57"/>
      <c r="AI488" s="57"/>
      <c r="AJ488" s="58"/>
      <c r="AK488" s="58"/>
      <c r="AL488" s="58"/>
      <c r="AM488" s="59"/>
      <c r="AN488" s="60"/>
      <c r="AO488" s="16"/>
      <c r="AP488" s="16"/>
      <c r="AQ488" s="61"/>
    </row>
    <row r="489" ht="12.75" customHeight="1">
      <c r="A489" s="15"/>
      <c r="B489" s="162"/>
      <c r="C489" s="162"/>
      <c r="D489" s="162"/>
      <c r="E489" s="162"/>
      <c r="F489" s="162"/>
      <c r="G489" s="162"/>
      <c r="H489" s="151"/>
      <c r="I489" s="151"/>
      <c r="J489" s="151"/>
      <c r="K489" s="151"/>
      <c r="L489" s="163"/>
      <c r="M489" s="164"/>
      <c r="N489" s="164"/>
      <c r="O489" s="165"/>
      <c r="P489" s="48"/>
      <c r="Q489" s="107"/>
      <c r="R489" s="107"/>
      <c r="S489" s="107"/>
      <c r="T489" s="107"/>
      <c r="U489" s="16"/>
      <c r="V489" s="16"/>
      <c r="W489" s="16"/>
      <c r="X489" s="16"/>
      <c r="Y489" s="16"/>
      <c r="Z489" s="16"/>
      <c r="AA489" s="16"/>
      <c r="AB489" s="16"/>
      <c r="AC489" s="16"/>
      <c r="AD489" s="55"/>
      <c r="AE489" s="56"/>
      <c r="AF489" s="57"/>
      <c r="AG489" s="57"/>
      <c r="AH489" s="57"/>
      <c r="AI489" s="57"/>
      <c r="AJ489" s="58"/>
      <c r="AK489" s="58"/>
      <c r="AL489" s="58"/>
      <c r="AM489" s="59"/>
      <c r="AN489" s="60"/>
      <c r="AO489" s="16"/>
      <c r="AP489" s="16"/>
      <c r="AQ489" s="61"/>
    </row>
    <row r="490" ht="12.75" customHeight="1">
      <c r="A490" s="15"/>
      <c r="B490" s="162"/>
      <c r="C490" s="162"/>
      <c r="D490" s="162"/>
      <c r="E490" s="162"/>
      <c r="F490" s="162"/>
      <c r="G490" s="162"/>
      <c r="H490" s="151"/>
      <c r="I490" s="151"/>
      <c r="J490" s="151"/>
      <c r="K490" s="151"/>
      <c r="L490" s="163"/>
      <c r="M490" s="164"/>
      <c r="N490" s="164"/>
      <c r="O490" s="165"/>
      <c r="P490" s="48"/>
      <c r="Q490" s="107"/>
      <c r="R490" s="107"/>
      <c r="S490" s="107"/>
      <c r="T490" s="107"/>
      <c r="U490" s="16"/>
      <c r="V490" s="16"/>
      <c r="W490" s="16"/>
      <c r="X490" s="16"/>
      <c r="Y490" s="16"/>
      <c r="Z490" s="16"/>
      <c r="AA490" s="16"/>
      <c r="AB490" s="16"/>
      <c r="AC490" s="16"/>
      <c r="AD490" s="55"/>
      <c r="AE490" s="56"/>
      <c r="AF490" s="57"/>
      <c r="AG490" s="57"/>
      <c r="AH490" s="57"/>
      <c r="AI490" s="57"/>
      <c r="AJ490" s="58"/>
      <c r="AK490" s="58"/>
      <c r="AL490" s="58"/>
      <c r="AM490" s="59"/>
      <c r="AN490" s="60"/>
      <c r="AO490" s="16"/>
      <c r="AP490" s="16"/>
      <c r="AQ490" s="61"/>
    </row>
    <row r="491" ht="12.75" customHeight="1">
      <c r="A491" s="15"/>
      <c r="B491" s="162"/>
      <c r="C491" s="162"/>
      <c r="D491" s="162"/>
      <c r="E491" s="162"/>
      <c r="F491" s="162"/>
      <c r="G491" s="162"/>
      <c r="H491" s="151"/>
      <c r="I491" s="151"/>
      <c r="J491" s="151"/>
      <c r="K491" s="151"/>
      <c r="L491" s="163"/>
      <c r="M491" s="164"/>
      <c r="N491" s="164"/>
      <c r="O491" s="165"/>
      <c r="P491" s="48"/>
      <c r="Q491" s="107"/>
      <c r="R491" s="107"/>
      <c r="S491" s="107"/>
      <c r="T491" s="107"/>
      <c r="U491" s="16"/>
      <c r="V491" s="16"/>
      <c r="W491" s="16"/>
      <c r="X491" s="16"/>
      <c r="Y491" s="16"/>
      <c r="Z491" s="16"/>
      <c r="AA491" s="16"/>
      <c r="AB491" s="16"/>
      <c r="AC491" s="16"/>
      <c r="AD491" s="55"/>
      <c r="AE491" s="56"/>
      <c r="AF491" s="57"/>
      <c r="AG491" s="57"/>
      <c r="AH491" s="57"/>
      <c r="AI491" s="57"/>
      <c r="AJ491" s="58"/>
      <c r="AK491" s="58"/>
      <c r="AL491" s="58"/>
      <c r="AM491" s="59"/>
      <c r="AN491" s="60"/>
      <c r="AO491" s="16"/>
      <c r="AP491" s="16"/>
      <c r="AQ491" s="61"/>
    </row>
    <row r="492" ht="12.75" customHeight="1">
      <c r="A492" s="15"/>
      <c r="B492" s="162"/>
      <c r="C492" s="162"/>
      <c r="D492" s="162"/>
      <c r="E492" s="162"/>
      <c r="F492" s="162"/>
      <c r="G492" s="162"/>
      <c r="H492" s="151"/>
      <c r="I492" s="151"/>
      <c r="J492" s="151"/>
      <c r="K492" s="151"/>
      <c r="L492" s="163"/>
      <c r="M492" s="164"/>
      <c r="N492" s="164"/>
      <c r="O492" s="165"/>
      <c r="P492" s="48"/>
      <c r="Q492" s="107"/>
      <c r="R492" s="107"/>
      <c r="S492" s="107"/>
      <c r="T492" s="107"/>
      <c r="U492" s="16"/>
      <c r="V492" s="16"/>
      <c r="W492" s="16"/>
      <c r="X492" s="16"/>
      <c r="Y492" s="16"/>
      <c r="Z492" s="16"/>
      <c r="AA492" s="16"/>
      <c r="AB492" s="16"/>
      <c r="AC492" s="16"/>
      <c r="AD492" s="55"/>
      <c r="AE492" s="56"/>
      <c r="AF492" s="57"/>
      <c r="AG492" s="57"/>
      <c r="AH492" s="57"/>
      <c r="AI492" s="57"/>
      <c r="AJ492" s="58"/>
      <c r="AK492" s="58"/>
      <c r="AL492" s="58"/>
      <c r="AM492" s="59"/>
      <c r="AN492" s="60"/>
      <c r="AO492" s="16"/>
      <c r="AP492" s="16"/>
      <c r="AQ492" s="61"/>
    </row>
    <row r="493" ht="12.75" customHeight="1">
      <c r="A493" s="15"/>
      <c r="B493" s="162"/>
      <c r="C493" s="162"/>
      <c r="D493" s="162"/>
      <c r="E493" s="162"/>
      <c r="F493" s="162"/>
      <c r="G493" s="162"/>
      <c r="H493" s="151"/>
      <c r="I493" s="151"/>
      <c r="J493" s="151"/>
      <c r="K493" s="151"/>
      <c r="L493" s="163"/>
      <c r="M493" s="164"/>
      <c r="N493" s="164"/>
      <c r="O493" s="165"/>
      <c r="P493" s="48"/>
      <c r="Q493" s="107"/>
      <c r="R493" s="107"/>
      <c r="S493" s="107"/>
      <c r="T493" s="107"/>
      <c r="U493" s="16"/>
      <c r="V493" s="16"/>
      <c r="W493" s="16"/>
      <c r="X493" s="16"/>
      <c r="Y493" s="16"/>
      <c r="Z493" s="16"/>
      <c r="AA493" s="16"/>
      <c r="AB493" s="16"/>
      <c r="AC493" s="16"/>
      <c r="AD493" s="55"/>
      <c r="AE493" s="56"/>
      <c r="AF493" s="57"/>
      <c r="AG493" s="57"/>
      <c r="AH493" s="57"/>
      <c r="AI493" s="57"/>
      <c r="AJ493" s="58"/>
      <c r="AK493" s="58"/>
      <c r="AL493" s="58"/>
      <c r="AM493" s="59"/>
      <c r="AN493" s="60"/>
      <c r="AO493" s="16"/>
      <c r="AP493" s="16"/>
      <c r="AQ493" s="61"/>
    </row>
    <row r="494" ht="12.75" customHeight="1">
      <c r="A494" s="15"/>
      <c r="B494" s="162"/>
      <c r="C494" s="162"/>
      <c r="D494" s="162"/>
      <c r="E494" s="162"/>
      <c r="F494" s="162"/>
      <c r="G494" s="162"/>
      <c r="H494" s="151"/>
      <c r="I494" s="151"/>
      <c r="J494" s="151"/>
      <c r="K494" s="151"/>
      <c r="L494" s="163"/>
      <c r="M494" s="164"/>
      <c r="N494" s="164"/>
      <c r="O494" s="165"/>
      <c r="P494" s="48"/>
      <c r="Q494" s="107"/>
      <c r="R494" s="107"/>
      <c r="S494" s="107"/>
      <c r="T494" s="107"/>
      <c r="U494" s="16"/>
      <c r="V494" s="16"/>
      <c r="W494" s="16"/>
      <c r="X494" s="16"/>
      <c r="Y494" s="16"/>
      <c r="Z494" s="16"/>
      <c r="AA494" s="16"/>
      <c r="AB494" s="16"/>
      <c r="AC494" s="16"/>
      <c r="AD494" s="55"/>
      <c r="AE494" s="56"/>
      <c r="AF494" s="57"/>
      <c r="AG494" s="57"/>
      <c r="AH494" s="57"/>
      <c r="AI494" s="57"/>
      <c r="AJ494" s="58"/>
      <c r="AK494" s="58"/>
      <c r="AL494" s="58"/>
      <c r="AM494" s="59"/>
      <c r="AN494" s="60"/>
      <c r="AO494" s="16"/>
      <c r="AP494" s="16"/>
      <c r="AQ494" s="61"/>
    </row>
    <row r="495" ht="12.75" customHeight="1">
      <c r="A495" s="15"/>
      <c r="B495" s="162"/>
      <c r="C495" s="162"/>
      <c r="D495" s="162"/>
      <c r="E495" s="162"/>
      <c r="F495" s="162"/>
      <c r="G495" s="162"/>
      <c r="H495" s="151"/>
      <c r="I495" s="151"/>
      <c r="J495" s="151"/>
      <c r="K495" s="151"/>
      <c r="L495" s="163"/>
      <c r="M495" s="164"/>
      <c r="N495" s="164"/>
      <c r="O495" s="165"/>
      <c r="P495" s="48"/>
      <c r="Q495" s="107"/>
      <c r="R495" s="107"/>
      <c r="S495" s="107"/>
      <c r="T495" s="107"/>
      <c r="U495" s="16"/>
      <c r="V495" s="16"/>
      <c r="W495" s="16"/>
      <c r="X495" s="16"/>
      <c r="Y495" s="16"/>
      <c r="Z495" s="16"/>
      <c r="AA495" s="16"/>
      <c r="AB495" s="16"/>
      <c r="AC495" s="16"/>
      <c r="AD495" s="55"/>
      <c r="AE495" s="56"/>
      <c r="AF495" s="57"/>
      <c r="AG495" s="57"/>
      <c r="AH495" s="57"/>
      <c r="AI495" s="57"/>
      <c r="AJ495" s="58"/>
      <c r="AK495" s="58"/>
      <c r="AL495" s="58"/>
      <c r="AM495" s="59"/>
      <c r="AN495" s="60"/>
      <c r="AO495" s="16"/>
      <c r="AP495" s="16"/>
      <c r="AQ495" s="61"/>
    </row>
    <row r="496" ht="12.75" customHeight="1">
      <c r="A496" s="15"/>
      <c r="B496" s="162"/>
      <c r="C496" s="162"/>
      <c r="D496" s="162"/>
      <c r="E496" s="162"/>
      <c r="F496" s="162"/>
      <c r="G496" s="162"/>
      <c r="H496" s="151"/>
      <c r="I496" s="151"/>
      <c r="J496" s="151"/>
      <c r="K496" s="151"/>
      <c r="L496" s="163"/>
      <c r="M496" s="164"/>
      <c r="N496" s="164"/>
      <c r="O496" s="165"/>
      <c r="P496" s="48"/>
      <c r="Q496" s="107"/>
      <c r="R496" s="107"/>
      <c r="S496" s="107"/>
      <c r="T496" s="107"/>
      <c r="U496" s="16"/>
      <c r="V496" s="16"/>
      <c r="W496" s="16"/>
      <c r="X496" s="16"/>
      <c r="Y496" s="16"/>
      <c r="Z496" s="16"/>
      <c r="AA496" s="16"/>
      <c r="AB496" s="16"/>
      <c r="AC496" s="16"/>
      <c r="AD496" s="55"/>
      <c r="AE496" s="56"/>
      <c r="AF496" s="57"/>
      <c r="AG496" s="57"/>
      <c r="AH496" s="57"/>
      <c r="AI496" s="57"/>
      <c r="AJ496" s="58"/>
      <c r="AK496" s="58"/>
      <c r="AL496" s="58"/>
      <c r="AM496" s="59"/>
      <c r="AN496" s="60"/>
      <c r="AO496" s="16"/>
      <c r="AP496" s="16"/>
      <c r="AQ496" s="61"/>
    </row>
    <row r="497" ht="12.75" customHeight="1">
      <c r="A497" s="15"/>
      <c r="B497" s="162"/>
      <c r="C497" s="162"/>
      <c r="D497" s="162"/>
      <c r="E497" s="162"/>
      <c r="F497" s="162"/>
      <c r="G497" s="162"/>
      <c r="H497" s="151"/>
      <c r="I497" s="151"/>
      <c r="J497" s="151"/>
      <c r="K497" s="151"/>
      <c r="L497" s="163"/>
      <c r="M497" s="164"/>
      <c r="N497" s="164"/>
      <c r="O497" s="165"/>
      <c r="P497" s="48"/>
      <c r="Q497" s="107"/>
      <c r="R497" s="107"/>
      <c r="S497" s="107"/>
      <c r="T497" s="107"/>
      <c r="U497" s="16"/>
      <c r="V497" s="16"/>
      <c r="W497" s="16"/>
      <c r="X497" s="16"/>
      <c r="Y497" s="16"/>
      <c r="Z497" s="16"/>
      <c r="AA497" s="16"/>
      <c r="AB497" s="16"/>
      <c r="AC497" s="16"/>
      <c r="AD497" s="55"/>
      <c r="AE497" s="56"/>
      <c r="AF497" s="57"/>
      <c r="AG497" s="57"/>
      <c r="AH497" s="57"/>
      <c r="AI497" s="57"/>
      <c r="AJ497" s="58"/>
      <c r="AK497" s="58"/>
      <c r="AL497" s="58"/>
      <c r="AM497" s="59"/>
      <c r="AN497" s="60"/>
      <c r="AO497" s="16"/>
      <c r="AP497" s="16"/>
      <c r="AQ497" s="61"/>
    </row>
    <row r="498" ht="12.75" customHeight="1">
      <c r="A498" s="15"/>
      <c r="B498" s="162"/>
      <c r="C498" s="162"/>
      <c r="D498" s="162"/>
      <c r="E498" s="162"/>
      <c r="F498" s="162"/>
      <c r="G498" s="162"/>
      <c r="H498" s="151"/>
      <c r="I498" s="151"/>
      <c r="J498" s="151"/>
      <c r="K498" s="151"/>
      <c r="L498" s="163"/>
      <c r="M498" s="164"/>
      <c r="N498" s="164"/>
      <c r="O498" s="165"/>
      <c r="P498" s="48"/>
      <c r="Q498" s="107"/>
      <c r="R498" s="107"/>
      <c r="S498" s="107"/>
      <c r="T498" s="107"/>
      <c r="U498" s="16"/>
      <c r="V498" s="16"/>
      <c r="W498" s="16"/>
      <c r="X498" s="16"/>
      <c r="Y498" s="16"/>
      <c r="Z498" s="16"/>
      <c r="AA498" s="16"/>
      <c r="AB498" s="16"/>
      <c r="AC498" s="16"/>
      <c r="AD498" s="55"/>
      <c r="AE498" s="56"/>
      <c r="AF498" s="57"/>
      <c r="AG498" s="57"/>
      <c r="AH498" s="57"/>
      <c r="AI498" s="57"/>
      <c r="AJ498" s="58"/>
      <c r="AK498" s="58"/>
      <c r="AL498" s="58"/>
      <c r="AM498" s="59"/>
      <c r="AN498" s="60"/>
      <c r="AO498" s="16"/>
      <c r="AP498" s="16"/>
      <c r="AQ498" s="61"/>
    </row>
    <row r="499" ht="12.75" customHeight="1">
      <c r="A499" s="15"/>
      <c r="B499" s="162"/>
      <c r="C499" s="162"/>
      <c r="D499" s="162"/>
      <c r="E499" s="162"/>
      <c r="F499" s="162"/>
      <c r="G499" s="162"/>
      <c r="H499" s="151"/>
      <c r="I499" s="151"/>
      <c r="J499" s="151"/>
      <c r="K499" s="151"/>
      <c r="L499" s="163"/>
      <c r="M499" s="164"/>
      <c r="N499" s="164"/>
      <c r="O499" s="165"/>
      <c r="P499" s="48"/>
      <c r="Q499" s="107"/>
      <c r="R499" s="107"/>
      <c r="S499" s="107"/>
      <c r="T499" s="107"/>
      <c r="U499" s="16"/>
      <c r="V499" s="16"/>
      <c r="W499" s="16"/>
      <c r="X499" s="16"/>
      <c r="Y499" s="16"/>
      <c r="Z499" s="16"/>
      <c r="AA499" s="16"/>
      <c r="AB499" s="16"/>
      <c r="AC499" s="16"/>
      <c r="AD499" s="55"/>
      <c r="AE499" s="56"/>
      <c r="AF499" s="57"/>
      <c r="AG499" s="57"/>
      <c r="AH499" s="57"/>
      <c r="AI499" s="57"/>
      <c r="AJ499" s="58"/>
      <c r="AK499" s="58"/>
      <c r="AL499" s="58"/>
      <c r="AM499" s="59"/>
      <c r="AN499" s="60"/>
      <c r="AO499" s="16"/>
      <c r="AP499" s="16"/>
      <c r="AQ499" s="61"/>
    </row>
    <row r="500" ht="12.75" customHeight="1">
      <c r="A500" s="15"/>
      <c r="B500" s="162"/>
      <c r="C500" s="162"/>
      <c r="D500" s="162"/>
      <c r="E500" s="162"/>
      <c r="F500" s="162"/>
      <c r="G500" s="162"/>
      <c r="H500" s="151"/>
      <c r="I500" s="151"/>
      <c r="J500" s="151"/>
      <c r="K500" s="151"/>
      <c r="L500" s="163"/>
      <c r="M500" s="164"/>
      <c r="N500" s="164"/>
      <c r="O500" s="165"/>
      <c r="P500" s="48"/>
      <c r="Q500" s="107"/>
      <c r="R500" s="107"/>
      <c r="S500" s="107"/>
      <c r="T500" s="107"/>
      <c r="U500" s="16"/>
      <c r="V500" s="16"/>
      <c r="W500" s="16"/>
      <c r="X500" s="16"/>
      <c r="Y500" s="16"/>
      <c r="Z500" s="16"/>
      <c r="AA500" s="16"/>
      <c r="AB500" s="16"/>
      <c r="AC500" s="16"/>
      <c r="AD500" s="55"/>
      <c r="AE500" s="56"/>
      <c r="AF500" s="57"/>
      <c r="AG500" s="57"/>
      <c r="AH500" s="57"/>
      <c r="AI500" s="57"/>
      <c r="AJ500" s="58"/>
      <c r="AK500" s="58"/>
      <c r="AL500" s="58"/>
      <c r="AM500" s="59"/>
      <c r="AN500" s="60"/>
      <c r="AO500" s="16"/>
      <c r="AP500" s="16"/>
      <c r="AQ500" s="61"/>
    </row>
    <row r="501" ht="12.75" customHeight="1">
      <c r="A501" s="15"/>
      <c r="B501" s="162"/>
      <c r="C501" s="162"/>
      <c r="D501" s="162"/>
      <c r="E501" s="162"/>
      <c r="F501" s="162"/>
      <c r="G501" s="162"/>
      <c r="H501" s="151"/>
      <c r="I501" s="151"/>
      <c r="J501" s="151"/>
      <c r="K501" s="151"/>
      <c r="L501" s="163"/>
      <c r="M501" s="164"/>
      <c r="N501" s="164"/>
      <c r="O501" s="165"/>
      <c r="P501" s="48"/>
      <c r="Q501" s="107"/>
      <c r="R501" s="107"/>
      <c r="S501" s="107"/>
      <c r="T501" s="107"/>
      <c r="U501" s="16"/>
      <c r="V501" s="16"/>
      <c r="W501" s="16"/>
      <c r="X501" s="16"/>
      <c r="Y501" s="16"/>
      <c r="Z501" s="16"/>
      <c r="AA501" s="16"/>
      <c r="AB501" s="16"/>
      <c r="AC501" s="16"/>
      <c r="AD501" s="55"/>
      <c r="AE501" s="56"/>
      <c r="AF501" s="57"/>
      <c r="AG501" s="57"/>
      <c r="AH501" s="57"/>
      <c r="AI501" s="57"/>
      <c r="AJ501" s="58"/>
      <c r="AK501" s="58"/>
      <c r="AL501" s="58"/>
      <c r="AM501" s="59"/>
      <c r="AN501" s="60"/>
      <c r="AO501" s="16"/>
      <c r="AP501" s="16"/>
      <c r="AQ501" s="61"/>
    </row>
    <row r="502" ht="12.75" customHeight="1">
      <c r="A502" s="15"/>
      <c r="B502" s="162"/>
      <c r="C502" s="162"/>
      <c r="D502" s="162"/>
      <c r="E502" s="162"/>
      <c r="F502" s="162"/>
      <c r="G502" s="162"/>
      <c r="H502" s="151"/>
      <c r="I502" s="151"/>
      <c r="J502" s="151"/>
      <c r="K502" s="151"/>
      <c r="L502" s="163"/>
      <c r="M502" s="164"/>
      <c r="N502" s="164"/>
      <c r="O502" s="165"/>
      <c r="P502" s="48"/>
      <c r="Q502" s="107"/>
      <c r="R502" s="107"/>
      <c r="S502" s="107"/>
      <c r="T502" s="107"/>
      <c r="U502" s="16"/>
      <c r="V502" s="16"/>
      <c r="W502" s="16"/>
      <c r="X502" s="16"/>
      <c r="Y502" s="16"/>
      <c r="Z502" s="16"/>
      <c r="AA502" s="16"/>
      <c r="AB502" s="16"/>
      <c r="AC502" s="16"/>
      <c r="AD502" s="55"/>
      <c r="AE502" s="56"/>
      <c r="AF502" s="57"/>
      <c r="AG502" s="57"/>
      <c r="AH502" s="57"/>
      <c r="AI502" s="57"/>
      <c r="AJ502" s="58"/>
      <c r="AK502" s="58"/>
      <c r="AL502" s="58"/>
      <c r="AM502" s="59"/>
      <c r="AN502" s="60"/>
      <c r="AO502" s="16"/>
      <c r="AP502" s="16"/>
      <c r="AQ502" s="61"/>
    </row>
    <row r="503" ht="12.75" customHeight="1">
      <c r="A503" s="15"/>
      <c r="B503" s="162"/>
      <c r="C503" s="162"/>
      <c r="D503" s="162"/>
      <c r="E503" s="162"/>
      <c r="F503" s="162"/>
      <c r="G503" s="162"/>
      <c r="H503" s="151"/>
      <c r="I503" s="151"/>
      <c r="J503" s="151"/>
      <c r="K503" s="151"/>
      <c r="L503" s="163"/>
      <c r="M503" s="164"/>
      <c r="N503" s="164"/>
      <c r="O503" s="165"/>
      <c r="P503" s="48"/>
      <c r="Q503" s="107"/>
      <c r="R503" s="107"/>
      <c r="S503" s="107"/>
      <c r="T503" s="107"/>
      <c r="U503" s="16"/>
      <c r="V503" s="16"/>
      <c r="W503" s="16"/>
      <c r="X503" s="16"/>
      <c r="Y503" s="16"/>
      <c r="Z503" s="16"/>
      <c r="AA503" s="16"/>
      <c r="AB503" s="16"/>
      <c r="AC503" s="16"/>
      <c r="AD503" s="55"/>
      <c r="AE503" s="56"/>
      <c r="AF503" s="57"/>
      <c r="AG503" s="57"/>
      <c r="AH503" s="57"/>
      <c r="AI503" s="57"/>
      <c r="AJ503" s="58"/>
      <c r="AK503" s="58"/>
      <c r="AL503" s="58"/>
      <c r="AM503" s="59"/>
      <c r="AN503" s="60"/>
      <c r="AO503" s="16"/>
      <c r="AP503" s="16"/>
      <c r="AQ503" s="61"/>
    </row>
    <row r="504" ht="12.75" customHeight="1">
      <c r="A504" s="15"/>
      <c r="B504" s="162"/>
      <c r="C504" s="162"/>
      <c r="D504" s="162"/>
      <c r="E504" s="162"/>
      <c r="F504" s="162"/>
      <c r="G504" s="162"/>
      <c r="H504" s="151"/>
      <c r="I504" s="151"/>
      <c r="J504" s="151"/>
      <c r="K504" s="151"/>
      <c r="L504" s="163"/>
      <c r="M504" s="164"/>
      <c r="N504" s="164"/>
      <c r="O504" s="165"/>
      <c r="P504" s="48"/>
      <c r="Q504" s="107"/>
      <c r="R504" s="107"/>
      <c r="S504" s="107"/>
      <c r="T504" s="107"/>
      <c r="U504" s="16"/>
      <c r="V504" s="16"/>
      <c r="W504" s="16"/>
      <c r="X504" s="16"/>
      <c r="Y504" s="16"/>
      <c r="Z504" s="16"/>
      <c r="AA504" s="16"/>
      <c r="AB504" s="16"/>
      <c r="AC504" s="16"/>
      <c r="AD504" s="55"/>
      <c r="AE504" s="56"/>
      <c r="AF504" s="57"/>
      <c r="AG504" s="57"/>
      <c r="AH504" s="57"/>
      <c r="AI504" s="57"/>
      <c r="AJ504" s="58"/>
      <c r="AK504" s="58"/>
      <c r="AL504" s="58"/>
      <c r="AM504" s="59"/>
      <c r="AN504" s="60"/>
      <c r="AO504" s="16"/>
      <c r="AP504" s="16"/>
      <c r="AQ504" s="61"/>
    </row>
    <row r="505" ht="12.75" customHeight="1">
      <c r="A505" s="15"/>
      <c r="B505" s="162"/>
      <c r="C505" s="162"/>
      <c r="D505" s="162"/>
      <c r="E505" s="162"/>
      <c r="F505" s="162"/>
      <c r="G505" s="162"/>
      <c r="H505" s="151"/>
      <c r="I505" s="151"/>
      <c r="J505" s="151"/>
      <c r="K505" s="151"/>
      <c r="L505" s="163"/>
      <c r="M505" s="164"/>
      <c r="N505" s="164"/>
      <c r="O505" s="165"/>
      <c r="P505" s="48"/>
      <c r="Q505" s="107"/>
      <c r="R505" s="107"/>
      <c r="S505" s="107"/>
      <c r="T505" s="107"/>
      <c r="U505" s="16"/>
      <c r="V505" s="16"/>
      <c r="W505" s="16"/>
      <c r="X505" s="16"/>
      <c r="Y505" s="16"/>
      <c r="Z505" s="16"/>
      <c r="AA505" s="16"/>
      <c r="AB505" s="16"/>
      <c r="AC505" s="16"/>
      <c r="AD505" s="55"/>
      <c r="AE505" s="56"/>
      <c r="AF505" s="57"/>
      <c r="AG505" s="57"/>
      <c r="AH505" s="57"/>
      <c r="AI505" s="57"/>
      <c r="AJ505" s="58"/>
      <c r="AK505" s="58"/>
      <c r="AL505" s="58"/>
      <c r="AM505" s="59"/>
      <c r="AN505" s="60"/>
      <c r="AO505" s="16"/>
      <c r="AP505" s="16"/>
      <c r="AQ505" s="61"/>
    </row>
    <row r="506" ht="12.75" customHeight="1">
      <c r="A506" s="15"/>
      <c r="B506" s="162"/>
      <c r="C506" s="162"/>
      <c r="D506" s="162"/>
      <c r="E506" s="162"/>
      <c r="F506" s="162"/>
      <c r="G506" s="162"/>
      <c r="H506" s="151"/>
      <c r="I506" s="151"/>
      <c r="J506" s="151"/>
      <c r="K506" s="151"/>
      <c r="L506" s="163"/>
      <c r="M506" s="164"/>
      <c r="N506" s="164"/>
      <c r="O506" s="165"/>
      <c r="P506" s="48"/>
      <c r="Q506" s="107"/>
      <c r="R506" s="107"/>
      <c r="S506" s="107"/>
      <c r="T506" s="107"/>
      <c r="U506" s="16"/>
      <c r="V506" s="16"/>
      <c r="W506" s="16"/>
      <c r="X506" s="16"/>
      <c r="Y506" s="16"/>
      <c r="Z506" s="16"/>
      <c r="AA506" s="16"/>
      <c r="AB506" s="16"/>
      <c r="AC506" s="16"/>
      <c r="AD506" s="55"/>
      <c r="AE506" s="56"/>
      <c r="AF506" s="57"/>
      <c r="AG506" s="57"/>
      <c r="AH506" s="57"/>
      <c r="AI506" s="57"/>
      <c r="AJ506" s="58"/>
      <c r="AK506" s="58"/>
      <c r="AL506" s="58"/>
      <c r="AM506" s="59"/>
      <c r="AN506" s="60"/>
      <c r="AO506" s="16"/>
      <c r="AP506" s="16"/>
      <c r="AQ506" s="61"/>
    </row>
    <row r="507" ht="12.75" customHeight="1">
      <c r="A507" s="15"/>
      <c r="B507" s="162"/>
      <c r="C507" s="162"/>
      <c r="D507" s="162"/>
      <c r="E507" s="162"/>
      <c r="F507" s="162"/>
      <c r="G507" s="162"/>
      <c r="H507" s="151"/>
      <c r="I507" s="151"/>
      <c r="J507" s="151"/>
      <c r="K507" s="151"/>
      <c r="L507" s="163"/>
      <c r="M507" s="164"/>
      <c r="N507" s="164"/>
      <c r="O507" s="165"/>
      <c r="P507" s="48"/>
      <c r="Q507" s="107"/>
      <c r="R507" s="107"/>
      <c r="S507" s="107"/>
      <c r="T507" s="107"/>
      <c r="U507" s="16"/>
      <c r="V507" s="16"/>
      <c r="W507" s="16"/>
      <c r="X507" s="16"/>
      <c r="Y507" s="16"/>
      <c r="Z507" s="16"/>
      <c r="AA507" s="16"/>
      <c r="AB507" s="16"/>
      <c r="AC507" s="16"/>
      <c r="AD507" s="55"/>
      <c r="AE507" s="56"/>
      <c r="AF507" s="57"/>
      <c r="AG507" s="57"/>
      <c r="AH507" s="57"/>
      <c r="AI507" s="57"/>
      <c r="AJ507" s="58"/>
      <c r="AK507" s="58"/>
      <c r="AL507" s="58"/>
      <c r="AM507" s="59"/>
      <c r="AN507" s="60"/>
      <c r="AO507" s="16"/>
      <c r="AP507" s="16"/>
      <c r="AQ507" s="61"/>
    </row>
    <row r="508" ht="12.75" customHeight="1">
      <c r="A508" s="15"/>
      <c r="B508" s="162"/>
      <c r="C508" s="162"/>
      <c r="D508" s="162"/>
      <c r="E508" s="162"/>
      <c r="F508" s="162"/>
      <c r="G508" s="162"/>
      <c r="H508" s="151"/>
      <c r="I508" s="151"/>
      <c r="J508" s="151"/>
      <c r="K508" s="151"/>
      <c r="L508" s="163"/>
      <c r="M508" s="164"/>
      <c r="N508" s="164"/>
      <c r="O508" s="165"/>
      <c r="P508" s="48"/>
      <c r="Q508" s="107"/>
      <c r="R508" s="107"/>
      <c r="S508" s="107"/>
      <c r="T508" s="107"/>
      <c r="U508" s="16"/>
      <c r="V508" s="16"/>
      <c r="W508" s="16"/>
      <c r="X508" s="16"/>
      <c r="Y508" s="16"/>
      <c r="Z508" s="16"/>
      <c r="AA508" s="16"/>
      <c r="AB508" s="16"/>
      <c r="AC508" s="16"/>
      <c r="AD508" s="55"/>
      <c r="AE508" s="56"/>
      <c r="AF508" s="57"/>
      <c r="AG508" s="57"/>
      <c r="AH508" s="57"/>
      <c r="AI508" s="57"/>
      <c r="AJ508" s="58"/>
      <c r="AK508" s="58"/>
      <c r="AL508" s="58"/>
      <c r="AM508" s="59"/>
      <c r="AN508" s="60"/>
      <c r="AO508" s="16"/>
      <c r="AP508" s="16"/>
      <c r="AQ508" s="61"/>
    </row>
    <row r="509" ht="12.75" customHeight="1">
      <c r="A509" s="15"/>
      <c r="B509" s="162"/>
      <c r="C509" s="162"/>
      <c r="D509" s="162"/>
      <c r="E509" s="162"/>
      <c r="F509" s="162"/>
      <c r="G509" s="162"/>
      <c r="H509" s="151"/>
      <c r="I509" s="151"/>
      <c r="J509" s="151"/>
      <c r="K509" s="151"/>
      <c r="L509" s="163"/>
      <c r="M509" s="164"/>
      <c r="N509" s="164"/>
      <c r="O509" s="165"/>
      <c r="P509" s="48"/>
      <c r="Q509" s="107"/>
      <c r="R509" s="107"/>
      <c r="S509" s="107"/>
      <c r="T509" s="107"/>
      <c r="U509" s="16"/>
      <c r="V509" s="16"/>
      <c r="W509" s="16"/>
      <c r="X509" s="16"/>
      <c r="Y509" s="16"/>
      <c r="Z509" s="16"/>
      <c r="AA509" s="16"/>
      <c r="AB509" s="16"/>
      <c r="AC509" s="16"/>
      <c r="AD509" s="55"/>
      <c r="AE509" s="56"/>
      <c r="AF509" s="57"/>
      <c r="AG509" s="57"/>
      <c r="AH509" s="57"/>
      <c r="AI509" s="57"/>
      <c r="AJ509" s="58"/>
      <c r="AK509" s="58"/>
      <c r="AL509" s="58"/>
      <c r="AM509" s="59"/>
      <c r="AN509" s="60"/>
      <c r="AO509" s="16"/>
      <c r="AP509" s="16"/>
      <c r="AQ509" s="61"/>
    </row>
    <row r="510" ht="12.75" customHeight="1">
      <c r="A510" s="15"/>
      <c r="B510" s="162"/>
      <c r="C510" s="162"/>
      <c r="D510" s="162"/>
      <c r="E510" s="162"/>
      <c r="F510" s="162"/>
      <c r="G510" s="162"/>
      <c r="H510" s="151"/>
      <c r="I510" s="151"/>
      <c r="J510" s="151"/>
      <c r="K510" s="151"/>
      <c r="L510" s="163"/>
      <c r="M510" s="164"/>
      <c r="N510" s="164"/>
      <c r="O510" s="165"/>
      <c r="P510" s="48"/>
      <c r="Q510" s="107"/>
      <c r="R510" s="107"/>
      <c r="S510" s="107"/>
      <c r="T510" s="107"/>
      <c r="U510" s="16"/>
      <c r="V510" s="16"/>
      <c r="W510" s="16"/>
      <c r="X510" s="16"/>
      <c r="Y510" s="16"/>
      <c r="Z510" s="16"/>
      <c r="AA510" s="16"/>
      <c r="AB510" s="16"/>
      <c r="AC510" s="16"/>
      <c r="AD510" s="55"/>
      <c r="AE510" s="56"/>
      <c r="AF510" s="57"/>
      <c r="AG510" s="57"/>
      <c r="AH510" s="57"/>
      <c r="AI510" s="57"/>
      <c r="AJ510" s="58"/>
      <c r="AK510" s="58"/>
      <c r="AL510" s="58"/>
      <c r="AM510" s="59"/>
      <c r="AN510" s="60"/>
      <c r="AO510" s="16"/>
      <c r="AP510" s="16"/>
      <c r="AQ510" s="61"/>
    </row>
    <row r="511" ht="12.75" customHeight="1">
      <c r="A511" s="15"/>
      <c r="B511" s="162"/>
      <c r="C511" s="162"/>
      <c r="D511" s="162"/>
      <c r="E511" s="162"/>
      <c r="F511" s="162"/>
      <c r="G511" s="162"/>
      <c r="H511" s="151"/>
      <c r="I511" s="151"/>
      <c r="J511" s="151"/>
      <c r="K511" s="151"/>
      <c r="L511" s="163"/>
      <c r="M511" s="164"/>
      <c r="N511" s="164"/>
      <c r="O511" s="165"/>
      <c r="P511" s="48"/>
      <c r="Q511" s="107"/>
      <c r="R511" s="107"/>
      <c r="S511" s="107"/>
      <c r="T511" s="107"/>
      <c r="U511" s="16"/>
      <c r="V511" s="16"/>
      <c r="W511" s="16"/>
      <c r="X511" s="16"/>
      <c r="Y511" s="16"/>
      <c r="Z511" s="16"/>
      <c r="AA511" s="16"/>
      <c r="AB511" s="16"/>
      <c r="AC511" s="16"/>
      <c r="AD511" s="55"/>
      <c r="AE511" s="56"/>
      <c r="AF511" s="57"/>
      <c r="AG511" s="57"/>
      <c r="AH511" s="57"/>
      <c r="AI511" s="57"/>
      <c r="AJ511" s="58"/>
      <c r="AK511" s="58"/>
      <c r="AL511" s="58"/>
      <c r="AM511" s="59"/>
      <c r="AN511" s="60"/>
      <c r="AO511" s="16"/>
      <c r="AP511" s="16"/>
      <c r="AQ511" s="61"/>
    </row>
    <row r="512" ht="12.75" customHeight="1">
      <c r="A512" s="15"/>
      <c r="B512" s="162"/>
      <c r="C512" s="162"/>
      <c r="D512" s="162"/>
      <c r="E512" s="162"/>
      <c r="F512" s="162"/>
      <c r="G512" s="162"/>
      <c r="H512" s="151"/>
      <c r="I512" s="151"/>
      <c r="J512" s="151"/>
      <c r="K512" s="151"/>
      <c r="L512" s="163"/>
      <c r="M512" s="164"/>
      <c r="N512" s="164"/>
      <c r="O512" s="165"/>
      <c r="P512" s="48"/>
      <c r="Q512" s="107"/>
      <c r="R512" s="107"/>
      <c r="S512" s="107"/>
      <c r="T512" s="107"/>
      <c r="U512" s="16"/>
      <c r="V512" s="16"/>
      <c r="W512" s="16"/>
      <c r="X512" s="16"/>
      <c r="Y512" s="16"/>
      <c r="Z512" s="16"/>
      <c r="AA512" s="16"/>
      <c r="AB512" s="16"/>
      <c r="AC512" s="16"/>
      <c r="AD512" s="55"/>
      <c r="AE512" s="56"/>
      <c r="AF512" s="57"/>
      <c r="AG512" s="57"/>
      <c r="AH512" s="57"/>
      <c r="AI512" s="57"/>
      <c r="AJ512" s="58"/>
      <c r="AK512" s="58"/>
      <c r="AL512" s="58"/>
      <c r="AM512" s="59"/>
      <c r="AN512" s="60"/>
      <c r="AO512" s="16"/>
      <c r="AP512" s="16"/>
      <c r="AQ512" s="61"/>
    </row>
    <row r="513" ht="12.75" customHeight="1">
      <c r="A513" s="15"/>
      <c r="B513" s="162"/>
      <c r="C513" s="162"/>
      <c r="D513" s="162"/>
      <c r="E513" s="162"/>
      <c r="F513" s="162"/>
      <c r="G513" s="162"/>
      <c r="H513" s="151"/>
      <c r="I513" s="151"/>
      <c r="J513" s="151"/>
      <c r="K513" s="151"/>
      <c r="L513" s="163"/>
      <c r="M513" s="164"/>
      <c r="N513" s="164"/>
      <c r="O513" s="165"/>
      <c r="P513" s="48"/>
      <c r="Q513" s="107"/>
      <c r="R513" s="107"/>
      <c r="S513" s="107"/>
      <c r="T513" s="107"/>
      <c r="U513" s="16"/>
      <c r="V513" s="16"/>
      <c r="W513" s="16"/>
      <c r="X513" s="16"/>
      <c r="Y513" s="16"/>
      <c r="Z513" s="16"/>
      <c r="AA513" s="16"/>
      <c r="AB513" s="16"/>
      <c r="AC513" s="16"/>
      <c r="AD513" s="55"/>
      <c r="AE513" s="56"/>
      <c r="AF513" s="57"/>
      <c r="AG513" s="57"/>
      <c r="AH513" s="57"/>
      <c r="AI513" s="57"/>
      <c r="AJ513" s="58"/>
      <c r="AK513" s="58"/>
      <c r="AL513" s="58"/>
      <c r="AM513" s="59"/>
      <c r="AN513" s="60"/>
      <c r="AO513" s="16"/>
      <c r="AP513" s="16"/>
      <c r="AQ513" s="61"/>
    </row>
    <row r="514" ht="12.75" customHeight="1">
      <c r="A514" s="15"/>
      <c r="B514" s="162"/>
      <c r="C514" s="162"/>
      <c r="D514" s="162"/>
      <c r="E514" s="162"/>
      <c r="F514" s="162"/>
      <c r="G514" s="162"/>
      <c r="H514" s="151"/>
      <c r="I514" s="151"/>
      <c r="J514" s="151"/>
      <c r="K514" s="151"/>
      <c r="L514" s="163"/>
      <c r="M514" s="164"/>
      <c r="N514" s="164"/>
      <c r="O514" s="165"/>
      <c r="P514" s="48"/>
      <c r="Q514" s="107"/>
      <c r="R514" s="107"/>
      <c r="S514" s="107"/>
      <c r="T514" s="107"/>
      <c r="U514" s="16"/>
      <c r="V514" s="16"/>
      <c r="W514" s="16"/>
      <c r="X514" s="16"/>
      <c r="Y514" s="16"/>
      <c r="Z514" s="16"/>
      <c r="AA514" s="16"/>
      <c r="AB514" s="16"/>
      <c r="AC514" s="16"/>
      <c r="AD514" s="55"/>
      <c r="AE514" s="56"/>
      <c r="AF514" s="57"/>
      <c r="AG514" s="57"/>
      <c r="AH514" s="57"/>
      <c r="AI514" s="57"/>
      <c r="AJ514" s="58"/>
      <c r="AK514" s="58"/>
      <c r="AL514" s="58"/>
      <c r="AM514" s="59"/>
      <c r="AN514" s="60"/>
      <c r="AO514" s="16"/>
      <c r="AP514" s="16"/>
      <c r="AQ514" s="61"/>
    </row>
    <row r="515" ht="12.75" customHeight="1">
      <c r="A515" s="15"/>
      <c r="B515" s="162"/>
      <c r="C515" s="162"/>
      <c r="D515" s="162"/>
      <c r="E515" s="162"/>
      <c r="F515" s="162"/>
      <c r="G515" s="162"/>
      <c r="H515" s="151"/>
      <c r="I515" s="151"/>
      <c r="J515" s="151"/>
      <c r="K515" s="151"/>
      <c r="L515" s="163"/>
      <c r="M515" s="164"/>
      <c r="N515" s="164"/>
      <c r="O515" s="165"/>
      <c r="P515" s="48"/>
      <c r="Q515" s="107"/>
      <c r="R515" s="107"/>
      <c r="S515" s="107"/>
      <c r="T515" s="107"/>
      <c r="U515" s="16"/>
      <c r="V515" s="16"/>
      <c r="W515" s="16"/>
      <c r="X515" s="16"/>
      <c r="Y515" s="16"/>
      <c r="Z515" s="16"/>
      <c r="AA515" s="16"/>
      <c r="AB515" s="16"/>
      <c r="AC515" s="16"/>
      <c r="AD515" s="55"/>
      <c r="AE515" s="56"/>
      <c r="AF515" s="57"/>
      <c r="AG515" s="57"/>
      <c r="AH515" s="57"/>
      <c r="AI515" s="57"/>
      <c r="AJ515" s="58"/>
      <c r="AK515" s="58"/>
      <c r="AL515" s="58"/>
      <c r="AM515" s="59"/>
      <c r="AN515" s="60"/>
      <c r="AO515" s="16"/>
      <c r="AP515" s="16"/>
      <c r="AQ515" s="61"/>
    </row>
    <row r="516" ht="12.75" customHeight="1">
      <c r="A516" s="15"/>
      <c r="B516" s="162"/>
      <c r="C516" s="162"/>
      <c r="D516" s="162"/>
      <c r="E516" s="162"/>
      <c r="F516" s="162"/>
      <c r="G516" s="162"/>
      <c r="H516" s="151"/>
      <c r="I516" s="151"/>
      <c r="J516" s="151"/>
      <c r="K516" s="151"/>
      <c r="L516" s="163"/>
      <c r="M516" s="164"/>
      <c r="N516" s="164"/>
      <c r="O516" s="165"/>
      <c r="P516" s="48"/>
      <c r="Q516" s="107"/>
      <c r="R516" s="107"/>
      <c r="S516" s="107"/>
      <c r="T516" s="107"/>
      <c r="U516" s="16"/>
      <c r="V516" s="16"/>
      <c r="W516" s="16"/>
      <c r="X516" s="16"/>
      <c r="Y516" s="16"/>
      <c r="Z516" s="16"/>
      <c r="AA516" s="16"/>
      <c r="AB516" s="16"/>
      <c r="AC516" s="16"/>
      <c r="AD516" s="55"/>
      <c r="AE516" s="56"/>
      <c r="AF516" s="57"/>
      <c r="AG516" s="57"/>
      <c r="AH516" s="57"/>
      <c r="AI516" s="57"/>
      <c r="AJ516" s="58"/>
      <c r="AK516" s="58"/>
      <c r="AL516" s="58"/>
      <c r="AM516" s="59"/>
      <c r="AN516" s="60"/>
      <c r="AO516" s="16"/>
      <c r="AP516" s="16"/>
      <c r="AQ516" s="61"/>
    </row>
    <row r="517" ht="12.75" customHeight="1">
      <c r="A517" s="15"/>
      <c r="B517" s="162"/>
      <c r="C517" s="162"/>
      <c r="D517" s="162"/>
      <c r="E517" s="162"/>
      <c r="F517" s="162"/>
      <c r="G517" s="162"/>
      <c r="H517" s="151"/>
      <c r="I517" s="151"/>
      <c r="J517" s="151"/>
      <c r="K517" s="151"/>
      <c r="L517" s="163"/>
      <c r="M517" s="164"/>
      <c r="N517" s="164"/>
      <c r="O517" s="165"/>
      <c r="P517" s="48"/>
      <c r="Q517" s="107"/>
      <c r="R517" s="107"/>
      <c r="S517" s="107"/>
      <c r="T517" s="107"/>
      <c r="U517" s="16"/>
      <c r="V517" s="16"/>
      <c r="W517" s="16"/>
      <c r="X517" s="16"/>
      <c r="Y517" s="16"/>
      <c r="Z517" s="16"/>
      <c r="AA517" s="16"/>
      <c r="AB517" s="16"/>
      <c r="AC517" s="16"/>
      <c r="AD517" s="55"/>
      <c r="AE517" s="56"/>
      <c r="AF517" s="57"/>
      <c r="AG517" s="57"/>
      <c r="AH517" s="57"/>
      <c r="AI517" s="57"/>
      <c r="AJ517" s="58"/>
      <c r="AK517" s="58"/>
      <c r="AL517" s="58"/>
      <c r="AM517" s="59"/>
      <c r="AN517" s="60"/>
      <c r="AO517" s="16"/>
      <c r="AP517" s="16"/>
      <c r="AQ517" s="61"/>
    </row>
    <row r="518" ht="12.75" customHeight="1">
      <c r="A518" s="15"/>
      <c r="B518" s="162"/>
      <c r="C518" s="162"/>
      <c r="D518" s="162"/>
      <c r="E518" s="162"/>
      <c r="F518" s="162"/>
      <c r="G518" s="162"/>
      <c r="H518" s="151"/>
      <c r="I518" s="151"/>
      <c r="J518" s="151"/>
      <c r="K518" s="151"/>
      <c r="L518" s="163"/>
      <c r="M518" s="164"/>
      <c r="N518" s="164"/>
      <c r="O518" s="165"/>
      <c r="P518" s="48"/>
      <c r="Q518" s="107"/>
      <c r="R518" s="107"/>
      <c r="S518" s="107"/>
      <c r="T518" s="107"/>
      <c r="U518" s="16"/>
      <c r="V518" s="16"/>
      <c r="W518" s="16"/>
      <c r="X518" s="16"/>
      <c r="Y518" s="16"/>
      <c r="Z518" s="16"/>
      <c r="AA518" s="16"/>
      <c r="AB518" s="16"/>
      <c r="AC518" s="16"/>
      <c r="AD518" s="55"/>
      <c r="AE518" s="56"/>
      <c r="AF518" s="57"/>
      <c r="AG518" s="57"/>
      <c r="AH518" s="57"/>
      <c r="AI518" s="57"/>
      <c r="AJ518" s="58"/>
      <c r="AK518" s="58"/>
      <c r="AL518" s="58"/>
      <c r="AM518" s="59"/>
      <c r="AN518" s="60"/>
      <c r="AO518" s="16"/>
      <c r="AP518" s="16"/>
      <c r="AQ518" s="61"/>
    </row>
    <row r="519" ht="12.75" customHeight="1">
      <c r="A519" s="15"/>
      <c r="B519" s="162"/>
      <c r="C519" s="162"/>
      <c r="D519" s="162"/>
      <c r="E519" s="162"/>
      <c r="F519" s="162"/>
      <c r="G519" s="162"/>
      <c r="H519" s="151"/>
      <c r="I519" s="151"/>
      <c r="J519" s="151"/>
      <c r="K519" s="151"/>
      <c r="L519" s="163"/>
      <c r="M519" s="164"/>
      <c r="N519" s="164"/>
      <c r="O519" s="165"/>
      <c r="P519" s="48"/>
      <c r="Q519" s="107"/>
      <c r="R519" s="107"/>
      <c r="S519" s="107"/>
      <c r="T519" s="107"/>
      <c r="U519" s="16"/>
      <c r="V519" s="16"/>
      <c r="W519" s="16"/>
      <c r="X519" s="16"/>
      <c r="Y519" s="16"/>
      <c r="Z519" s="16"/>
      <c r="AA519" s="16"/>
      <c r="AB519" s="16"/>
      <c r="AC519" s="16"/>
      <c r="AD519" s="55"/>
      <c r="AE519" s="56"/>
      <c r="AF519" s="57"/>
      <c r="AG519" s="57"/>
      <c r="AH519" s="57"/>
      <c r="AI519" s="57"/>
      <c r="AJ519" s="58"/>
      <c r="AK519" s="58"/>
      <c r="AL519" s="58"/>
      <c r="AM519" s="59"/>
      <c r="AN519" s="60"/>
      <c r="AO519" s="16"/>
      <c r="AP519" s="16"/>
      <c r="AQ519" s="61"/>
    </row>
    <row r="520" ht="12.75" customHeight="1">
      <c r="A520" s="15"/>
      <c r="B520" s="162"/>
      <c r="C520" s="162"/>
      <c r="D520" s="162"/>
      <c r="E520" s="162"/>
      <c r="F520" s="162"/>
      <c r="G520" s="162"/>
      <c r="H520" s="151"/>
      <c r="I520" s="151"/>
      <c r="J520" s="151"/>
      <c r="K520" s="151"/>
      <c r="L520" s="163"/>
      <c r="M520" s="164"/>
      <c r="N520" s="164"/>
      <c r="O520" s="165"/>
      <c r="P520" s="48"/>
      <c r="Q520" s="107"/>
      <c r="R520" s="107"/>
      <c r="S520" s="107"/>
      <c r="T520" s="107"/>
      <c r="U520" s="16"/>
      <c r="V520" s="16"/>
      <c r="W520" s="16"/>
      <c r="X520" s="16"/>
      <c r="Y520" s="16"/>
      <c r="Z520" s="16"/>
      <c r="AA520" s="16"/>
      <c r="AB520" s="16"/>
      <c r="AC520" s="16"/>
      <c r="AD520" s="55"/>
      <c r="AE520" s="56"/>
      <c r="AF520" s="57"/>
      <c r="AG520" s="57"/>
      <c r="AH520" s="57"/>
      <c r="AI520" s="57"/>
      <c r="AJ520" s="58"/>
      <c r="AK520" s="58"/>
      <c r="AL520" s="58"/>
      <c r="AM520" s="59"/>
      <c r="AN520" s="60"/>
      <c r="AO520" s="16"/>
      <c r="AP520" s="16"/>
      <c r="AQ520" s="61"/>
    </row>
    <row r="521" ht="12.75" customHeight="1">
      <c r="A521" s="15"/>
      <c r="B521" s="162"/>
      <c r="C521" s="162"/>
      <c r="D521" s="162"/>
      <c r="E521" s="162"/>
      <c r="F521" s="162"/>
      <c r="G521" s="162"/>
      <c r="H521" s="151"/>
      <c r="I521" s="151"/>
      <c r="J521" s="151"/>
      <c r="K521" s="151"/>
      <c r="L521" s="163"/>
      <c r="M521" s="164"/>
      <c r="N521" s="164"/>
      <c r="O521" s="165"/>
      <c r="P521" s="48"/>
      <c r="Q521" s="107"/>
      <c r="R521" s="107"/>
      <c r="S521" s="107"/>
      <c r="T521" s="107"/>
      <c r="U521" s="16"/>
      <c r="V521" s="16"/>
      <c r="W521" s="16"/>
      <c r="X521" s="16"/>
      <c r="Y521" s="16"/>
      <c r="Z521" s="16"/>
      <c r="AA521" s="16"/>
      <c r="AB521" s="16"/>
      <c r="AC521" s="16"/>
      <c r="AD521" s="55"/>
      <c r="AE521" s="56"/>
      <c r="AF521" s="57"/>
      <c r="AG521" s="57"/>
      <c r="AH521" s="57"/>
      <c r="AI521" s="57"/>
      <c r="AJ521" s="58"/>
      <c r="AK521" s="58"/>
      <c r="AL521" s="58"/>
      <c r="AM521" s="59"/>
      <c r="AN521" s="60"/>
      <c r="AO521" s="16"/>
      <c r="AP521" s="16"/>
      <c r="AQ521" s="61"/>
    </row>
    <row r="522" ht="12.75" customHeight="1">
      <c r="A522" s="15"/>
      <c r="B522" s="162"/>
      <c r="C522" s="162"/>
      <c r="D522" s="162"/>
      <c r="E522" s="162"/>
      <c r="F522" s="162"/>
      <c r="G522" s="162"/>
      <c r="H522" s="151"/>
      <c r="I522" s="151"/>
      <c r="J522" s="151"/>
      <c r="K522" s="151"/>
      <c r="L522" s="163"/>
      <c r="M522" s="164"/>
      <c r="N522" s="164"/>
      <c r="O522" s="165"/>
      <c r="P522" s="48"/>
      <c r="Q522" s="107"/>
      <c r="R522" s="107"/>
      <c r="S522" s="107"/>
      <c r="T522" s="107"/>
      <c r="U522" s="16"/>
      <c r="V522" s="16"/>
      <c r="W522" s="16"/>
      <c r="X522" s="16"/>
      <c r="Y522" s="16"/>
      <c r="Z522" s="16"/>
      <c r="AA522" s="16"/>
      <c r="AB522" s="16"/>
      <c r="AC522" s="16"/>
      <c r="AD522" s="55"/>
      <c r="AE522" s="56"/>
      <c r="AF522" s="57"/>
      <c r="AG522" s="57"/>
      <c r="AH522" s="57"/>
      <c r="AI522" s="57"/>
      <c r="AJ522" s="58"/>
      <c r="AK522" s="58"/>
      <c r="AL522" s="58"/>
      <c r="AM522" s="59"/>
      <c r="AN522" s="60"/>
      <c r="AO522" s="16"/>
      <c r="AP522" s="16"/>
      <c r="AQ522" s="61"/>
    </row>
    <row r="523" ht="12.75" customHeight="1">
      <c r="A523" s="15"/>
      <c r="B523" s="162"/>
      <c r="C523" s="162"/>
      <c r="D523" s="162"/>
      <c r="E523" s="162"/>
      <c r="F523" s="162"/>
      <c r="G523" s="162"/>
      <c r="H523" s="151"/>
      <c r="I523" s="151"/>
      <c r="J523" s="151"/>
      <c r="K523" s="151"/>
      <c r="L523" s="163"/>
      <c r="M523" s="164"/>
      <c r="N523" s="164"/>
      <c r="O523" s="165"/>
      <c r="P523" s="48"/>
      <c r="Q523" s="107"/>
      <c r="R523" s="107"/>
      <c r="S523" s="107"/>
      <c r="T523" s="107"/>
      <c r="U523" s="16"/>
      <c r="V523" s="16"/>
      <c r="W523" s="16"/>
      <c r="X523" s="16"/>
      <c r="Y523" s="16"/>
      <c r="Z523" s="16"/>
      <c r="AA523" s="16"/>
      <c r="AB523" s="16"/>
      <c r="AC523" s="16"/>
      <c r="AD523" s="55"/>
      <c r="AE523" s="56"/>
      <c r="AF523" s="57"/>
      <c r="AG523" s="57"/>
      <c r="AH523" s="57"/>
      <c r="AI523" s="57"/>
      <c r="AJ523" s="58"/>
      <c r="AK523" s="58"/>
      <c r="AL523" s="58"/>
      <c r="AM523" s="59"/>
      <c r="AN523" s="60"/>
      <c r="AO523" s="16"/>
      <c r="AP523" s="16"/>
      <c r="AQ523" s="61"/>
    </row>
    <row r="524" ht="12.75" customHeight="1">
      <c r="A524" s="15"/>
      <c r="B524" s="162"/>
      <c r="C524" s="162"/>
      <c r="D524" s="162"/>
      <c r="E524" s="162"/>
      <c r="F524" s="162"/>
      <c r="G524" s="162"/>
      <c r="H524" s="151"/>
      <c r="I524" s="151"/>
      <c r="J524" s="151"/>
      <c r="K524" s="151"/>
      <c r="L524" s="163"/>
      <c r="M524" s="164"/>
      <c r="N524" s="164"/>
      <c r="O524" s="165"/>
      <c r="P524" s="48"/>
      <c r="Q524" s="107"/>
      <c r="R524" s="107"/>
      <c r="S524" s="107"/>
      <c r="T524" s="107"/>
      <c r="U524" s="16"/>
      <c r="V524" s="16"/>
      <c r="W524" s="16"/>
      <c r="X524" s="16"/>
      <c r="Y524" s="16"/>
      <c r="Z524" s="16"/>
      <c r="AA524" s="16"/>
      <c r="AB524" s="16"/>
      <c r="AC524" s="16"/>
      <c r="AD524" s="55"/>
      <c r="AE524" s="56"/>
      <c r="AF524" s="57"/>
      <c r="AG524" s="57"/>
      <c r="AH524" s="57"/>
      <c r="AI524" s="57"/>
      <c r="AJ524" s="58"/>
      <c r="AK524" s="58"/>
      <c r="AL524" s="58"/>
      <c r="AM524" s="59"/>
      <c r="AN524" s="60"/>
      <c r="AO524" s="16"/>
      <c r="AP524" s="16"/>
      <c r="AQ524" s="61"/>
    </row>
    <row r="525" ht="12.75" customHeight="1">
      <c r="A525" s="15"/>
      <c r="B525" s="162"/>
      <c r="C525" s="162"/>
      <c r="D525" s="162"/>
      <c r="E525" s="162"/>
      <c r="F525" s="162"/>
      <c r="G525" s="162"/>
      <c r="H525" s="151"/>
      <c r="I525" s="151"/>
      <c r="J525" s="151"/>
      <c r="K525" s="151"/>
      <c r="L525" s="163"/>
      <c r="M525" s="164"/>
      <c r="N525" s="164"/>
      <c r="O525" s="165"/>
      <c r="P525" s="48"/>
      <c r="Q525" s="107"/>
      <c r="R525" s="107"/>
      <c r="S525" s="107"/>
      <c r="T525" s="107"/>
      <c r="U525" s="16"/>
      <c r="V525" s="16"/>
      <c r="W525" s="16"/>
      <c r="X525" s="16"/>
      <c r="Y525" s="16"/>
      <c r="Z525" s="16"/>
      <c r="AA525" s="16"/>
      <c r="AB525" s="16"/>
      <c r="AC525" s="16"/>
      <c r="AD525" s="55"/>
      <c r="AE525" s="56"/>
      <c r="AF525" s="57"/>
      <c r="AG525" s="57"/>
      <c r="AH525" s="57"/>
      <c r="AI525" s="57"/>
      <c r="AJ525" s="58"/>
      <c r="AK525" s="58"/>
      <c r="AL525" s="58"/>
      <c r="AM525" s="59"/>
      <c r="AN525" s="60"/>
      <c r="AO525" s="16"/>
      <c r="AP525" s="16"/>
      <c r="AQ525" s="61"/>
    </row>
    <row r="526" ht="12.75" customHeight="1">
      <c r="A526" s="15"/>
      <c r="B526" s="162"/>
      <c r="C526" s="162"/>
      <c r="D526" s="162"/>
      <c r="E526" s="162"/>
      <c r="F526" s="162"/>
      <c r="G526" s="162"/>
      <c r="H526" s="151"/>
      <c r="I526" s="151"/>
      <c r="J526" s="151"/>
      <c r="K526" s="151"/>
      <c r="L526" s="163"/>
      <c r="M526" s="164"/>
      <c r="N526" s="164"/>
      <c r="O526" s="165"/>
      <c r="P526" s="48"/>
      <c r="Q526" s="107"/>
      <c r="R526" s="107"/>
      <c r="S526" s="107"/>
      <c r="T526" s="107"/>
      <c r="U526" s="16"/>
      <c r="V526" s="16"/>
      <c r="W526" s="16"/>
      <c r="X526" s="16"/>
      <c r="Y526" s="16"/>
      <c r="Z526" s="16"/>
      <c r="AA526" s="16"/>
      <c r="AB526" s="16"/>
      <c r="AC526" s="16"/>
      <c r="AD526" s="55"/>
      <c r="AE526" s="56"/>
      <c r="AF526" s="57"/>
      <c r="AG526" s="57"/>
      <c r="AH526" s="57"/>
      <c r="AI526" s="57"/>
      <c r="AJ526" s="58"/>
      <c r="AK526" s="58"/>
      <c r="AL526" s="58"/>
      <c r="AM526" s="59"/>
      <c r="AN526" s="60"/>
      <c r="AO526" s="16"/>
      <c r="AP526" s="16"/>
      <c r="AQ526" s="61"/>
    </row>
    <row r="527" ht="12.75" customHeight="1">
      <c r="A527" s="15"/>
      <c r="B527" s="162"/>
      <c r="C527" s="162"/>
      <c r="D527" s="162"/>
      <c r="E527" s="162"/>
      <c r="F527" s="162"/>
      <c r="G527" s="162"/>
      <c r="H527" s="151"/>
      <c r="I527" s="151"/>
      <c r="J527" s="151"/>
      <c r="K527" s="151"/>
      <c r="L527" s="163"/>
      <c r="M527" s="164"/>
      <c r="N527" s="164"/>
      <c r="O527" s="165"/>
      <c r="P527" s="48"/>
      <c r="Q527" s="107"/>
      <c r="R527" s="107"/>
      <c r="S527" s="107"/>
      <c r="T527" s="107"/>
      <c r="U527" s="16"/>
      <c r="V527" s="16"/>
      <c r="W527" s="16"/>
      <c r="X527" s="16"/>
      <c r="Y527" s="16"/>
      <c r="Z527" s="16"/>
      <c r="AA527" s="16"/>
      <c r="AB527" s="16"/>
      <c r="AC527" s="16"/>
      <c r="AD527" s="55"/>
      <c r="AE527" s="56"/>
      <c r="AF527" s="57"/>
      <c r="AG527" s="57"/>
      <c r="AH527" s="57"/>
      <c r="AI527" s="57"/>
      <c r="AJ527" s="58"/>
      <c r="AK527" s="58"/>
      <c r="AL527" s="58"/>
      <c r="AM527" s="59"/>
      <c r="AN527" s="60"/>
      <c r="AO527" s="16"/>
      <c r="AP527" s="16"/>
      <c r="AQ527" s="61"/>
    </row>
    <row r="528" ht="12.75" customHeight="1">
      <c r="A528" s="15"/>
      <c r="B528" s="162"/>
      <c r="C528" s="162"/>
      <c r="D528" s="162"/>
      <c r="E528" s="162"/>
      <c r="F528" s="162"/>
      <c r="G528" s="162"/>
      <c r="H528" s="151"/>
      <c r="I528" s="151"/>
      <c r="J528" s="151"/>
      <c r="K528" s="151"/>
      <c r="L528" s="163"/>
      <c r="M528" s="164"/>
      <c r="N528" s="164"/>
      <c r="O528" s="165"/>
      <c r="P528" s="48"/>
      <c r="Q528" s="107"/>
      <c r="R528" s="107"/>
      <c r="S528" s="107"/>
      <c r="T528" s="107"/>
      <c r="U528" s="16"/>
      <c r="V528" s="16"/>
      <c r="W528" s="16"/>
      <c r="X528" s="16"/>
      <c r="Y528" s="16"/>
      <c r="Z528" s="16"/>
      <c r="AA528" s="16"/>
      <c r="AB528" s="16"/>
      <c r="AC528" s="16"/>
      <c r="AD528" s="55"/>
      <c r="AE528" s="56"/>
      <c r="AF528" s="57"/>
      <c r="AG528" s="57"/>
      <c r="AH528" s="57"/>
      <c r="AI528" s="57"/>
      <c r="AJ528" s="58"/>
      <c r="AK528" s="58"/>
      <c r="AL528" s="58"/>
      <c r="AM528" s="59"/>
      <c r="AN528" s="60"/>
      <c r="AO528" s="16"/>
      <c r="AP528" s="16"/>
      <c r="AQ528" s="61"/>
    </row>
    <row r="529" ht="12.75" customHeight="1">
      <c r="A529" s="15"/>
      <c r="B529" s="162"/>
      <c r="C529" s="162"/>
      <c r="D529" s="162"/>
      <c r="E529" s="162"/>
      <c r="F529" s="162"/>
      <c r="G529" s="162"/>
      <c r="H529" s="151"/>
      <c r="I529" s="151"/>
      <c r="J529" s="151"/>
      <c r="K529" s="151"/>
      <c r="L529" s="163"/>
      <c r="M529" s="164"/>
      <c r="N529" s="164"/>
      <c r="O529" s="165"/>
      <c r="P529" s="48"/>
      <c r="Q529" s="107"/>
      <c r="R529" s="107"/>
      <c r="S529" s="107"/>
      <c r="T529" s="107"/>
      <c r="U529" s="16"/>
      <c r="V529" s="16"/>
      <c r="W529" s="16"/>
      <c r="X529" s="16"/>
      <c r="Y529" s="16"/>
      <c r="Z529" s="16"/>
      <c r="AA529" s="16"/>
      <c r="AB529" s="16"/>
      <c r="AC529" s="16"/>
      <c r="AD529" s="55"/>
      <c r="AE529" s="56"/>
      <c r="AF529" s="57"/>
      <c r="AG529" s="57"/>
      <c r="AH529" s="57"/>
      <c r="AI529" s="57"/>
      <c r="AJ529" s="58"/>
      <c r="AK529" s="58"/>
      <c r="AL529" s="58"/>
      <c r="AM529" s="59"/>
      <c r="AN529" s="60"/>
      <c r="AO529" s="16"/>
      <c r="AP529" s="16"/>
      <c r="AQ529" s="61"/>
    </row>
    <row r="530" ht="12.75" customHeight="1">
      <c r="A530" s="15"/>
      <c r="B530" s="162"/>
      <c r="C530" s="162"/>
      <c r="D530" s="162"/>
      <c r="E530" s="162"/>
      <c r="F530" s="162"/>
      <c r="G530" s="162"/>
      <c r="H530" s="151"/>
      <c r="I530" s="151"/>
      <c r="J530" s="151"/>
      <c r="K530" s="151"/>
      <c r="L530" s="163"/>
      <c r="M530" s="164"/>
      <c r="N530" s="164"/>
      <c r="O530" s="165"/>
      <c r="P530" s="48"/>
      <c r="Q530" s="107"/>
      <c r="R530" s="107"/>
      <c r="S530" s="107"/>
      <c r="T530" s="107"/>
      <c r="U530" s="16"/>
      <c r="V530" s="16"/>
      <c r="W530" s="16"/>
      <c r="X530" s="16"/>
      <c r="Y530" s="16"/>
      <c r="Z530" s="16"/>
      <c r="AA530" s="16"/>
      <c r="AB530" s="16"/>
      <c r="AC530" s="16"/>
      <c r="AD530" s="55"/>
      <c r="AE530" s="56"/>
      <c r="AF530" s="57"/>
      <c r="AG530" s="57"/>
      <c r="AH530" s="57"/>
      <c r="AI530" s="57"/>
      <c r="AJ530" s="58"/>
      <c r="AK530" s="58"/>
      <c r="AL530" s="58"/>
      <c r="AM530" s="59"/>
      <c r="AN530" s="60"/>
      <c r="AO530" s="16"/>
      <c r="AP530" s="16"/>
      <c r="AQ530" s="61"/>
    </row>
    <row r="531" ht="12.75" customHeight="1">
      <c r="A531" s="15"/>
      <c r="B531" s="162"/>
      <c r="C531" s="162"/>
      <c r="D531" s="162"/>
      <c r="E531" s="162"/>
      <c r="F531" s="162"/>
      <c r="G531" s="162"/>
      <c r="H531" s="151"/>
      <c r="I531" s="151"/>
      <c r="J531" s="151"/>
      <c r="K531" s="151"/>
      <c r="L531" s="163"/>
      <c r="M531" s="164"/>
      <c r="N531" s="164"/>
      <c r="O531" s="165"/>
      <c r="P531" s="48"/>
      <c r="Q531" s="107"/>
      <c r="R531" s="107"/>
      <c r="S531" s="107"/>
      <c r="T531" s="107"/>
      <c r="U531" s="16"/>
      <c r="V531" s="16"/>
      <c r="W531" s="16"/>
      <c r="X531" s="16"/>
      <c r="Y531" s="16"/>
      <c r="Z531" s="16"/>
      <c r="AA531" s="16"/>
      <c r="AB531" s="16"/>
      <c r="AC531" s="16"/>
      <c r="AD531" s="55"/>
      <c r="AE531" s="56"/>
      <c r="AF531" s="57"/>
      <c r="AG531" s="57"/>
      <c r="AH531" s="57"/>
      <c r="AI531" s="57"/>
      <c r="AJ531" s="58"/>
      <c r="AK531" s="58"/>
      <c r="AL531" s="58"/>
      <c r="AM531" s="59"/>
      <c r="AN531" s="60"/>
      <c r="AO531" s="16"/>
      <c r="AP531" s="16"/>
      <c r="AQ531" s="61"/>
    </row>
    <row r="532" ht="12.75" customHeight="1">
      <c r="A532" s="15"/>
      <c r="B532" s="162"/>
      <c r="C532" s="162"/>
      <c r="D532" s="162"/>
      <c r="E532" s="162"/>
      <c r="F532" s="162"/>
      <c r="G532" s="162"/>
      <c r="H532" s="151"/>
      <c r="I532" s="151"/>
      <c r="J532" s="151"/>
      <c r="K532" s="151"/>
      <c r="L532" s="163"/>
      <c r="M532" s="164"/>
      <c r="N532" s="164"/>
      <c r="O532" s="165"/>
      <c r="P532" s="48"/>
      <c r="Q532" s="107"/>
      <c r="R532" s="107"/>
      <c r="S532" s="107"/>
      <c r="T532" s="107"/>
      <c r="U532" s="16"/>
      <c r="V532" s="16"/>
      <c r="W532" s="16"/>
      <c r="X532" s="16"/>
      <c r="Y532" s="16"/>
      <c r="Z532" s="16"/>
      <c r="AA532" s="16"/>
      <c r="AB532" s="16"/>
      <c r="AC532" s="16"/>
      <c r="AD532" s="55"/>
      <c r="AE532" s="56"/>
      <c r="AF532" s="57"/>
      <c r="AG532" s="57"/>
      <c r="AH532" s="57"/>
      <c r="AI532" s="57"/>
      <c r="AJ532" s="58"/>
      <c r="AK532" s="58"/>
      <c r="AL532" s="58"/>
      <c r="AM532" s="59"/>
      <c r="AN532" s="60"/>
      <c r="AO532" s="16"/>
      <c r="AP532" s="16"/>
      <c r="AQ532" s="61"/>
    </row>
    <row r="533" ht="12.75" customHeight="1">
      <c r="A533" s="15"/>
      <c r="B533" s="162"/>
      <c r="C533" s="162"/>
      <c r="D533" s="162"/>
      <c r="E533" s="162"/>
      <c r="F533" s="162"/>
      <c r="G533" s="162"/>
      <c r="H533" s="151"/>
      <c r="I533" s="151"/>
      <c r="J533" s="151"/>
      <c r="K533" s="151"/>
      <c r="L533" s="163"/>
      <c r="M533" s="164"/>
      <c r="N533" s="164"/>
      <c r="O533" s="165"/>
      <c r="P533" s="48"/>
      <c r="Q533" s="107"/>
      <c r="R533" s="107"/>
      <c r="S533" s="107"/>
      <c r="T533" s="107"/>
      <c r="U533" s="16"/>
      <c r="V533" s="16"/>
      <c r="W533" s="16"/>
      <c r="X533" s="16"/>
      <c r="Y533" s="16"/>
      <c r="Z533" s="16"/>
      <c r="AA533" s="16"/>
      <c r="AB533" s="16"/>
      <c r="AC533" s="16"/>
      <c r="AD533" s="55"/>
      <c r="AE533" s="56"/>
      <c r="AF533" s="57"/>
      <c r="AG533" s="57"/>
      <c r="AH533" s="57"/>
      <c r="AI533" s="57"/>
      <c r="AJ533" s="58"/>
      <c r="AK533" s="58"/>
      <c r="AL533" s="58"/>
      <c r="AM533" s="59"/>
      <c r="AN533" s="60"/>
      <c r="AO533" s="16"/>
      <c r="AP533" s="16"/>
      <c r="AQ533" s="61"/>
    </row>
    <row r="534" ht="12.75" customHeight="1">
      <c r="A534" s="15"/>
      <c r="B534" s="162"/>
      <c r="C534" s="162"/>
      <c r="D534" s="162"/>
      <c r="E534" s="162"/>
      <c r="F534" s="162"/>
      <c r="G534" s="162"/>
      <c r="H534" s="151"/>
      <c r="I534" s="151"/>
      <c r="J534" s="151"/>
      <c r="K534" s="151"/>
      <c r="L534" s="163"/>
      <c r="M534" s="164"/>
      <c r="N534" s="164"/>
      <c r="O534" s="165"/>
      <c r="P534" s="48"/>
      <c r="Q534" s="107"/>
      <c r="R534" s="107"/>
      <c r="S534" s="107"/>
      <c r="T534" s="107"/>
      <c r="U534" s="16"/>
      <c r="V534" s="16"/>
      <c r="W534" s="16"/>
      <c r="X534" s="16"/>
      <c r="Y534" s="16"/>
      <c r="Z534" s="16"/>
      <c r="AA534" s="16"/>
      <c r="AB534" s="16"/>
      <c r="AC534" s="16"/>
      <c r="AD534" s="55"/>
      <c r="AE534" s="56"/>
      <c r="AF534" s="57"/>
      <c r="AG534" s="57"/>
      <c r="AH534" s="57"/>
      <c r="AI534" s="57"/>
      <c r="AJ534" s="58"/>
      <c r="AK534" s="58"/>
      <c r="AL534" s="58"/>
      <c r="AM534" s="59"/>
      <c r="AN534" s="60"/>
      <c r="AO534" s="16"/>
      <c r="AP534" s="16"/>
      <c r="AQ534" s="61"/>
    </row>
    <row r="535" ht="12.75" customHeight="1">
      <c r="A535" s="15"/>
      <c r="B535" s="162"/>
      <c r="C535" s="162"/>
      <c r="D535" s="162"/>
      <c r="E535" s="162"/>
      <c r="F535" s="162"/>
      <c r="G535" s="162"/>
      <c r="H535" s="151"/>
      <c r="I535" s="151"/>
      <c r="J535" s="151"/>
      <c r="K535" s="151"/>
      <c r="L535" s="163"/>
      <c r="M535" s="164"/>
      <c r="N535" s="164"/>
      <c r="O535" s="165"/>
      <c r="P535" s="48"/>
      <c r="Q535" s="107"/>
      <c r="R535" s="107"/>
      <c r="S535" s="107"/>
      <c r="T535" s="107"/>
      <c r="U535" s="16"/>
      <c r="V535" s="16"/>
      <c r="W535" s="16"/>
      <c r="X535" s="16"/>
      <c r="Y535" s="16"/>
      <c r="Z535" s="16"/>
      <c r="AA535" s="16"/>
      <c r="AB535" s="16"/>
      <c r="AC535" s="16"/>
      <c r="AD535" s="55"/>
      <c r="AE535" s="56"/>
      <c r="AF535" s="57"/>
      <c r="AG535" s="57"/>
      <c r="AH535" s="57"/>
      <c r="AI535" s="57"/>
      <c r="AJ535" s="58"/>
      <c r="AK535" s="58"/>
      <c r="AL535" s="58"/>
      <c r="AM535" s="59"/>
      <c r="AN535" s="60"/>
      <c r="AO535" s="16"/>
      <c r="AP535" s="16"/>
      <c r="AQ535" s="61"/>
    </row>
    <row r="536" ht="12.75" customHeight="1">
      <c r="A536" s="15"/>
      <c r="B536" s="162"/>
      <c r="C536" s="162"/>
      <c r="D536" s="162"/>
      <c r="E536" s="162"/>
      <c r="F536" s="162"/>
      <c r="G536" s="162"/>
      <c r="H536" s="151"/>
      <c r="I536" s="151"/>
      <c r="J536" s="151"/>
      <c r="K536" s="151"/>
      <c r="L536" s="163"/>
      <c r="M536" s="164"/>
      <c r="N536" s="164"/>
      <c r="O536" s="165"/>
      <c r="P536" s="48"/>
      <c r="Q536" s="107"/>
      <c r="R536" s="107"/>
      <c r="S536" s="107"/>
      <c r="T536" s="107"/>
      <c r="U536" s="16"/>
      <c r="V536" s="16"/>
      <c r="W536" s="16"/>
      <c r="X536" s="16"/>
      <c r="Y536" s="16"/>
      <c r="Z536" s="16"/>
      <c r="AA536" s="16"/>
      <c r="AB536" s="16"/>
      <c r="AC536" s="16"/>
      <c r="AD536" s="55"/>
      <c r="AE536" s="56"/>
      <c r="AF536" s="57"/>
      <c r="AG536" s="57"/>
      <c r="AH536" s="57"/>
      <c r="AI536" s="57"/>
      <c r="AJ536" s="58"/>
      <c r="AK536" s="58"/>
      <c r="AL536" s="58"/>
      <c r="AM536" s="59"/>
      <c r="AN536" s="60"/>
      <c r="AO536" s="16"/>
      <c r="AP536" s="16"/>
      <c r="AQ536" s="61"/>
    </row>
    <row r="537" ht="12.75" customHeight="1">
      <c r="A537" s="15"/>
      <c r="B537" s="162"/>
      <c r="C537" s="162"/>
      <c r="D537" s="162"/>
      <c r="E537" s="162"/>
      <c r="F537" s="162"/>
      <c r="G537" s="162"/>
      <c r="H537" s="151"/>
      <c r="I537" s="151"/>
      <c r="J537" s="151"/>
      <c r="K537" s="151"/>
      <c r="L537" s="163"/>
      <c r="M537" s="164"/>
      <c r="N537" s="164"/>
      <c r="O537" s="165"/>
      <c r="P537" s="48"/>
      <c r="Q537" s="107"/>
      <c r="R537" s="107"/>
      <c r="S537" s="107"/>
      <c r="T537" s="107"/>
      <c r="U537" s="16"/>
      <c r="V537" s="16"/>
      <c r="W537" s="16"/>
      <c r="X537" s="16"/>
      <c r="Y537" s="16"/>
      <c r="Z537" s="16"/>
      <c r="AA537" s="16"/>
      <c r="AB537" s="16"/>
      <c r="AC537" s="16"/>
      <c r="AD537" s="55"/>
      <c r="AE537" s="56"/>
      <c r="AF537" s="57"/>
      <c r="AG537" s="57"/>
      <c r="AH537" s="57"/>
      <c r="AI537" s="57"/>
      <c r="AJ537" s="58"/>
      <c r="AK537" s="58"/>
      <c r="AL537" s="58"/>
      <c r="AM537" s="59"/>
      <c r="AN537" s="60"/>
      <c r="AO537" s="16"/>
      <c r="AP537" s="16"/>
      <c r="AQ537" s="61"/>
    </row>
    <row r="538" ht="12.75" customHeight="1">
      <c r="A538" s="15"/>
      <c r="B538" s="162"/>
      <c r="C538" s="162"/>
      <c r="D538" s="162"/>
      <c r="E538" s="162"/>
      <c r="F538" s="162"/>
      <c r="G538" s="162"/>
      <c r="H538" s="151"/>
      <c r="I538" s="151"/>
      <c r="J538" s="151"/>
      <c r="K538" s="151"/>
      <c r="L538" s="163"/>
      <c r="M538" s="164"/>
      <c r="N538" s="164"/>
      <c r="O538" s="165"/>
      <c r="P538" s="48"/>
      <c r="Q538" s="107"/>
      <c r="R538" s="107"/>
      <c r="S538" s="107"/>
      <c r="T538" s="107"/>
      <c r="U538" s="16"/>
      <c r="V538" s="16"/>
      <c r="W538" s="16"/>
      <c r="X538" s="16"/>
      <c r="Y538" s="16"/>
      <c r="Z538" s="16"/>
      <c r="AA538" s="16"/>
      <c r="AB538" s="16"/>
      <c r="AC538" s="16"/>
      <c r="AD538" s="55"/>
      <c r="AE538" s="56"/>
      <c r="AF538" s="57"/>
      <c r="AG538" s="57"/>
      <c r="AH538" s="57"/>
      <c r="AI538" s="57"/>
      <c r="AJ538" s="58"/>
      <c r="AK538" s="58"/>
      <c r="AL538" s="58"/>
      <c r="AM538" s="59"/>
      <c r="AN538" s="60"/>
      <c r="AO538" s="16"/>
      <c r="AP538" s="16"/>
      <c r="AQ538" s="61"/>
    </row>
    <row r="539" ht="12.75" customHeight="1">
      <c r="A539" s="15"/>
      <c r="B539" s="162"/>
      <c r="C539" s="162"/>
      <c r="D539" s="162"/>
      <c r="E539" s="162"/>
      <c r="F539" s="162"/>
      <c r="G539" s="162"/>
      <c r="H539" s="151"/>
      <c r="I539" s="151"/>
      <c r="J539" s="151"/>
      <c r="K539" s="151"/>
      <c r="L539" s="163"/>
      <c r="M539" s="164"/>
      <c r="N539" s="164"/>
      <c r="O539" s="165"/>
      <c r="P539" s="48"/>
      <c r="Q539" s="107"/>
      <c r="R539" s="107"/>
      <c r="S539" s="107"/>
      <c r="T539" s="107"/>
      <c r="U539" s="16"/>
      <c r="V539" s="16"/>
      <c r="W539" s="16"/>
      <c r="X539" s="16"/>
      <c r="Y539" s="16"/>
      <c r="Z539" s="16"/>
      <c r="AA539" s="16"/>
      <c r="AB539" s="16"/>
      <c r="AC539" s="16"/>
      <c r="AD539" s="55"/>
      <c r="AE539" s="56"/>
      <c r="AF539" s="57"/>
      <c r="AG539" s="57"/>
      <c r="AH539" s="57"/>
      <c r="AI539" s="57"/>
      <c r="AJ539" s="58"/>
      <c r="AK539" s="58"/>
      <c r="AL539" s="58"/>
      <c r="AM539" s="59"/>
      <c r="AN539" s="60"/>
      <c r="AO539" s="16"/>
      <c r="AP539" s="16"/>
      <c r="AQ539" s="61"/>
    </row>
    <row r="540" ht="12.75" customHeight="1">
      <c r="A540" s="15"/>
      <c r="B540" s="162"/>
      <c r="C540" s="162"/>
      <c r="D540" s="162"/>
      <c r="E540" s="162"/>
      <c r="F540" s="162"/>
      <c r="G540" s="162"/>
      <c r="H540" s="151"/>
      <c r="I540" s="151"/>
      <c r="J540" s="151"/>
      <c r="K540" s="151"/>
      <c r="L540" s="163"/>
      <c r="M540" s="164"/>
      <c r="N540" s="164"/>
      <c r="O540" s="165"/>
      <c r="P540" s="48"/>
      <c r="Q540" s="107"/>
      <c r="R540" s="107"/>
      <c r="S540" s="107"/>
      <c r="T540" s="107"/>
      <c r="U540" s="16"/>
      <c r="V540" s="16"/>
      <c r="W540" s="16"/>
      <c r="X540" s="16"/>
      <c r="Y540" s="16"/>
      <c r="Z540" s="16"/>
      <c r="AA540" s="16"/>
      <c r="AB540" s="16"/>
      <c r="AC540" s="16"/>
      <c r="AD540" s="55"/>
      <c r="AE540" s="56"/>
      <c r="AF540" s="57"/>
      <c r="AG540" s="57"/>
      <c r="AH540" s="57"/>
      <c r="AI540" s="57"/>
      <c r="AJ540" s="58"/>
      <c r="AK540" s="58"/>
      <c r="AL540" s="58"/>
      <c r="AM540" s="59"/>
      <c r="AN540" s="60"/>
      <c r="AO540" s="16"/>
      <c r="AP540" s="16"/>
      <c r="AQ540" s="61"/>
    </row>
    <row r="541" ht="12.75" customHeight="1">
      <c r="A541" s="15"/>
      <c r="B541" s="162"/>
      <c r="C541" s="162"/>
      <c r="D541" s="162"/>
      <c r="E541" s="162"/>
      <c r="F541" s="162"/>
      <c r="G541" s="162"/>
      <c r="H541" s="151"/>
      <c r="I541" s="151"/>
      <c r="J541" s="151"/>
      <c r="K541" s="151"/>
      <c r="L541" s="163"/>
      <c r="M541" s="164"/>
      <c r="N541" s="164"/>
      <c r="O541" s="165"/>
      <c r="P541" s="48"/>
      <c r="Q541" s="107"/>
      <c r="R541" s="107"/>
      <c r="S541" s="107"/>
      <c r="T541" s="107"/>
      <c r="U541" s="16"/>
      <c r="V541" s="16"/>
      <c r="W541" s="16"/>
      <c r="X541" s="16"/>
      <c r="Y541" s="16"/>
      <c r="Z541" s="16"/>
      <c r="AA541" s="16"/>
      <c r="AB541" s="16"/>
      <c r="AC541" s="16"/>
      <c r="AD541" s="55"/>
      <c r="AE541" s="56"/>
      <c r="AF541" s="57"/>
      <c r="AG541" s="57"/>
      <c r="AH541" s="57"/>
      <c r="AI541" s="57"/>
      <c r="AJ541" s="58"/>
      <c r="AK541" s="58"/>
      <c r="AL541" s="58"/>
      <c r="AM541" s="59"/>
      <c r="AN541" s="60"/>
      <c r="AO541" s="16"/>
      <c r="AP541" s="16"/>
      <c r="AQ541" s="61"/>
    </row>
    <row r="542" ht="12.75" customHeight="1">
      <c r="A542" s="15"/>
      <c r="B542" s="162"/>
      <c r="C542" s="162"/>
      <c r="D542" s="162"/>
      <c r="E542" s="162"/>
      <c r="F542" s="162"/>
      <c r="G542" s="162"/>
      <c r="H542" s="151"/>
      <c r="I542" s="151"/>
      <c r="J542" s="151"/>
      <c r="K542" s="151"/>
      <c r="L542" s="163"/>
      <c r="M542" s="164"/>
      <c r="N542" s="164"/>
      <c r="O542" s="165"/>
      <c r="P542" s="48"/>
      <c r="Q542" s="107"/>
      <c r="R542" s="107"/>
      <c r="S542" s="107"/>
      <c r="T542" s="107"/>
      <c r="U542" s="16"/>
      <c r="V542" s="16"/>
      <c r="W542" s="16"/>
      <c r="X542" s="16"/>
      <c r="Y542" s="16"/>
      <c r="Z542" s="16"/>
      <c r="AA542" s="16"/>
      <c r="AB542" s="16"/>
      <c r="AC542" s="16"/>
      <c r="AD542" s="55"/>
      <c r="AE542" s="56"/>
      <c r="AF542" s="57"/>
      <c r="AG542" s="57"/>
      <c r="AH542" s="57"/>
      <c r="AI542" s="57"/>
      <c r="AJ542" s="58"/>
      <c r="AK542" s="58"/>
      <c r="AL542" s="58"/>
      <c r="AM542" s="59"/>
      <c r="AN542" s="60"/>
      <c r="AO542" s="16"/>
      <c r="AP542" s="16"/>
      <c r="AQ542" s="61"/>
    </row>
    <row r="543" ht="12.75" customHeight="1">
      <c r="A543" s="15"/>
      <c r="B543" s="162"/>
      <c r="C543" s="162"/>
      <c r="D543" s="162"/>
      <c r="E543" s="162"/>
      <c r="F543" s="162"/>
      <c r="G543" s="162"/>
      <c r="H543" s="151"/>
      <c r="I543" s="151"/>
      <c r="J543" s="151"/>
      <c r="K543" s="151"/>
      <c r="L543" s="163"/>
      <c r="M543" s="164"/>
      <c r="N543" s="164"/>
      <c r="O543" s="165"/>
      <c r="P543" s="48"/>
      <c r="Q543" s="107"/>
      <c r="R543" s="107"/>
      <c r="S543" s="107"/>
      <c r="T543" s="107"/>
      <c r="U543" s="16"/>
      <c r="V543" s="16"/>
      <c r="W543" s="16"/>
      <c r="X543" s="16"/>
      <c r="Y543" s="16"/>
      <c r="Z543" s="16"/>
      <c r="AA543" s="16"/>
      <c r="AB543" s="16"/>
      <c r="AC543" s="16"/>
      <c r="AD543" s="55"/>
      <c r="AE543" s="56"/>
      <c r="AF543" s="57"/>
      <c r="AG543" s="57"/>
      <c r="AH543" s="57"/>
      <c r="AI543" s="57"/>
      <c r="AJ543" s="58"/>
      <c r="AK543" s="58"/>
      <c r="AL543" s="58"/>
      <c r="AM543" s="59"/>
      <c r="AN543" s="60"/>
      <c r="AO543" s="16"/>
      <c r="AP543" s="16"/>
      <c r="AQ543" s="61"/>
    </row>
    <row r="544" ht="12.75" customHeight="1">
      <c r="A544" s="15"/>
      <c r="B544" s="162"/>
      <c r="C544" s="162"/>
      <c r="D544" s="162"/>
      <c r="E544" s="162"/>
      <c r="F544" s="162"/>
      <c r="G544" s="162"/>
      <c r="H544" s="151"/>
      <c r="I544" s="151"/>
      <c r="J544" s="151"/>
      <c r="K544" s="151"/>
      <c r="L544" s="163"/>
      <c r="M544" s="164"/>
      <c r="N544" s="164"/>
      <c r="O544" s="165"/>
      <c r="P544" s="48"/>
      <c r="Q544" s="107"/>
      <c r="R544" s="107"/>
      <c r="S544" s="107"/>
      <c r="T544" s="107"/>
      <c r="U544" s="16"/>
      <c r="V544" s="16"/>
      <c r="W544" s="16"/>
      <c r="X544" s="16"/>
      <c r="Y544" s="16"/>
      <c r="Z544" s="16"/>
      <c r="AA544" s="16"/>
      <c r="AB544" s="16"/>
      <c r="AC544" s="16"/>
      <c r="AD544" s="55"/>
      <c r="AE544" s="56"/>
      <c r="AF544" s="57"/>
      <c r="AG544" s="57"/>
      <c r="AH544" s="57"/>
      <c r="AI544" s="57"/>
      <c r="AJ544" s="58"/>
      <c r="AK544" s="58"/>
      <c r="AL544" s="58"/>
      <c r="AM544" s="59"/>
      <c r="AN544" s="60"/>
      <c r="AO544" s="16"/>
      <c r="AP544" s="16"/>
      <c r="AQ544" s="61"/>
    </row>
    <row r="545" ht="12.75" customHeight="1">
      <c r="A545" s="15"/>
      <c r="B545" s="162"/>
      <c r="C545" s="162"/>
      <c r="D545" s="162"/>
      <c r="E545" s="162"/>
      <c r="F545" s="162"/>
      <c r="G545" s="162"/>
      <c r="H545" s="151"/>
      <c r="I545" s="151"/>
      <c r="J545" s="151"/>
      <c r="K545" s="151"/>
      <c r="L545" s="163"/>
      <c r="M545" s="164"/>
      <c r="N545" s="164"/>
      <c r="O545" s="165"/>
      <c r="P545" s="48"/>
      <c r="Q545" s="107"/>
      <c r="R545" s="107"/>
      <c r="S545" s="107"/>
      <c r="T545" s="107"/>
      <c r="U545" s="16"/>
      <c r="V545" s="16"/>
      <c r="W545" s="16"/>
      <c r="X545" s="16"/>
      <c r="Y545" s="16"/>
      <c r="Z545" s="16"/>
      <c r="AA545" s="16"/>
      <c r="AB545" s="16"/>
      <c r="AC545" s="16"/>
      <c r="AD545" s="55"/>
      <c r="AE545" s="56"/>
      <c r="AF545" s="57"/>
      <c r="AG545" s="57"/>
      <c r="AH545" s="57"/>
      <c r="AI545" s="57"/>
      <c r="AJ545" s="58"/>
      <c r="AK545" s="58"/>
      <c r="AL545" s="58"/>
      <c r="AM545" s="59"/>
      <c r="AN545" s="60"/>
      <c r="AO545" s="16"/>
      <c r="AP545" s="16"/>
      <c r="AQ545" s="61"/>
    </row>
    <row r="546" ht="12.75" customHeight="1">
      <c r="A546" s="15"/>
      <c r="B546" s="162"/>
      <c r="C546" s="162"/>
      <c r="D546" s="162"/>
      <c r="E546" s="162"/>
      <c r="F546" s="162"/>
      <c r="G546" s="162"/>
      <c r="H546" s="151"/>
      <c r="I546" s="151"/>
      <c r="J546" s="151"/>
      <c r="K546" s="151"/>
      <c r="L546" s="163"/>
      <c r="M546" s="164"/>
      <c r="N546" s="164"/>
      <c r="O546" s="165"/>
      <c r="P546" s="48"/>
      <c r="Q546" s="107"/>
      <c r="R546" s="107"/>
      <c r="S546" s="107"/>
      <c r="T546" s="107"/>
      <c r="U546" s="16"/>
      <c r="V546" s="16"/>
      <c r="W546" s="16"/>
      <c r="X546" s="16"/>
      <c r="Y546" s="16"/>
      <c r="Z546" s="16"/>
      <c r="AA546" s="16"/>
      <c r="AB546" s="16"/>
      <c r="AC546" s="16"/>
      <c r="AD546" s="55"/>
      <c r="AE546" s="56"/>
      <c r="AF546" s="57"/>
      <c r="AG546" s="57"/>
      <c r="AH546" s="57"/>
      <c r="AI546" s="57"/>
      <c r="AJ546" s="58"/>
      <c r="AK546" s="58"/>
      <c r="AL546" s="58"/>
      <c r="AM546" s="59"/>
      <c r="AN546" s="60"/>
      <c r="AO546" s="16"/>
      <c r="AP546" s="16"/>
      <c r="AQ546" s="61"/>
    </row>
    <row r="547" ht="12.75" customHeight="1">
      <c r="A547" s="15"/>
      <c r="B547" s="162"/>
      <c r="C547" s="162"/>
      <c r="D547" s="162"/>
      <c r="E547" s="162"/>
      <c r="F547" s="162"/>
      <c r="G547" s="162"/>
      <c r="H547" s="151"/>
      <c r="I547" s="151"/>
      <c r="J547" s="151"/>
      <c r="K547" s="151"/>
      <c r="L547" s="163"/>
      <c r="M547" s="164"/>
      <c r="N547" s="164"/>
      <c r="O547" s="165"/>
      <c r="P547" s="48"/>
      <c r="Q547" s="107"/>
      <c r="R547" s="107"/>
      <c r="S547" s="107"/>
      <c r="T547" s="107"/>
      <c r="U547" s="16"/>
      <c r="V547" s="16"/>
      <c r="W547" s="16"/>
      <c r="X547" s="16"/>
      <c r="Y547" s="16"/>
      <c r="Z547" s="16"/>
      <c r="AA547" s="16"/>
      <c r="AB547" s="16"/>
      <c r="AC547" s="16"/>
      <c r="AD547" s="55"/>
      <c r="AE547" s="56"/>
      <c r="AF547" s="57"/>
      <c r="AG547" s="57"/>
      <c r="AH547" s="57"/>
      <c r="AI547" s="57"/>
      <c r="AJ547" s="58"/>
      <c r="AK547" s="58"/>
      <c r="AL547" s="58"/>
      <c r="AM547" s="59"/>
      <c r="AN547" s="60"/>
      <c r="AO547" s="16"/>
      <c r="AP547" s="16"/>
      <c r="AQ547" s="61"/>
    </row>
    <row r="548" ht="12.75" customHeight="1">
      <c r="A548" s="15"/>
      <c r="B548" s="162"/>
      <c r="C548" s="162"/>
      <c r="D548" s="162"/>
      <c r="E548" s="162"/>
      <c r="F548" s="162"/>
      <c r="G548" s="162"/>
      <c r="H548" s="151"/>
      <c r="I548" s="151"/>
      <c r="J548" s="151"/>
      <c r="K548" s="151"/>
      <c r="L548" s="163"/>
      <c r="M548" s="164"/>
      <c r="N548" s="164"/>
      <c r="O548" s="165"/>
      <c r="P548" s="48"/>
      <c r="Q548" s="107"/>
      <c r="R548" s="107"/>
      <c r="S548" s="107"/>
      <c r="T548" s="107"/>
      <c r="U548" s="16"/>
      <c r="V548" s="16"/>
      <c r="W548" s="16"/>
      <c r="X548" s="16"/>
      <c r="Y548" s="16"/>
      <c r="Z548" s="16"/>
      <c r="AA548" s="16"/>
      <c r="AB548" s="16"/>
      <c r="AC548" s="16"/>
      <c r="AD548" s="55"/>
      <c r="AE548" s="56"/>
      <c r="AF548" s="57"/>
      <c r="AG548" s="57"/>
      <c r="AH548" s="57"/>
      <c r="AI548" s="57"/>
      <c r="AJ548" s="58"/>
      <c r="AK548" s="58"/>
      <c r="AL548" s="58"/>
      <c r="AM548" s="59"/>
      <c r="AN548" s="60"/>
      <c r="AO548" s="16"/>
      <c r="AP548" s="16"/>
      <c r="AQ548" s="61"/>
    </row>
    <row r="549" ht="12.75" customHeight="1">
      <c r="A549" s="15"/>
      <c r="B549" s="162"/>
      <c r="C549" s="162"/>
      <c r="D549" s="162"/>
      <c r="E549" s="162"/>
      <c r="F549" s="162"/>
      <c r="G549" s="162"/>
      <c r="H549" s="151"/>
      <c r="I549" s="151"/>
      <c r="J549" s="151"/>
      <c r="K549" s="151"/>
      <c r="L549" s="163"/>
      <c r="M549" s="164"/>
      <c r="N549" s="164"/>
      <c r="O549" s="165"/>
      <c r="P549" s="48"/>
      <c r="Q549" s="107"/>
      <c r="R549" s="107"/>
      <c r="S549" s="107"/>
      <c r="T549" s="107"/>
      <c r="U549" s="16"/>
      <c r="V549" s="16"/>
      <c r="W549" s="16"/>
      <c r="X549" s="16"/>
      <c r="Y549" s="16"/>
      <c r="Z549" s="16"/>
      <c r="AA549" s="16"/>
      <c r="AB549" s="16"/>
      <c r="AC549" s="16"/>
      <c r="AD549" s="55"/>
      <c r="AE549" s="56"/>
      <c r="AF549" s="57"/>
      <c r="AG549" s="57"/>
      <c r="AH549" s="57"/>
      <c r="AI549" s="57"/>
      <c r="AJ549" s="58"/>
      <c r="AK549" s="58"/>
      <c r="AL549" s="58"/>
      <c r="AM549" s="59"/>
      <c r="AN549" s="60"/>
      <c r="AO549" s="16"/>
      <c r="AP549" s="16"/>
      <c r="AQ549" s="61"/>
    </row>
    <row r="550" ht="12.75" customHeight="1">
      <c r="A550" s="15"/>
      <c r="B550" s="162"/>
      <c r="C550" s="162"/>
      <c r="D550" s="162"/>
      <c r="E550" s="162"/>
      <c r="F550" s="162"/>
      <c r="G550" s="162"/>
      <c r="H550" s="151"/>
      <c r="I550" s="151"/>
      <c r="J550" s="151"/>
      <c r="K550" s="151"/>
      <c r="L550" s="163"/>
      <c r="M550" s="164"/>
      <c r="N550" s="164"/>
      <c r="O550" s="165"/>
      <c r="P550" s="48"/>
      <c r="Q550" s="107"/>
      <c r="R550" s="107"/>
      <c r="S550" s="107"/>
      <c r="T550" s="107"/>
      <c r="U550" s="16"/>
      <c r="V550" s="16"/>
      <c r="W550" s="16"/>
      <c r="X550" s="16"/>
      <c r="Y550" s="16"/>
      <c r="Z550" s="16"/>
      <c r="AA550" s="16"/>
      <c r="AB550" s="16"/>
      <c r="AC550" s="16"/>
      <c r="AD550" s="55"/>
      <c r="AE550" s="56"/>
      <c r="AF550" s="57"/>
      <c r="AG550" s="57"/>
      <c r="AH550" s="57"/>
      <c r="AI550" s="57"/>
      <c r="AJ550" s="58"/>
      <c r="AK550" s="58"/>
      <c r="AL550" s="58"/>
      <c r="AM550" s="59"/>
      <c r="AN550" s="60"/>
      <c r="AO550" s="16"/>
      <c r="AP550" s="16"/>
      <c r="AQ550" s="61"/>
    </row>
    <row r="551" ht="12.75" customHeight="1">
      <c r="A551" s="15"/>
      <c r="B551" s="162"/>
      <c r="C551" s="162"/>
      <c r="D551" s="162"/>
      <c r="E551" s="162"/>
      <c r="F551" s="162"/>
      <c r="G551" s="162"/>
      <c r="H551" s="151"/>
      <c r="I551" s="151"/>
      <c r="J551" s="151"/>
      <c r="K551" s="151"/>
      <c r="L551" s="163"/>
      <c r="M551" s="164"/>
      <c r="N551" s="164"/>
      <c r="O551" s="165"/>
      <c r="P551" s="48"/>
      <c r="Q551" s="107"/>
      <c r="R551" s="107"/>
      <c r="S551" s="107"/>
      <c r="T551" s="107"/>
      <c r="U551" s="16"/>
      <c r="V551" s="16"/>
      <c r="W551" s="16"/>
      <c r="X551" s="16"/>
      <c r="Y551" s="16"/>
      <c r="Z551" s="16"/>
      <c r="AA551" s="16"/>
      <c r="AB551" s="16"/>
      <c r="AC551" s="16"/>
      <c r="AD551" s="55"/>
      <c r="AE551" s="56"/>
      <c r="AF551" s="57"/>
      <c r="AG551" s="57"/>
      <c r="AH551" s="57"/>
      <c r="AI551" s="57"/>
      <c r="AJ551" s="58"/>
      <c r="AK551" s="58"/>
      <c r="AL551" s="58"/>
      <c r="AM551" s="59"/>
      <c r="AN551" s="60"/>
      <c r="AO551" s="16"/>
      <c r="AP551" s="16"/>
      <c r="AQ551" s="61"/>
    </row>
    <row r="552" ht="12.75" customHeight="1">
      <c r="A552" s="15"/>
      <c r="B552" s="162"/>
      <c r="C552" s="162"/>
      <c r="D552" s="162"/>
      <c r="E552" s="162"/>
      <c r="F552" s="162"/>
      <c r="G552" s="162"/>
      <c r="H552" s="151"/>
      <c r="I552" s="151"/>
      <c r="J552" s="151"/>
      <c r="K552" s="151"/>
      <c r="L552" s="163"/>
      <c r="M552" s="164"/>
      <c r="N552" s="164"/>
      <c r="O552" s="165"/>
      <c r="P552" s="48"/>
      <c r="Q552" s="107"/>
      <c r="R552" s="107"/>
      <c r="S552" s="107"/>
      <c r="T552" s="107"/>
      <c r="U552" s="16"/>
      <c r="V552" s="16"/>
      <c r="W552" s="16"/>
      <c r="X552" s="16"/>
      <c r="Y552" s="16"/>
      <c r="Z552" s="16"/>
      <c r="AA552" s="16"/>
      <c r="AB552" s="16"/>
      <c r="AC552" s="16"/>
      <c r="AD552" s="55"/>
      <c r="AE552" s="56"/>
      <c r="AF552" s="57"/>
      <c r="AG552" s="57"/>
      <c r="AH552" s="57"/>
      <c r="AI552" s="57"/>
      <c r="AJ552" s="58"/>
      <c r="AK552" s="58"/>
      <c r="AL552" s="58"/>
      <c r="AM552" s="59"/>
      <c r="AN552" s="60"/>
      <c r="AO552" s="16"/>
      <c r="AP552" s="16"/>
      <c r="AQ552" s="61"/>
    </row>
    <row r="553" ht="12.75" customHeight="1">
      <c r="A553" s="15"/>
      <c r="B553" s="162"/>
      <c r="C553" s="162"/>
      <c r="D553" s="162"/>
      <c r="E553" s="162"/>
      <c r="F553" s="162"/>
      <c r="G553" s="162"/>
      <c r="H553" s="151"/>
      <c r="I553" s="151"/>
      <c r="J553" s="151"/>
      <c r="K553" s="151"/>
      <c r="L553" s="163"/>
      <c r="M553" s="164"/>
      <c r="N553" s="164"/>
      <c r="O553" s="165"/>
      <c r="P553" s="48"/>
      <c r="Q553" s="107"/>
      <c r="R553" s="107"/>
      <c r="S553" s="107"/>
      <c r="T553" s="107"/>
      <c r="U553" s="16"/>
      <c r="V553" s="16"/>
      <c r="W553" s="16"/>
      <c r="X553" s="16"/>
      <c r="Y553" s="16"/>
      <c r="Z553" s="16"/>
      <c r="AA553" s="16"/>
      <c r="AB553" s="16"/>
      <c r="AC553" s="16"/>
      <c r="AD553" s="55"/>
      <c r="AE553" s="56"/>
      <c r="AF553" s="57"/>
      <c r="AG553" s="57"/>
      <c r="AH553" s="57"/>
      <c r="AI553" s="57"/>
      <c r="AJ553" s="58"/>
      <c r="AK553" s="58"/>
      <c r="AL553" s="58"/>
      <c r="AM553" s="59"/>
      <c r="AN553" s="60"/>
      <c r="AO553" s="16"/>
      <c r="AP553" s="16"/>
      <c r="AQ553" s="61"/>
    </row>
    <row r="554" ht="12.75" customHeight="1">
      <c r="A554" s="15"/>
      <c r="B554" s="162"/>
      <c r="C554" s="162"/>
      <c r="D554" s="162"/>
      <c r="E554" s="162"/>
      <c r="F554" s="162"/>
      <c r="G554" s="162"/>
      <c r="H554" s="151"/>
      <c r="I554" s="151"/>
      <c r="J554" s="151"/>
      <c r="K554" s="151"/>
      <c r="L554" s="163"/>
      <c r="M554" s="164"/>
      <c r="N554" s="164"/>
      <c r="O554" s="165"/>
      <c r="P554" s="48"/>
      <c r="Q554" s="107"/>
      <c r="R554" s="107"/>
      <c r="S554" s="107"/>
      <c r="T554" s="107"/>
      <c r="U554" s="16"/>
      <c r="V554" s="16"/>
      <c r="W554" s="16"/>
      <c r="X554" s="16"/>
      <c r="Y554" s="16"/>
      <c r="Z554" s="16"/>
      <c r="AA554" s="16"/>
      <c r="AB554" s="16"/>
      <c r="AC554" s="16"/>
      <c r="AD554" s="55"/>
      <c r="AE554" s="56"/>
      <c r="AF554" s="57"/>
      <c r="AG554" s="57"/>
      <c r="AH554" s="57"/>
      <c r="AI554" s="57"/>
      <c r="AJ554" s="58"/>
      <c r="AK554" s="58"/>
      <c r="AL554" s="58"/>
      <c r="AM554" s="59"/>
      <c r="AN554" s="60"/>
      <c r="AO554" s="16"/>
      <c r="AP554" s="16"/>
      <c r="AQ554" s="61"/>
    </row>
    <row r="555" ht="12.75" customHeight="1">
      <c r="A555" s="15"/>
      <c r="B555" s="162"/>
      <c r="C555" s="162"/>
      <c r="D555" s="162"/>
      <c r="E555" s="162"/>
      <c r="F555" s="162"/>
      <c r="G555" s="162"/>
      <c r="H555" s="151"/>
      <c r="I555" s="151"/>
      <c r="J555" s="151"/>
      <c r="K555" s="151"/>
      <c r="L555" s="163"/>
      <c r="M555" s="164"/>
      <c r="N555" s="164"/>
      <c r="O555" s="165"/>
      <c r="P555" s="48"/>
      <c r="Q555" s="107"/>
      <c r="R555" s="107"/>
      <c r="S555" s="107"/>
      <c r="T555" s="107"/>
      <c r="U555" s="16"/>
      <c r="V555" s="16"/>
      <c r="W555" s="16"/>
      <c r="X555" s="16"/>
      <c r="Y555" s="16"/>
      <c r="Z555" s="16"/>
      <c r="AA555" s="16"/>
      <c r="AB555" s="16"/>
      <c r="AC555" s="16"/>
      <c r="AD555" s="55"/>
      <c r="AE555" s="56"/>
      <c r="AF555" s="57"/>
      <c r="AG555" s="57"/>
      <c r="AH555" s="57"/>
      <c r="AI555" s="57"/>
      <c r="AJ555" s="58"/>
      <c r="AK555" s="58"/>
      <c r="AL555" s="58"/>
      <c r="AM555" s="59"/>
      <c r="AN555" s="60"/>
      <c r="AO555" s="16"/>
      <c r="AP555" s="16"/>
      <c r="AQ555" s="61"/>
    </row>
    <row r="556" ht="12.75" customHeight="1">
      <c r="A556" s="15"/>
      <c r="B556" s="162"/>
      <c r="C556" s="162"/>
      <c r="D556" s="162"/>
      <c r="E556" s="162"/>
      <c r="F556" s="162"/>
      <c r="G556" s="162"/>
      <c r="H556" s="151"/>
      <c r="I556" s="151"/>
      <c r="J556" s="151"/>
      <c r="K556" s="151"/>
      <c r="L556" s="163"/>
      <c r="M556" s="164"/>
      <c r="N556" s="164"/>
      <c r="O556" s="165"/>
      <c r="P556" s="48"/>
      <c r="Q556" s="107"/>
      <c r="R556" s="107"/>
      <c r="S556" s="107"/>
      <c r="T556" s="107"/>
      <c r="U556" s="16"/>
      <c r="V556" s="16"/>
      <c r="W556" s="16"/>
      <c r="X556" s="16"/>
      <c r="Y556" s="16"/>
      <c r="Z556" s="16"/>
      <c r="AA556" s="16"/>
      <c r="AB556" s="16"/>
      <c r="AC556" s="16"/>
      <c r="AD556" s="55"/>
      <c r="AE556" s="56"/>
      <c r="AF556" s="57"/>
      <c r="AG556" s="57"/>
      <c r="AH556" s="57"/>
      <c r="AI556" s="57"/>
      <c r="AJ556" s="58"/>
      <c r="AK556" s="58"/>
      <c r="AL556" s="58"/>
      <c r="AM556" s="59"/>
      <c r="AN556" s="60"/>
      <c r="AO556" s="16"/>
      <c r="AP556" s="16"/>
      <c r="AQ556" s="61"/>
    </row>
    <row r="557" ht="12.75" customHeight="1">
      <c r="A557" s="15"/>
      <c r="B557" s="162"/>
      <c r="C557" s="162"/>
      <c r="D557" s="162"/>
      <c r="E557" s="162"/>
      <c r="F557" s="162"/>
      <c r="G557" s="162"/>
      <c r="H557" s="151"/>
      <c r="I557" s="151"/>
      <c r="J557" s="151"/>
      <c r="K557" s="151"/>
      <c r="L557" s="163"/>
      <c r="M557" s="164"/>
      <c r="N557" s="164"/>
      <c r="O557" s="165"/>
      <c r="P557" s="48"/>
      <c r="Q557" s="107"/>
      <c r="R557" s="107"/>
      <c r="S557" s="107"/>
      <c r="T557" s="107"/>
      <c r="U557" s="16"/>
      <c r="V557" s="16"/>
      <c r="W557" s="16"/>
      <c r="X557" s="16"/>
      <c r="Y557" s="16"/>
      <c r="Z557" s="16"/>
      <c r="AA557" s="16"/>
      <c r="AB557" s="16"/>
      <c r="AC557" s="16"/>
      <c r="AD557" s="55"/>
      <c r="AE557" s="56"/>
      <c r="AF557" s="57"/>
      <c r="AG557" s="57"/>
      <c r="AH557" s="57"/>
      <c r="AI557" s="57"/>
      <c r="AJ557" s="58"/>
      <c r="AK557" s="58"/>
      <c r="AL557" s="58"/>
      <c r="AM557" s="59"/>
      <c r="AN557" s="60"/>
      <c r="AO557" s="16"/>
      <c r="AP557" s="16"/>
      <c r="AQ557" s="61"/>
    </row>
    <row r="558" ht="12.75" customHeight="1">
      <c r="A558" s="15"/>
      <c r="B558" s="162"/>
      <c r="C558" s="162"/>
      <c r="D558" s="162"/>
      <c r="E558" s="162"/>
      <c r="F558" s="162"/>
      <c r="G558" s="162"/>
      <c r="H558" s="151"/>
      <c r="I558" s="151"/>
      <c r="J558" s="151"/>
      <c r="K558" s="151"/>
      <c r="L558" s="163"/>
      <c r="M558" s="164"/>
      <c r="N558" s="164"/>
      <c r="O558" s="165"/>
      <c r="P558" s="48"/>
      <c r="Q558" s="107"/>
      <c r="R558" s="107"/>
      <c r="S558" s="107"/>
      <c r="T558" s="107"/>
      <c r="U558" s="16"/>
      <c r="V558" s="16"/>
      <c r="W558" s="16"/>
      <c r="X558" s="16"/>
      <c r="Y558" s="16"/>
      <c r="Z558" s="16"/>
      <c r="AA558" s="16"/>
      <c r="AB558" s="16"/>
      <c r="AC558" s="16"/>
      <c r="AD558" s="55"/>
      <c r="AE558" s="56"/>
      <c r="AF558" s="57"/>
      <c r="AG558" s="57"/>
      <c r="AH558" s="57"/>
      <c r="AI558" s="57"/>
      <c r="AJ558" s="58"/>
      <c r="AK558" s="58"/>
      <c r="AL558" s="58"/>
      <c r="AM558" s="59"/>
      <c r="AN558" s="60"/>
      <c r="AO558" s="16"/>
      <c r="AP558" s="16"/>
      <c r="AQ558" s="61"/>
    </row>
    <row r="559" ht="12.75" customHeight="1">
      <c r="A559" s="15"/>
      <c r="B559" s="162"/>
      <c r="C559" s="162"/>
      <c r="D559" s="162"/>
      <c r="E559" s="162"/>
      <c r="F559" s="162"/>
      <c r="G559" s="162"/>
      <c r="H559" s="151"/>
      <c r="I559" s="151"/>
      <c r="J559" s="151"/>
      <c r="K559" s="151"/>
      <c r="L559" s="163"/>
      <c r="M559" s="164"/>
      <c r="N559" s="164"/>
      <c r="O559" s="165"/>
      <c r="P559" s="48"/>
      <c r="Q559" s="107"/>
      <c r="R559" s="107"/>
      <c r="S559" s="107"/>
      <c r="T559" s="107"/>
      <c r="U559" s="16"/>
      <c r="V559" s="16"/>
      <c r="W559" s="16"/>
      <c r="X559" s="16"/>
      <c r="Y559" s="16"/>
      <c r="Z559" s="16"/>
      <c r="AA559" s="16"/>
      <c r="AB559" s="16"/>
      <c r="AC559" s="16"/>
      <c r="AD559" s="55"/>
      <c r="AE559" s="56"/>
      <c r="AF559" s="57"/>
      <c r="AG559" s="57"/>
      <c r="AH559" s="57"/>
      <c r="AI559" s="57"/>
      <c r="AJ559" s="58"/>
      <c r="AK559" s="58"/>
      <c r="AL559" s="58"/>
      <c r="AM559" s="59"/>
      <c r="AN559" s="60"/>
      <c r="AO559" s="16"/>
      <c r="AP559" s="16"/>
      <c r="AQ559" s="61"/>
    </row>
    <row r="560" ht="12.75" customHeight="1">
      <c r="A560" s="15"/>
      <c r="B560" s="162"/>
      <c r="C560" s="162"/>
      <c r="D560" s="162"/>
      <c r="E560" s="162"/>
      <c r="F560" s="162"/>
      <c r="G560" s="162"/>
      <c r="H560" s="151"/>
      <c r="I560" s="151"/>
      <c r="J560" s="151"/>
      <c r="K560" s="151"/>
      <c r="L560" s="163"/>
      <c r="M560" s="164"/>
      <c r="N560" s="164"/>
      <c r="O560" s="165"/>
      <c r="P560" s="48"/>
      <c r="Q560" s="107"/>
      <c r="R560" s="107"/>
      <c r="S560" s="107"/>
      <c r="T560" s="107"/>
      <c r="U560" s="16"/>
      <c r="V560" s="16"/>
      <c r="W560" s="16"/>
      <c r="X560" s="16"/>
      <c r="Y560" s="16"/>
      <c r="Z560" s="16"/>
      <c r="AA560" s="16"/>
      <c r="AB560" s="16"/>
      <c r="AC560" s="16"/>
      <c r="AD560" s="55"/>
      <c r="AE560" s="56"/>
      <c r="AF560" s="57"/>
      <c r="AG560" s="57"/>
      <c r="AH560" s="57"/>
      <c r="AI560" s="57"/>
      <c r="AJ560" s="58"/>
      <c r="AK560" s="58"/>
      <c r="AL560" s="58"/>
      <c r="AM560" s="59"/>
      <c r="AN560" s="60"/>
      <c r="AO560" s="16"/>
      <c r="AP560" s="16"/>
      <c r="AQ560" s="61"/>
    </row>
    <row r="561" ht="12.75" customHeight="1">
      <c r="A561" s="15"/>
      <c r="B561" s="162"/>
      <c r="C561" s="162"/>
      <c r="D561" s="162"/>
      <c r="E561" s="162"/>
      <c r="F561" s="162"/>
      <c r="G561" s="162"/>
      <c r="H561" s="151"/>
      <c r="I561" s="151"/>
      <c r="J561" s="151"/>
      <c r="K561" s="151"/>
      <c r="L561" s="163"/>
      <c r="M561" s="164"/>
      <c r="N561" s="164"/>
      <c r="O561" s="165"/>
      <c r="P561" s="48"/>
      <c r="Q561" s="107"/>
      <c r="R561" s="107"/>
      <c r="S561" s="107"/>
      <c r="T561" s="107"/>
      <c r="U561" s="16"/>
      <c r="V561" s="16"/>
      <c r="W561" s="16"/>
      <c r="X561" s="16"/>
      <c r="Y561" s="16"/>
      <c r="Z561" s="16"/>
      <c r="AA561" s="16"/>
      <c r="AB561" s="16"/>
      <c r="AC561" s="16"/>
      <c r="AD561" s="55"/>
      <c r="AE561" s="56"/>
      <c r="AF561" s="57"/>
      <c r="AG561" s="57"/>
      <c r="AH561" s="57"/>
      <c r="AI561" s="57"/>
      <c r="AJ561" s="58"/>
      <c r="AK561" s="58"/>
      <c r="AL561" s="58"/>
      <c r="AM561" s="59"/>
      <c r="AN561" s="60"/>
      <c r="AO561" s="16"/>
      <c r="AP561" s="16"/>
      <c r="AQ561" s="61"/>
    </row>
    <row r="562" ht="12.75" customHeight="1">
      <c r="A562" s="15"/>
      <c r="B562" s="162"/>
      <c r="C562" s="162"/>
      <c r="D562" s="162"/>
      <c r="E562" s="162"/>
      <c r="F562" s="162"/>
      <c r="G562" s="162"/>
      <c r="H562" s="151"/>
      <c r="I562" s="151"/>
      <c r="J562" s="151"/>
      <c r="K562" s="151"/>
      <c r="L562" s="163"/>
      <c r="M562" s="164"/>
      <c r="N562" s="164"/>
      <c r="O562" s="165"/>
      <c r="P562" s="48"/>
      <c r="Q562" s="107"/>
      <c r="R562" s="107"/>
      <c r="S562" s="107"/>
      <c r="T562" s="107"/>
      <c r="U562" s="16"/>
      <c r="V562" s="16"/>
      <c r="W562" s="16"/>
      <c r="X562" s="16"/>
      <c r="Y562" s="16"/>
      <c r="Z562" s="16"/>
      <c r="AA562" s="16"/>
      <c r="AB562" s="16"/>
      <c r="AC562" s="16"/>
      <c r="AD562" s="55"/>
      <c r="AE562" s="56"/>
      <c r="AF562" s="57"/>
      <c r="AG562" s="57"/>
      <c r="AH562" s="57"/>
      <c r="AI562" s="57"/>
      <c r="AJ562" s="58"/>
      <c r="AK562" s="58"/>
      <c r="AL562" s="58"/>
      <c r="AM562" s="59"/>
      <c r="AN562" s="60"/>
      <c r="AO562" s="16"/>
      <c r="AP562" s="16"/>
      <c r="AQ562" s="61"/>
    </row>
    <row r="563" ht="12.75" customHeight="1">
      <c r="A563" s="15"/>
      <c r="B563" s="162"/>
      <c r="C563" s="162"/>
      <c r="D563" s="162"/>
      <c r="E563" s="162"/>
      <c r="F563" s="162"/>
      <c r="G563" s="162"/>
      <c r="H563" s="151"/>
      <c r="I563" s="151"/>
      <c r="J563" s="151"/>
      <c r="K563" s="151"/>
      <c r="L563" s="163"/>
      <c r="M563" s="164"/>
      <c r="N563" s="164"/>
      <c r="O563" s="165"/>
      <c r="P563" s="48"/>
      <c r="Q563" s="107"/>
      <c r="R563" s="107"/>
      <c r="S563" s="107"/>
      <c r="T563" s="107"/>
      <c r="U563" s="16"/>
      <c r="V563" s="16"/>
      <c r="W563" s="16"/>
      <c r="X563" s="16"/>
      <c r="Y563" s="16"/>
      <c r="Z563" s="16"/>
      <c r="AA563" s="16"/>
      <c r="AB563" s="16"/>
      <c r="AC563" s="16"/>
      <c r="AD563" s="55"/>
      <c r="AE563" s="56"/>
      <c r="AF563" s="57"/>
      <c r="AG563" s="57"/>
      <c r="AH563" s="57"/>
      <c r="AI563" s="57"/>
      <c r="AJ563" s="58"/>
      <c r="AK563" s="58"/>
      <c r="AL563" s="58"/>
      <c r="AM563" s="59"/>
      <c r="AN563" s="60"/>
      <c r="AO563" s="16"/>
      <c r="AP563" s="16"/>
      <c r="AQ563" s="61"/>
    </row>
    <row r="564" ht="12.75" customHeight="1">
      <c r="A564" s="15"/>
      <c r="B564" s="162"/>
      <c r="C564" s="162"/>
      <c r="D564" s="162"/>
      <c r="E564" s="162"/>
      <c r="F564" s="162"/>
      <c r="G564" s="162"/>
      <c r="H564" s="151"/>
      <c r="I564" s="151"/>
      <c r="J564" s="151"/>
      <c r="K564" s="151"/>
      <c r="L564" s="163"/>
      <c r="M564" s="164"/>
      <c r="N564" s="164"/>
      <c r="O564" s="165"/>
      <c r="P564" s="48"/>
      <c r="Q564" s="107"/>
      <c r="R564" s="107"/>
      <c r="S564" s="107"/>
      <c r="T564" s="107"/>
      <c r="U564" s="16"/>
      <c r="V564" s="16"/>
      <c r="W564" s="16"/>
      <c r="X564" s="16"/>
      <c r="Y564" s="16"/>
      <c r="Z564" s="16"/>
      <c r="AA564" s="16"/>
      <c r="AB564" s="16"/>
      <c r="AC564" s="16"/>
      <c r="AD564" s="55"/>
      <c r="AE564" s="56"/>
      <c r="AF564" s="57"/>
      <c r="AG564" s="57"/>
      <c r="AH564" s="57"/>
      <c r="AI564" s="57"/>
      <c r="AJ564" s="58"/>
      <c r="AK564" s="58"/>
      <c r="AL564" s="58"/>
      <c r="AM564" s="59"/>
      <c r="AN564" s="60"/>
      <c r="AO564" s="16"/>
      <c r="AP564" s="16"/>
      <c r="AQ564" s="61"/>
    </row>
    <row r="565" ht="12.75" customHeight="1">
      <c r="A565" s="15"/>
      <c r="B565" s="162"/>
      <c r="C565" s="162"/>
      <c r="D565" s="162"/>
      <c r="E565" s="162"/>
      <c r="F565" s="162"/>
      <c r="G565" s="162"/>
      <c r="H565" s="151"/>
      <c r="I565" s="151"/>
      <c r="J565" s="151"/>
      <c r="K565" s="151"/>
      <c r="L565" s="163"/>
      <c r="M565" s="164"/>
      <c r="N565" s="164"/>
      <c r="O565" s="165"/>
      <c r="P565" s="48"/>
      <c r="Q565" s="107"/>
      <c r="R565" s="107"/>
      <c r="S565" s="107"/>
      <c r="T565" s="107"/>
      <c r="U565" s="16"/>
      <c r="V565" s="16"/>
      <c r="W565" s="16"/>
      <c r="X565" s="16"/>
      <c r="Y565" s="16"/>
      <c r="Z565" s="16"/>
      <c r="AA565" s="16"/>
      <c r="AB565" s="16"/>
      <c r="AC565" s="16"/>
      <c r="AD565" s="55"/>
      <c r="AE565" s="56"/>
      <c r="AF565" s="57"/>
      <c r="AG565" s="57"/>
      <c r="AH565" s="57"/>
      <c r="AI565" s="57"/>
      <c r="AJ565" s="58"/>
      <c r="AK565" s="58"/>
      <c r="AL565" s="58"/>
      <c r="AM565" s="59"/>
      <c r="AN565" s="60"/>
      <c r="AO565" s="16"/>
      <c r="AP565" s="16"/>
      <c r="AQ565" s="61"/>
    </row>
    <row r="566" ht="12.75" customHeight="1">
      <c r="A566" s="15"/>
      <c r="B566" s="162"/>
      <c r="C566" s="162"/>
      <c r="D566" s="162"/>
      <c r="E566" s="162"/>
      <c r="F566" s="162"/>
      <c r="G566" s="162"/>
      <c r="H566" s="151"/>
      <c r="I566" s="151"/>
      <c r="J566" s="151"/>
      <c r="K566" s="151"/>
      <c r="L566" s="163"/>
      <c r="M566" s="164"/>
      <c r="N566" s="164"/>
      <c r="O566" s="165"/>
      <c r="P566" s="48"/>
      <c r="Q566" s="107"/>
      <c r="R566" s="107"/>
      <c r="S566" s="107"/>
      <c r="T566" s="107"/>
      <c r="U566" s="16"/>
      <c r="V566" s="16"/>
      <c r="W566" s="16"/>
      <c r="X566" s="16"/>
      <c r="Y566" s="16"/>
      <c r="Z566" s="16"/>
      <c r="AA566" s="16"/>
      <c r="AB566" s="16"/>
      <c r="AC566" s="16"/>
      <c r="AD566" s="55"/>
      <c r="AE566" s="56"/>
      <c r="AF566" s="57"/>
      <c r="AG566" s="57"/>
      <c r="AH566" s="57"/>
      <c r="AI566" s="57"/>
      <c r="AJ566" s="58"/>
      <c r="AK566" s="58"/>
      <c r="AL566" s="58"/>
      <c r="AM566" s="59"/>
      <c r="AN566" s="60"/>
      <c r="AO566" s="16"/>
      <c r="AP566" s="16"/>
      <c r="AQ566" s="61"/>
    </row>
    <row r="567" ht="12.75" customHeight="1">
      <c r="A567" s="15"/>
      <c r="B567" s="162"/>
      <c r="C567" s="162"/>
      <c r="D567" s="162"/>
      <c r="E567" s="162"/>
      <c r="F567" s="162"/>
      <c r="G567" s="162"/>
      <c r="H567" s="151"/>
      <c r="I567" s="151"/>
      <c r="J567" s="151"/>
      <c r="K567" s="151"/>
      <c r="L567" s="163"/>
      <c r="M567" s="164"/>
      <c r="N567" s="164"/>
      <c r="O567" s="165"/>
      <c r="P567" s="48"/>
      <c r="Q567" s="107"/>
      <c r="R567" s="107"/>
      <c r="S567" s="107"/>
      <c r="T567" s="107"/>
      <c r="U567" s="16"/>
      <c r="V567" s="16"/>
      <c r="W567" s="16"/>
      <c r="X567" s="16"/>
      <c r="Y567" s="16"/>
      <c r="Z567" s="16"/>
      <c r="AA567" s="16"/>
      <c r="AB567" s="16"/>
      <c r="AC567" s="16"/>
      <c r="AD567" s="55"/>
      <c r="AE567" s="56"/>
      <c r="AF567" s="57"/>
      <c r="AG567" s="57"/>
      <c r="AH567" s="57"/>
      <c r="AI567" s="57"/>
      <c r="AJ567" s="58"/>
      <c r="AK567" s="58"/>
      <c r="AL567" s="58"/>
      <c r="AM567" s="59"/>
      <c r="AN567" s="60"/>
      <c r="AO567" s="16"/>
      <c r="AP567" s="16"/>
      <c r="AQ567" s="61"/>
    </row>
    <row r="568" ht="12.75" customHeight="1">
      <c r="A568" s="15"/>
      <c r="B568" s="162"/>
      <c r="C568" s="162"/>
      <c r="D568" s="162"/>
      <c r="E568" s="162"/>
      <c r="F568" s="162"/>
      <c r="G568" s="162"/>
      <c r="H568" s="151"/>
      <c r="I568" s="151"/>
      <c r="J568" s="151"/>
      <c r="K568" s="151"/>
      <c r="L568" s="163"/>
      <c r="M568" s="164"/>
      <c r="N568" s="164"/>
      <c r="O568" s="165"/>
      <c r="P568" s="48"/>
      <c r="Q568" s="107"/>
      <c r="R568" s="107"/>
      <c r="S568" s="107"/>
      <c r="T568" s="107"/>
      <c r="U568" s="16"/>
      <c r="V568" s="16"/>
      <c r="W568" s="16"/>
      <c r="X568" s="16"/>
      <c r="Y568" s="16"/>
      <c r="Z568" s="16"/>
      <c r="AA568" s="16"/>
      <c r="AB568" s="16"/>
      <c r="AC568" s="16"/>
      <c r="AD568" s="55"/>
      <c r="AE568" s="56"/>
      <c r="AF568" s="57"/>
      <c r="AG568" s="57"/>
      <c r="AH568" s="57"/>
      <c r="AI568" s="57"/>
      <c r="AJ568" s="58"/>
      <c r="AK568" s="58"/>
      <c r="AL568" s="58"/>
      <c r="AM568" s="59"/>
      <c r="AN568" s="60"/>
      <c r="AO568" s="16"/>
      <c r="AP568" s="16"/>
      <c r="AQ568" s="61"/>
    </row>
    <row r="569" ht="12.75" customHeight="1">
      <c r="A569" s="15"/>
      <c r="B569" s="162"/>
      <c r="C569" s="162"/>
      <c r="D569" s="162"/>
      <c r="E569" s="162"/>
      <c r="F569" s="162"/>
      <c r="G569" s="162"/>
      <c r="H569" s="151"/>
      <c r="I569" s="151"/>
      <c r="J569" s="151"/>
      <c r="K569" s="151"/>
      <c r="L569" s="163"/>
      <c r="M569" s="164"/>
      <c r="N569" s="164"/>
      <c r="O569" s="165"/>
      <c r="P569" s="48"/>
      <c r="Q569" s="107"/>
      <c r="R569" s="107"/>
      <c r="S569" s="107"/>
      <c r="T569" s="107"/>
      <c r="U569" s="16"/>
      <c r="V569" s="16"/>
      <c r="W569" s="16"/>
      <c r="X569" s="16"/>
      <c r="Y569" s="16"/>
      <c r="Z569" s="16"/>
      <c r="AA569" s="16"/>
      <c r="AB569" s="16"/>
      <c r="AC569" s="16"/>
      <c r="AD569" s="55"/>
      <c r="AE569" s="56"/>
      <c r="AF569" s="57"/>
      <c r="AG569" s="57"/>
      <c r="AH569" s="57"/>
      <c r="AI569" s="57"/>
      <c r="AJ569" s="58"/>
      <c r="AK569" s="58"/>
      <c r="AL569" s="58"/>
      <c r="AM569" s="59"/>
      <c r="AN569" s="60"/>
      <c r="AO569" s="16"/>
      <c r="AP569" s="16"/>
      <c r="AQ569" s="61"/>
    </row>
    <row r="570" ht="12.75" customHeight="1">
      <c r="A570" s="15"/>
      <c r="B570" s="162"/>
      <c r="C570" s="162"/>
      <c r="D570" s="162"/>
      <c r="E570" s="162"/>
      <c r="F570" s="162"/>
      <c r="G570" s="162"/>
      <c r="H570" s="151"/>
      <c r="I570" s="151"/>
      <c r="J570" s="151"/>
      <c r="K570" s="151"/>
      <c r="L570" s="163"/>
      <c r="M570" s="164"/>
      <c r="N570" s="164"/>
      <c r="O570" s="165"/>
      <c r="P570" s="48"/>
      <c r="Q570" s="107"/>
      <c r="R570" s="107"/>
      <c r="S570" s="107"/>
      <c r="T570" s="107"/>
      <c r="U570" s="16"/>
      <c r="V570" s="16"/>
      <c r="W570" s="16"/>
      <c r="X570" s="16"/>
      <c r="Y570" s="16"/>
      <c r="Z570" s="16"/>
      <c r="AA570" s="16"/>
      <c r="AB570" s="16"/>
      <c r="AC570" s="16"/>
      <c r="AD570" s="55"/>
      <c r="AE570" s="56"/>
      <c r="AF570" s="57"/>
      <c r="AG570" s="57"/>
      <c r="AH570" s="57"/>
      <c r="AI570" s="57"/>
      <c r="AJ570" s="58"/>
      <c r="AK570" s="58"/>
      <c r="AL570" s="58"/>
      <c r="AM570" s="59"/>
      <c r="AN570" s="60"/>
      <c r="AO570" s="16"/>
      <c r="AP570" s="16"/>
      <c r="AQ570" s="61"/>
    </row>
    <row r="571" ht="12.75" customHeight="1">
      <c r="A571" s="15"/>
      <c r="B571" s="162"/>
      <c r="C571" s="162"/>
      <c r="D571" s="162"/>
      <c r="E571" s="162"/>
      <c r="F571" s="162"/>
      <c r="G571" s="162"/>
      <c r="H571" s="151"/>
      <c r="I571" s="151"/>
      <c r="J571" s="151"/>
      <c r="K571" s="151"/>
      <c r="L571" s="163"/>
      <c r="M571" s="164"/>
      <c r="N571" s="164"/>
      <c r="O571" s="165"/>
      <c r="P571" s="48"/>
      <c r="Q571" s="107"/>
      <c r="R571" s="107"/>
      <c r="S571" s="107"/>
      <c r="T571" s="107"/>
      <c r="U571" s="16"/>
      <c r="V571" s="16"/>
      <c r="W571" s="16"/>
      <c r="X571" s="16"/>
      <c r="Y571" s="16"/>
      <c r="Z571" s="16"/>
      <c r="AA571" s="16"/>
      <c r="AB571" s="16"/>
      <c r="AC571" s="16"/>
      <c r="AD571" s="55"/>
      <c r="AE571" s="56"/>
      <c r="AF571" s="57"/>
      <c r="AG571" s="57"/>
      <c r="AH571" s="57"/>
      <c r="AI571" s="57"/>
      <c r="AJ571" s="58"/>
      <c r="AK571" s="58"/>
      <c r="AL571" s="58"/>
      <c r="AM571" s="59"/>
      <c r="AN571" s="60"/>
      <c r="AO571" s="16"/>
      <c r="AP571" s="16"/>
      <c r="AQ571" s="61"/>
    </row>
    <row r="572" ht="12.75" customHeight="1">
      <c r="A572" s="15"/>
      <c r="B572" s="162"/>
      <c r="C572" s="162"/>
      <c r="D572" s="162"/>
      <c r="E572" s="162"/>
      <c r="F572" s="162"/>
      <c r="G572" s="162"/>
      <c r="H572" s="151"/>
      <c r="I572" s="151"/>
      <c r="J572" s="151"/>
      <c r="K572" s="151"/>
      <c r="L572" s="163"/>
      <c r="M572" s="164"/>
      <c r="N572" s="164"/>
      <c r="O572" s="165"/>
      <c r="P572" s="48"/>
      <c r="Q572" s="107"/>
      <c r="R572" s="107"/>
      <c r="S572" s="107"/>
      <c r="T572" s="107"/>
      <c r="U572" s="16"/>
      <c r="V572" s="16"/>
      <c r="W572" s="16"/>
      <c r="X572" s="16"/>
      <c r="Y572" s="16"/>
      <c r="Z572" s="16"/>
      <c r="AA572" s="16"/>
      <c r="AB572" s="16"/>
      <c r="AC572" s="16"/>
      <c r="AD572" s="55"/>
      <c r="AE572" s="56"/>
      <c r="AF572" s="57"/>
      <c r="AG572" s="57"/>
      <c r="AH572" s="57"/>
      <c r="AI572" s="57"/>
      <c r="AJ572" s="58"/>
      <c r="AK572" s="58"/>
      <c r="AL572" s="58"/>
      <c r="AM572" s="59"/>
      <c r="AN572" s="60"/>
      <c r="AO572" s="16"/>
      <c r="AP572" s="16"/>
      <c r="AQ572" s="61"/>
    </row>
    <row r="573" ht="12.75" customHeight="1">
      <c r="A573" s="15"/>
      <c r="B573" s="162"/>
      <c r="C573" s="162"/>
      <c r="D573" s="162"/>
      <c r="E573" s="162"/>
      <c r="F573" s="162"/>
      <c r="G573" s="162"/>
      <c r="H573" s="151"/>
      <c r="I573" s="151"/>
      <c r="J573" s="151"/>
      <c r="K573" s="151"/>
      <c r="L573" s="163"/>
      <c r="M573" s="164"/>
      <c r="N573" s="164"/>
      <c r="O573" s="165"/>
      <c r="P573" s="48"/>
      <c r="Q573" s="107"/>
      <c r="R573" s="107"/>
      <c r="S573" s="107"/>
      <c r="T573" s="107"/>
      <c r="U573" s="16"/>
      <c r="V573" s="16"/>
      <c r="W573" s="16"/>
      <c r="X573" s="16"/>
      <c r="Y573" s="16"/>
      <c r="Z573" s="16"/>
      <c r="AA573" s="16"/>
      <c r="AB573" s="16"/>
      <c r="AC573" s="16"/>
      <c r="AD573" s="55"/>
      <c r="AE573" s="56"/>
      <c r="AF573" s="57"/>
      <c r="AG573" s="57"/>
      <c r="AH573" s="57"/>
      <c r="AI573" s="57"/>
      <c r="AJ573" s="58"/>
      <c r="AK573" s="58"/>
      <c r="AL573" s="58"/>
      <c r="AM573" s="59"/>
      <c r="AN573" s="60"/>
      <c r="AO573" s="16"/>
      <c r="AP573" s="16"/>
      <c r="AQ573" s="61"/>
    </row>
    <row r="574" ht="12.75" customHeight="1">
      <c r="A574" s="15"/>
      <c r="B574" s="162"/>
      <c r="C574" s="162"/>
      <c r="D574" s="162"/>
      <c r="E574" s="162"/>
      <c r="F574" s="162"/>
      <c r="G574" s="162"/>
      <c r="H574" s="151"/>
      <c r="I574" s="151"/>
      <c r="J574" s="151"/>
      <c r="K574" s="151"/>
      <c r="L574" s="163"/>
      <c r="M574" s="164"/>
      <c r="N574" s="164"/>
      <c r="O574" s="165"/>
      <c r="P574" s="48"/>
      <c r="Q574" s="107"/>
      <c r="R574" s="107"/>
      <c r="S574" s="107"/>
      <c r="T574" s="107"/>
      <c r="U574" s="16"/>
      <c r="V574" s="16"/>
      <c r="W574" s="16"/>
      <c r="X574" s="16"/>
      <c r="Y574" s="16"/>
      <c r="Z574" s="16"/>
      <c r="AA574" s="16"/>
      <c r="AB574" s="16"/>
      <c r="AC574" s="16"/>
      <c r="AD574" s="55"/>
      <c r="AE574" s="56"/>
      <c r="AF574" s="57"/>
      <c r="AG574" s="57"/>
      <c r="AH574" s="57"/>
      <c r="AI574" s="57"/>
      <c r="AJ574" s="58"/>
      <c r="AK574" s="58"/>
      <c r="AL574" s="58"/>
      <c r="AM574" s="59"/>
      <c r="AN574" s="60"/>
      <c r="AO574" s="16"/>
      <c r="AP574" s="16"/>
      <c r="AQ574" s="61"/>
    </row>
    <row r="575" ht="12.75" customHeight="1">
      <c r="A575" s="15"/>
      <c r="B575" s="162"/>
      <c r="C575" s="162"/>
      <c r="D575" s="162"/>
      <c r="E575" s="162"/>
      <c r="F575" s="162"/>
      <c r="G575" s="162"/>
      <c r="H575" s="151"/>
      <c r="I575" s="151"/>
      <c r="J575" s="151"/>
      <c r="K575" s="151"/>
      <c r="L575" s="163"/>
      <c r="M575" s="164"/>
      <c r="N575" s="164"/>
      <c r="O575" s="165"/>
      <c r="P575" s="48"/>
      <c r="Q575" s="107"/>
      <c r="R575" s="107"/>
      <c r="S575" s="107"/>
      <c r="T575" s="107"/>
      <c r="U575" s="16"/>
      <c r="V575" s="16"/>
      <c r="W575" s="16"/>
      <c r="X575" s="16"/>
      <c r="Y575" s="16"/>
      <c r="Z575" s="16"/>
      <c r="AA575" s="16"/>
      <c r="AB575" s="16"/>
      <c r="AC575" s="16"/>
      <c r="AD575" s="55"/>
      <c r="AE575" s="56"/>
      <c r="AF575" s="57"/>
      <c r="AG575" s="57"/>
      <c r="AH575" s="57"/>
      <c r="AI575" s="57"/>
      <c r="AJ575" s="58"/>
      <c r="AK575" s="58"/>
      <c r="AL575" s="58"/>
      <c r="AM575" s="59"/>
      <c r="AN575" s="60"/>
      <c r="AO575" s="16"/>
      <c r="AP575" s="16"/>
      <c r="AQ575" s="61"/>
    </row>
    <row r="576" ht="12.75" customHeight="1">
      <c r="A576" s="15"/>
      <c r="B576" s="162"/>
      <c r="C576" s="162"/>
      <c r="D576" s="162"/>
      <c r="E576" s="162"/>
      <c r="F576" s="162"/>
      <c r="G576" s="162"/>
      <c r="H576" s="151"/>
      <c r="I576" s="151"/>
      <c r="J576" s="151"/>
      <c r="K576" s="151"/>
      <c r="L576" s="163"/>
      <c r="M576" s="164"/>
      <c r="N576" s="164"/>
      <c r="O576" s="165"/>
      <c r="P576" s="48"/>
      <c r="Q576" s="107"/>
      <c r="R576" s="107"/>
      <c r="S576" s="107"/>
      <c r="T576" s="107"/>
      <c r="U576" s="16"/>
      <c r="V576" s="16"/>
      <c r="W576" s="16"/>
      <c r="X576" s="16"/>
      <c r="Y576" s="16"/>
      <c r="Z576" s="16"/>
      <c r="AA576" s="16"/>
      <c r="AB576" s="16"/>
      <c r="AC576" s="16"/>
      <c r="AD576" s="55"/>
      <c r="AE576" s="56"/>
      <c r="AF576" s="57"/>
      <c r="AG576" s="57"/>
      <c r="AH576" s="57"/>
      <c r="AI576" s="57"/>
      <c r="AJ576" s="58"/>
      <c r="AK576" s="58"/>
      <c r="AL576" s="58"/>
      <c r="AM576" s="59"/>
      <c r="AN576" s="60"/>
      <c r="AO576" s="16"/>
      <c r="AP576" s="16"/>
      <c r="AQ576" s="61"/>
    </row>
    <row r="577" ht="12.75" customHeight="1">
      <c r="A577" s="15"/>
      <c r="B577" s="162"/>
      <c r="C577" s="162"/>
      <c r="D577" s="162"/>
      <c r="E577" s="162"/>
      <c r="F577" s="162"/>
      <c r="G577" s="162"/>
      <c r="H577" s="151"/>
      <c r="I577" s="151"/>
      <c r="J577" s="151"/>
      <c r="K577" s="151"/>
      <c r="L577" s="163"/>
      <c r="M577" s="164"/>
      <c r="N577" s="164"/>
      <c r="O577" s="165"/>
      <c r="P577" s="48"/>
      <c r="Q577" s="107"/>
      <c r="R577" s="107"/>
      <c r="S577" s="107"/>
      <c r="T577" s="107"/>
      <c r="U577" s="16"/>
      <c r="V577" s="16"/>
      <c r="W577" s="16"/>
      <c r="X577" s="16"/>
      <c r="Y577" s="16"/>
      <c r="Z577" s="16"/>
      <c r="AA577" s="16"/>
      <c r="AB577" s="16"/>
      <c r="AC577" s="16"/>
      <c r="AD577" s="55"/>
      <c r="AE577" s="56"/>
      <c r="AF577" s="57"/>
      <c r="AG577" s="57"/>
      <c r="AH577" s="57"/>
      <c r="AI577" s="57"/>
      <c r="AJ577" s="58"/>
      <c r="AK577" s="58"/>
      <c r="AL577" s="58"/>
      <c r="AM577" s="59"/>
      <c r="AN577" s="60"/>
      <c r="AO577" s="16"/>
      <c r="AP577" s="16"/>
      <c r="AQ577" s="61"/>
    </row>
    <row r="578" ht="12.75" customHeight="1">
      <c r="A578" s="15"/>
      <c r="B578" s="162"/>
      <c r="C578" s="162"/>
      <c r="D578" s="162"/>
      <c r="E578" s="162"/>
      <c r="F578" s="162"/>
      <c r="G578" s="162"/>
      <c r="H578" s="151"/>
      <c r="I578" s="151"/>
      <c r="J578" s="151"/>
      <c r="K578" s="151"/>
      <c r="L578" s="163"/>
      <c r="M578" s="164"/>
      <c r="N578" s="164"/>
      <c r="O578" s="165"/>
      <c r="P578" s="48"/>
      <c r="Q578" s="107"/>
      <c r="R578" s="107"/>
      <c r="S578" s="107"/>
      <c r="T578" s="107"/>
      <c r="U578" s="16"/>
      <c r="V578" s="16"/>
      <c r="W578" s="16"/>
      <c r="X578" s="16"/>
      <c r="Y578" s="16"/>
      <c r="Z578" s="16"/>
      <c r="AA578" s="16"/>
      <c r="AB578" s="16"/>
      <c r="AC578" s="16"/>
      <c r="AD578" s="55"/>
      <c r="AE578" s="56"/>
      <c r="AF578" s="57"/>
      <c r="AG578" s="57"/>
      <c r="AH578" s="57"/>
      <c r="AI578" s="57"/>
      <c r="AJ578" s="58"/>
      <c r="AK578" s="58"/>
      <c r="AL578" s="58"/>
      <c r="AM578" s="59"/>
      <c r="AN578" s="60"/>
      <c r="AO578" s="16"/>
      <c r="AP578" s="16"/>
      <c r="AQ578" s="61"/>
    </row>
    <row r="579" ht="12.75" customHeight="1">
      <c r="A579" s="15"/>
      <c r="B579" s="162"/>
      <c r="C579" s="162"/>
      <c r="D579" s="162"/>
      <c r="E579" s="162"/>
      <c r="F579" s="162"/>
      <c r="G579" s="162"/>
      <c r="H579" s="151"/>
      <c r="I579" s="151"/>
      <c r="J579" s="151"/>
      <c r="K579" s="151"/>
      <c r="L579" s="163"/>
      <c r="M579" s="164"/>
      <c r="N579" s="164"/>
      <c r="O579" s="165"/>
      <c r="P579" s="48"/>
      <c r="Q579" s="107"/>
      <c r="R579" s="107"/>
      <c r="S579" s="107"/>
      <c r="T579" s="107"/>
      <c r="U579" s="16"/>
      <c r="V579" s="16"/>
      <c r="W579" s="16"/>
      <c r="X579" s="16"/>
      <c r="Y579" s="16"/>
      <c r="Z579" s="16"/>
      <c r="AA579" s="16"/>
      <c r="AB579" s="16"/>
      <c r="AC579" s="16"/>
      <c r="AD579" s="55"/>
      <c r="AE579" s="56"/>
      <c r="AF579" s="57"/>
      <c r="AG579" s="57"/>
      <c r="AH579" s="57"/>
      <c r="AI579" s="57"/>
      <c r="AJ579" s="58"/>
      <c r="AK579" s="58"/>
      <c r="AL579" s="58"/>
      <c r="AM579" s="59"/>
      <c r="AN579" s="60"/>
      <c r="AO579" s="16"/>
      <c r="AP579" s="16"/>
      <c r="AQ579" s="61"/>
    </row>
    <row r="580" ht="12.75" customHeight="1">
      <c r="A580" s="15"/>
      <c r="B580" s="162"/>
      <c r="C580" s="162"/>
      <c r="D580" s="162"/>
      <c r="E580" s="162"/>
      <c r="F580" s="162"/>
      <c r="G580" s="162"/>
      <c r="H580" s="151"/>
      <c r="I580" s="151"/>
      <c r="J580" s="151"/>
      <c r="K580" s="151"/>
      <c r="L580" s="163"/>
      <c r="M580" s="164"/>
      <c r="N580" s="164"/>
      <c r="O580" s="165"/>
      <c r="P580" s="48"/>
      <c r="Q580" s="107"/>
      <c r="R580" s="107"/>
      <c r="S580" s="107"/>
      <c r="T580" s="107"/>
      <c r="U580" s="16"/>
      <c r="V580" s="16"/>
      <c r="W580" s="16"/>
      <c r="X580" s="16"/>
      <c r="Y580" s="16"/>
      <c r="Z580" s="16"/>
      <c r="AA580" s="16"/>
      <c r="AB580" s="16"/>
      <c r="AC580" s="16"/>
      <c r="AD580" s="55"/>
      <c r="AE580" s="56"/>
      <c r="AF580" s="57"/>
      <c r="AG580" s="57"/>
      <c r="AH580" s="57"/>
      <c r="AI580" s="57"/>
      <c r="AJ580" s="58"/>
      <c r="AK580" s="58"/>
      <c r="AL580" s="58"/>
      <c r="AM580" s="59"/>
      <c r="AN580" s="60"/>
      <c r="AO580" s="16"/>
      <c r="AP580" s="16"/>
      <c r="AQ580" s="61"/>
    </row>
    <row r="581" ht="12.75" customHeight="1">
      <c r="A581" s="15"/>
      <c r="B581" s="162"/>
      <c r="C581" s="162"/>
      <c r="D581" s="162"/>
      <c r="E581" s="162"/>
      <c r="F581" s="162"/>
      <c r="G581" s="162"/>
      <c r="H581" s="151"/>
      <c r="I581" s="151"/>
      <c r="J581" s="151"/>
      <c r="K581" s="151"/>
      <c r="L581" s="163"/>
      <c r="M581" s="164"/>
      <c r="N581" s="164"/>
      <c r="O581" s="165"/>
      <c r="P581" s="48"/>
      <c r="Q581" s="107"/>
      <c r="R581" s="107"/>
      <c r="S581" s="107"/>
      <c r="T581" s="107"/>
      <c r="U581" s="16"/>
      <c r="V581" s="16"/>
      <c r="W581" s="16"/>
      <c r="X581" s="16"/>
      <c r="Y581" s="16"/>
      <c r="Z581" s="16"/>
      <c r="AA581" s="16"/>
      <c r="AB581" s="16"/>
      <c r="AC581" s="16"/>
      <c r="AD581" s="55"/>
      <c r="AE581" s="56"/>
      <c r="AF581" s="57"/>
      <c r="AG581" s="57"/>
      <c r="AH581" s="57"/>
      <c r="AI581" s="57"/>
      <c r="AJ581" s="58"/>
      <c r="AK581" s="58"/>
      <c r="AL581" s="58"/>
      <c r="AM581" s="59"/>
      <c r="AN581" s="60"/>
      <c r="AO581" s="16"/>
      <c r="AP581" s="16"/>
      <c r="AQ581" s="61"/>
    </row>
    <row r="582" ht="12.75" customHeight="1">
      <c r="A582" s="15"/>
      <c r="B582" s="162"/>
      <c r="C582" s="162"/>
      <c r="D582" s="162"/>
      <c r="E582" s="162"/>
      <c r="F582" s="162"/>
      <c r="G582" s="162"/>
      <c r="H582" s="151"/>
      <c r="I582" s="151"/>
      <c r="J582" s="151"/>
      <c r="K582" s="151"/>
      <c r="L582" s="163"/>
      <c r="M582" s="164"/>
      <c r="N582" s="164"/>
      <c r="O582" s="165"/>
      <c r="P582" s="48"/>
      <c r="Q582" s="107"/>
      <c r="R582" s="107"/>
      <c r="S582" s="107"/>
      <c r="T582" s="107"/>
      <c r="U582" s="16"/>
      <c r="V582" s="16"/>
      <c r="W582" s="16"/>
      <c r="X582" s="16"/>
      <c r="Y582" s="16"/>
      <c r="Z582" s="16"/>
      <c r="AA582" s="16"/>
      <c r="AB582" s="16"/>
      <c r="AC582" s="16"/>
      <c r="AD582" s="55"/>
      <c r="AE582" s="56"/>
      <c r="AF582" s="57"/>
      <c r="AG582" s="57"/>
      <c r="AH582" s="57"/>
      <c r="AI582" s="57"/>
      <c r="AJ582" s="58"/>
      <c r="AK582" s="58"/>
      <c r="AL582" s="58"/>
      <c r="AM582" s="59"/>
      <c r="AN582" s="60"/>
      <c r="AO582" s="16"/>
      <c r="AP582" s="16"/>
      <c r="AQ582" s="61"/>
    </row>
    <row r="583" ht="12.75" customHeight="1">
      <c r="A583" s="15"/>
      <c r="B583" s="162"/>
      <c r="C583" s="162"/>
      <c r="D583" s="162"/>
      <c r="E583" s="162"/>
      <c r="F583" s="162"/>
      <c r="G583" s="162"/>
      <c r="H583" s="151"/>
      <c r="I583" s="151"/>
      <c r="J583" s="151"/>
      <c r="K583" s="151"/>
      <c r="L583" s="163"/>
      <c r="M583" s="164"/>
      <c r="N583" s="164"/>
      <c r="O583" s="165"/>
      <c r="P583" s="48"/>
      <c r="Q583" s="107"/>
      <c r="R583" s="107"/>
      <c r="S583" s="107"/>
      <c r="T583" s="107"/>
      <c r="U583" s="16"/>
      <c r="V583" s="16"/>
      <c r="W583" s="16"/>
      <c r="X583" s="16"/>
      <c r="Y583" s="16"/>
      <c r="Z583" s="16"/>
      <c r="AA583" s="16"/>
      <c r="AB583" s="16"/>
      <c r="AC583" s="16"/>
      <c r="AD583" s="55"/>
      <c r="AE583" s="56"/>
      <c r="AF583" s="57"/>
      <c r="AG583" s="57"/>
      <c r="AH583" s="57"/>
      <c r="AI583" s="57"/>
      <c r="AJ583" s="58"/>
      <c r="AK583" s="58"/>
      <c r="AL583" s="58"/>
      <c r="AM583" s="59"/>
      <c r="AN583" s="60"/>
      <c r="AO583" s="16"/>
      <c r="AP583" s="16"/>
      <c r="AQ583" s="61"/>
    </row>
    <row r="584" ht="12.75" customHeight="1">
      <c r="A584" s="15"/>
      <c r="B584" s="162"/>
      <c r="C584" s="162"/>
      <c r="D584" s="162"/>
      <c r="E584" s="162"/>
      <c r="F584" s="162"/>
      <c r="G584" s="162"/>
      <c r="H584" s="151"/>
      <c r="I584" s="151"/>
      <c r="J584" s="151"/>
      <c r="K584" s="151"/>
      <c r="L584" s="163"/>
      <c r="M584" s="164"/>
      <c r="N584" s="164"/>
      <c r="O584" s="165"/>
      <c r="P584" s="48"/>
      <c r="Q584" s="107"/>
      <c r="R584" s="107"/>
      <c r="S584" s="107"/>
      <c r="T584" s="107"/>
      <c r="U584" s="16"/>
      <c r="V584" s="16"/>
      <c r="W584" s="16"/>
      <c r="X584" s="16"/>
      <c r="Y584" s="16"/>
      <c r="Z584" s="16"/>
      <c r="AA584" s="16"/>
      <c r="AB584" s="16"/>
      <c r="AC584" s="16"/>
      <c r="AD584" s="55"/>
      <c r="AE584" s="56"/>
      <c r="AF584" s="57"/>
      <c r="AG584" s="57"/>
      <c r="AH584" s="57"/>
      <c r="AI584" s="57"/>
      <c r="AJ584" s="58"/>
      <c r="AK584" s="58"/>
      <c r="AL584" s="58"/>
      <c r="AM584" s="59"/>
      <c r="AN584" s="60"/>
      <c r="AO584" s="16"/>
      <c r="AP584" s="16"/>
      <c r="AQ584" s="61"/>
    </row>
    <row r="585" ht="12.75" customHeight="1">
      <c r="A585" s="15"/>
      <c r="B585" s="162"/>
      <c r="C585" s="162"/>
      <c r="D585" s="162"/>
      <c r="E585" s="162"/>
      <c r="F585" s="162"/>
      <c r="G585" s="162"/>
      <c r="H585" s="151"/>
      <c r="I585" s="151"/>
      <c r="J585" s="151"/>
      <c r="K585" s="151"/>
      <c r="L585" s="163"/>
      <c r="M585" s="164"/>
      <c r="N585" s="164"/>
      <c r="O585" s="165"/>
      <c r="P585" s="48"/>
      <c r="Q585" s="107"/>
      <c r="R585" s="107"/>
      <c r="S585" s="107"/>
      <c r="T585" s="107"/>
      <c r="U585" s="16"/>
      <c r="V585" s="16"/>
      <c r="W585" s="16"/>
      <c r="X585" s="16"/>
      <c r="Y585" s="16"/>
      <c r="Z585" s="16"/>
      <c r="AA585" s="16"/>
      <c r="AB585" s="16"/>
      <c r="AC585" s="16"/>
      <c r="AD585" s="55"/>
      <c r="AE585" s="56"/>
      <c r="AF585" s="57"/>
      <c r="AG585" s="57"/>
      <c r="AH585" s="57"/>
      <c r="AI585" s="57"/>
      <c r="AJ585" s="58"/>
      <c r="AK585" s="58"/>
      <c r="AL585" s="58"/>
      <c r="AM585" s="59"/>
      <c r="AN585" s="60"/>
      <c r="AO585" s="16"/>
      <c r="AP585" s="16"/>
      <c r="AQ585" s="61"/>
    </row>
    <row r="586" ht="12.75" customHeight="1">
      <c r="A586" s="15"/>
      <c r="B586" s="162"/>
      <c r="C586" s="162"/>
      <c r="D586" s="162"/>
      <c r="E586" s="162"/>
      <c r="F586" s="162"/>
      <c r="G586" s="162"/>
      <c r="H586" s="151"/>
      <c r="I586" s="151"/>
      <c r="J586" s="151"/>
      <c r="K586" s="151"/>
      <c r="L586" s="163"/>
      <c r="M586" s="164"/>
      <c r="N586" s="164"/>
      <c r="O586" s="165"/>
      <c r="P586" s="48"/>
      <c r="Q586" s="107"/>
      <c r="R586" s="107"/>
      <c r="S586" s="107"/>
      <c r="T586" s="107"/>
      <c r="U586" s="16"/>
      <c r="V586" s="16"/>
      <c r="W586" s="16"/>
      <c r="X586" s="16"/>
      <c r="Y586" s="16"/>
      <c r="Z586" s="16"/>
      <c r="AA586" s="16"/>
      <c r="AB586" s="16"/>
      <c r="AC586" s="16"/>
      <c r="AD586" s="55"/>
      <c r="AE586" s="56"/>
      <c r="AF586" s="57"/>
      <c r="AG586" s="57"/>
      <c r="AH586" s="57"/>
      <c r="AI586" s="57"/>
      <c r="AJ586" s="58"/>
      <c r="AK586" s="58"/>
      <c r="AL586" s="58"/>
      <c r="AM586" s="59"/>
      <c r="AN586" s="60"/>
      <c r="AO586" s="16"/>
      <c r="AP586" s="16"/>
      <c r="AQ586" s="61"/>
    </row>
    <row r="587" ht="12.75" customHeight="1">
      <c r="A587" s="15"/>
      <c r="B587" s="162"/>
      <c r="C587" s="162"/>
      <c r="D587" s="162"/>
      <c r="E587" s="162"/>
      <c r="F587" s="162"/>
      <c r="G587" s="162"/>
      <c r="H587" s="151"/>
      <c r="I587" s="151"/>
      <c r="J587" s="151"/>
      <c r="K587" s="151"/>
      <c r="L587" s="163"/>
      <c r="M587" s="164"/>
      <c r="N587" s="164"/>
      <c r="O587" s="165"/>
      <c r="P587" s="48"/>
      <c r="Q587" s="107"/>
      <c r="R587" s="107"/>
      <c r="S587" s="107"/>
      <c r="T587" s="107"/>
      <c r="U587" s="16"/>
      <c r="V587" s="16"/>
      <c r="W587" s="16"/>
      <c r="X587" s="16"/>
      <c r="Y587" s="16"/>
      <c r="Z587" s="16"/>
      <c r="AA587" s="16"/>
      <c r="AB587" s="16"/>
      <c r="AC587" s="16"/>
      <c r="AD587" s="55"/>
      <c r="AE587" s="56"/>
      <c r="AF587" s="57"/>
      <c r="AG587" s="57"/>
      <c r="AH587" s="57"/>
      <c r="AI587" s="57"/>
      <c r="AJ587" s="58"/>
      <c r="AK587" s="58"/>
      <c r="AL587" s="58"/>
      <c r="AM587" s="59"/>
      <c r="AN587" s="60"/>
      <c r="AO587" s="16"/>
      <c r="AP587" s="16"/>
      <c r="AQ587" s="61"/>
    </row>
    <row r="588" ht="12.75" customHeight="1">
      <c r="A588" s="15"/>
      <c r="B588" s="162"/>
      <c r="C588" s="162"/>
      <c r="D588" s="162"/>
      <c r="E588" s="162"/>
      <c r="F588" s="162"/>
      <c r="G588" s="162"/>
      <c r="H588" s="151"/>
      <c r="I588" s="151"/>
      <c r="J588" s="151"/>
      <c r="K588" s="151"/>
      <c r="L588" s="163"/>
      <c r="M588" s="164"/>
      <c r="N588" s="164"/>
      <c r="O588" s="165"/>
      <c r="P588" s="48"/>
      <c r="Q588" s="107"/>
      <c r="R588" s="107"/>
      <c r="S588" s="107"/>
      <c r="T588" s="107"/>
      <c r="U588" s="16"/>
      <c r="V588" s="16"/>
      <c r="W588" s="16"/>
      <c r="X588" s="16"/>
      <c r="Y588" s="16"/>
      <c r="Z588" s="16"/>
      <c r="AA588" s="16"/>
      <c r="AB588" s="16"/>
      <c r="AC588" s="16"/>
      <c r="AD588" s="55"/>
      <c r="AE588" s="56"/>
      <c r="AF588" s="57"/>
      <c r="AG588" s="57"/>
      <c r="AH588" s="57"/>
      <c r="AI588" s="57"/>
      <c r="AJ588" s="58"/>
      <c r="AK588" s="58"/>
      <c r="AL588" s="58"/>
      <c r="AM588" s="59"/>
      <c r="AN588" s="60"/>
      <c r="AO588" s="16"/>
      <c r="AP588" s="16"/>
      <c r="AQ588" s="61"/>
    </row>
    <row r="589" ht="12.75" customHeight="1">
      <c r="A589" s="15"/>
      <c r="B589" s="162"/>
      <c r="C589" s="162"/>
      <c r="D589" s="162"/>
      <c r="E589" s="162"/>
      <c r="F589" s="162"/>
      <c r="G589" s="162"/>
      <c r="H589" s="151"/>
      <c r="I589" s="151"/>
      <c r="J589" s="151"/>
      <c r="K589" s="151"/>
      <c r="L589" s="163"/>
      <c r="M589" s="164"/>
      <c r="N589" s="164"/>
      <c r="O589" s="165"/>
      <c r="P589" s="48"/>
      <c r="Q589" s="107"/>
      <c r="R589" s="107"/>
      <c r="S589" s="107"/>
      <c r="T589" s="107"/>
      <c r="U589" s="16"/>
      <c r="V589" s="16"/>
      <c r="W589" s="16"/>
      <c r="X589" s="16"/>
      <c r="Y589" s="16"/>
      <c r="Z589" s="16"/>
      <c r="AA589" s="16"/>
      <c r="AB589" s="16"/>
      <c r="AC589" s="16"/>
      <c r="AD589" s="55"/>
      <c r="AE589" s="56"/>
      <c r="AF589" s="57"/>
      <c r="AG589" s="57"/>
      <c r="AH589" s="57"/>
      <c r="AI589" s="57"/>
      <c r="AJ589" s="58"/>
      <c r="AK589" s="58"/>
      <c r="AL589" s="58"/>
      <c r="AM589" s="59"/>
      <c r="AN589" s="60"/>
      <c r="AO589" s="16"/>
      <c r="AP589" s="16"/>
      <c r="AQ589" s="61"/>
    </row>
    <row r="590" ht="12.75" customHeight="1">
      <c r="A590" s="15"/>
      <c r="B590" s="162"/>
      <c r="C590" s="162"/>
      <c r="D590" s="162"/>
      <c r="E590" s="162"/>
      <c r="F590" s="162"/>
      <c r="G590" s="162"/>
      <c r="H590" s="151"/>
      <c r="I590" s="151"/>
      <c r="J590" s="151"/>
      <c r="K590" s="151"/>
      <c r="L590" s="163"/>
      <c r="M590" s="164"/>
      <c r="N590" s="164"/>
      <c r="O590" s="165"/>
      <c r="P590" s="48"/>
      <c r="Q590" s="107"/>
      <c r="R590" s="107"/>
      <c r="S590" s="107"/>
      <c r="T590" s="107"/>
      <c r="U590" s="16"/>
      <c r="V590" s="16"/>
      <c r="W590" s="16"/>
      <c r="X590" s="16"/>
      <c r="Y590" s="16"/>
      <c r="Z590" s="16"/>
      <c r="AA590" s="16"/>
      <c r="AB590" s="16"/>
      <c r="AC590" s="16"/>
      <c r="AD590" s="55"/>
      <c r="AE590" s="56"/>
      <c r="AF590" s="57"/>
      <c r="AG590" s="57"/>
      <c r="AH590" s="57"/>
      <c r="AI590" s="57"/>
      <c r="AJ590" s="58"/>
      <c r="AK590" s="58"/>
      <c r="AL590" s="58"/>
      <c r="AM590" s="59"/>
      <c r="AN590" s="60"/>
      <c r="AO590" s="16"/>
      <c r="AP590" s="16"/>
      <c r="AQ590" s="61"/>
    </row>
    <row r="591" ht="12.75" customHeight="1">
      <c r="A591" s="15"/>
      <c r="B591" s="162"/>
      <c r="C591" s="162"/>
      <c r="D591" s="162"/>
      <c r="E591" s="162"/>
      <c r="F591" s="162"/>
      <c r="G591" s="162"/>
      <c r="H591" s="151"/>
      <c r="I591" s="151"/>
      <c r="J591" s="151"/>
      <c r="K591" s="151"/>
      <c r="L591" s="163"/>
      <c r="M591" s="164"/>
      <c r="N591" s="164"/>
      <c r="O591" s="165"/>
      <c r="P591" s="48"/>
      <c r="Q591" s="107"/>
      <c r="R591" s="107"/>
      <c r="S591" s="107"/>
      <c r="T591" s="107"/>
      <c r="U591" s="16"/>
      <c r="V591" s="16"/>
      <c r="W591" s="16"/>
      <c r="X591" s="16"/>
      <c r="Y591" s="16"/>
      <c r="Z591" s="16"/>
      <c r="AA591" s="16"/>
      <c r="AB591" s="16"/>
      <c r="AC591" s="16"/>
      <c r="AD591" s="55"/>
      <c r="AE591" s="56"/>
      <c r="AF591" s="57"/>
      <c r="AG591" s="57"/>
      <c r="AH591" s="57"/>
      <c r="AI591" s="57"/>
      <c r="AJ591" s="58"/>
      <c r="AK591" s="58"/>
      <c r="AL591" s="58"/>
      <c r="AM591" s="59"/>
      <c r="AN591" s="60"/>
      <c r="AO591" s="16"/>
      <c r="AP591" s="16"/>
      <c r="AQ591" s="61"/>
    </row>
    <row r="592" ht="12.75" customHeight="1">
      <c r="A592" s="15"/>
      <c r="B592" s="162"/>
      <c r="C592" s="162"/>
      <c r="D592" s="162"/>
      <c r="E592" s="162"/>
      <c r="F592" s="162"/>
      <c r="G592" s="162"/>
      <c r="H592" s="151"/>
      <c r="I592" s="151"/>
      <c r="J592" s="151"/>
      <c r="K592" s="151"/>
      <c r="L592" s="163"/>
      <c r="M592" s="164"/>
      <c r="N592" s="164"/>
      <c r="O592" s="165"/>
      <c r="P592" s="48"/>
      <c r="Q592" s="107"/>
      <c r="R592" s="107"/>
      <c r="S592" s="107"/>
      <c r="T592" s="107"/>
      <c r="U592" s="16"/>
      <c r="V592" s="16"/>
      <c r="W592" s="16"/>
      <c r="X592" s="16"/>
      <c r="Y592" s="16"/>
      <c r="Z592" s="16"/>
      <c r="AA592" s="16"/>
      <c r="AB592" s="16"/>
      <c r="AC592" s="16"/>
      <c r="AD592" s="55"/>
      <c r="AE592" s="56"/>
      <c r="AF592" s="57"/>
      <c r="AG592" s="57"/>
      <c r="AH592" s="57"/>
      <c r="AI592" s="57"/>
      <c r="AJ592" s="58"/>
      <c r="AK592" s="58"/>
      <c r="AL592" s="58"/>
      <c r="AM592" s="59"/>
      <c r="AN592" s="60"/>
      <c r="AO592" s="16"/>
      <c r="AP592" s="16"/>
      <c r="AQ592" s="61"/>
    </row>
    <row r="593" ht="12.75" customHeight="1">
      <c r="A593" s="15"/>
      <c r="B593" s="162"/>
      <c r="C593" s="162"/>
      <c r="D593" s="162"/>
      <c r="E593" s="162"/>
      <c r="F593" s="162"/>
      <c r="G593" s="162"/>
      <c r="H593" s="151"/>
      <c r="I593" s="151"/>
      <c r="J593" s="151"/>
      <c r="K593" s="151"/>
      <c r="L593" s="163"/>
      <c r="M593" s="164"/>
      <c r="N593" s="164"/>
      <c r="O593" s="165"/>
      <c r="P593" s="48"/>
      <c r="Q593" s="107"/>
      <c r="R593" s="107"/>
      <c r="S593" s="107"/>
      <c r="T593" s="107"/>
      <c r="U593" s="16"/>
      <c r="V593" s="16"/>
      <c r="W593" s="16"/>
      <c r="X593" s="16"/>
      <c r="Y593" s="16"/>
      <c r="Z593" s="16"/>
      <c r="AA593" s="16"/>
      <c r="AB593" s="16"/>
      <c r="AC593" s="16"/>
      <c r="AD593" s="55"/>
      <c r="AE593" s="56"/>
      <c r="AF593" s="57"/>
      <c r="AG593" s="57"/>
      <c r="AH593" s="57"/>
      <c r="AI593" s="57"/>
      <c r="AJ593" s="58"/>
      <c r="AK593" s="58"/>
      <c r="AL593" s="58"/>
      <c r="AM593" s="59"/>
      <c r="AN593" s="60"/>
      <c r="AO593" s="16"/>
      <c r="AP593" s="16"/>
      <c r="AQ593" s="61"/>
    </row>
    <row r="594" ht="12.75" customHeight="1">
      <c r="A594" s="15"/>
      <c r="B594" s="162"/>
      <c r="C594" s="162"/>
      <c r="D594" s="162"/>
      <c r="E594" s="162"/>
      <c r="F594" s="162"/>
      <c r="G594" s="162"/>
      <c r="H594" s="151"/>
      <c r="I594" s="151"/>
      <c r="J594" s="151"/>
      <c r="K594" s="151"/>
      <c r="L594" s="163"/>
      <c r="M594" s="164"/>
      <c r="N594" s="164"/>
      <c r="O594" s="165"/>
      <c r="P594" s="48"/>
      <c r="Q594" s="107"/>
      <c r="R594" s="107"/>
      <c r="S594" s="107"/>
      <c r="T594" s="107"/>
      <c r="U594" s="16"/>
      <c r="V594" s="16"/>
      <c r="W594" s="16"/>
      <c r="X594" s="16"/>
      <c r="Y594" s="16"/>
      <c r="Z594" s="16"/>
      <c r="AA594" s="16"/>
      <c r="AB594" s="16"/>
      <c r="AC594" s="16"/>
      <c r="AD594" s="55"/>
      <c r="AE594" s="56"/>
      <c r="AF594" s="57"/>
      <c r="AG594" s="57"/>
      <c r="AH594" s="57"/>
      <c r="AI594" s="57"/>
      <c r="AJ594" s="58"/>
      <c r="AK594" s="58"/>
      <c r="AL594" s="58"/>
      <c r="AM594" s="59"/>
      <c r="AN594" s="60"/>
      <c r="AO594" s="16"/>
      <c r="AP594" s="16"/>
      <c r="AQ594" s="61"/>
    </row>
    <row r="595" ht="12.75" customHeight="1">
      <c r="A595" s="15"/>
      <c r="B595" s="162"/>
      <c r="C595" s="166"/>
      <c r="D595" s="166"/>
      <c r="E595" s="166"/>
      <c r="F595" s="166"/>
      <c r="G595" s="166"/>
      <c r="H595" s="151"/>
      <c r="I595" s="151"/>
      <c r="J595" s="151"/>
      <c r="K595" s="151"/>
      <c r="L595" s="163"/>
      <c r="M595" s="164"/>
      <c r="N595" s="164"/>
      <c r="O595" s="165"/>
      <c r="P595" s="48"/>
      <c r="Q595" s="107"/>
      <c r="R595" s="107"/>
      <c r="S595" s="107"/>
      <c r="T595" s="107"/>
      <c r="U595" s="16"/>
      <c r="V595" s="16"/>
      <c r="W595" s="16"/>
      <c r="X595" s="16"/>
      <c r="Y595" s="16"/>
      <c r="Z595" s="16"/>
      <c r="AA595" s="16"/>
      <c r="AB595" s="16"/>
      <c r="AC595" s="16"/>
      <c r="AD595" s="55"/>
      <c r="AE595" s="56"/>
      <c r="AF595" s="57"/>
      <c r="AG595" s="57"/>
      <c r="AH595" s="57"/>
      <c r="AI595" s="57"/>
      <c r="AJ595" s="58"/>
      <c r="AK595" s="58"/>
      <c r="AL595" s="58"/>
      <c r="AM595" s="59"/>
      <c r="AN595" s="60"/>
      <c r="AO595" s="16"/>
      <c r="AP595" s="16"/>
      <c r="AQ595" s="61"/>
    </row>
    <row r="596" ht="15.0" customHeight="1">
      <c r="A596" s="167"/>
      <c r="B596" s="168" t="s">
        <v>54</v>
      </c>
      <c r="C596" s="168" t="s">
        <v>55</v>
      </c>
      <c r="D596" s="169"/>
      <c r="E596" s="169"/>
      <c r="F596" s="169"/>
      <c r="G596" s="169"/>
      <c r="H596" s="169"/>
      <c r="I596" s="169"/>
      <c r="J596" s="170"/>
      <c r="K596" s="171"/>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61"/>
    </row>
    <row r="597" ht="12.75" customHeight="1">
      <c r="A597" s="15"/>
      <c r="B597" s="168" t="s">
        <v>56</v>
      </c>
      <c r="C597" s="168" t="s">
        <v>57</v>
      </c>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61"/>
    </row>
    <row r="598" ht="12.75" customHeight="1">
      <c r="A598" s="172"/>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61"/>
    </row>
    <row r="599" ht="12.75" customHeight="1">
      <c r="A599" s="173"/>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61"/>
    </row>
    <row r="600" ht="12.75" customHeight="1">
      <c r="A600" s="172"/>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61"/>
    </row>
    <row r="601" ht="12.75" customHeight="1">
      <c r="A601" s="172"/>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61"/>
    </row>
    <row r="602" ht="12.75" customHeight="1">
      <c r="A602" s="172"/>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61"/>
    </row>
    <row r="603" ht="12.75" customHeight="1">
      <c r="A603" s="174"/>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c r="AH603" s="175"/>
      <c r="AI603" s="175"/>
      <c r="AJ603" s="175"/>
      <c r="AK603" s="175"/>
      <c r="AL603" s="175"/>
      <c r="AM603" s="175"/>
      <c r="AN603" s="175"/>
      <c r="AO603" s="175"/>
      <c r="AP603" s="175"/>
      <c r="AQ603" s="176"/>
    </row>
    <row r="604" ht="12.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c r="AG604" s="177"/>
      <c r="AH604" s="177"/>
      <c r="AI604" s="177"/>
      <c r="AJ604" s="177"/>
      <c r="AK604" s="177"/>
      <c r="AL604" s="177"/>
      <c r="AM604" s="177"/>
      <c r="AN604" s="177"/>
      <c r="AO604" s="177"/>
      <c r="AP604" s="177"/>
      <c r="AQ604" s="177"/>
    </row>
    <row r="605" ht="12.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c r="AG605" s="177"/>
      <c r="AH605" s="177"/>
      <c r="AI605" s="177"/>
      <c r="AJ605" s="177"/>
      <c r="AK605" s="177"/>
      <c r="AL605" s="177"/>
      <c r="AM605" s="177"/>
      <c r="AN605" s="177"/>
      <c r="AO605" s="177"/>
      <c r="AP605" s="177"/>
      <c r="AQ605" s="177"/>
    </row>
    <row r="606" ht="12.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c r="AG606" s="177"/>
      <c r="AH606" s="177"/>
      <c r="AI606" s="177"/>
      <c r="AJ606" s="177"/>
      <c r="AK606" s="177"/>
      <c r="AL606" s="177"/>
      <c r="AM606" s="177"/>
      <c r="AN606" s="177"/>
      <c r="AO606" s="177"/>
      <c r="AP606" s="177"/>
      <c r="AQ606" s="177"/>
    </row>
    <row r="607" ht="12.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177"/>
      <c r="AM607" s="177"/>
      <c r="AN607" s="177"/>
      <c r="AO607" s="177"/>
      <c r="AP607" s="177"/>
      <c r="AQ607" s="177"/>
    </row>
    <row r="608" ht="12.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177"/>
      <c r="AM608" s="177"/>
      <c r="AN608" s="177"/>
      <c r="AO608" s="177"/>
      <c r="AP608" s="177"/>
      <c r="AQ608" s="177"/>
    </row>
    <row r="609" ht="12.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c r="AM609" s="177"/>
      <c r="AN609" s="177"/>
      <c r="AO609" s="177"/>
      <c r="AP609" s="177"/>
      <c r="AQ609" s="177"/>
    </row>
    <row r="610" ht="12.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c r="AM610" s="177"/>
      <c r="AN610" s="177"/>
      <c r="AO610" s="177"/>
      <c r="AP610" s="177"/>
      <c r="AQ610" s="177"/>
    </row>
    <row r="611" ht="12.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c r="AM611" s="177"/>
      <c r="AN611" s="177"/>
      <c r="AO611" s="177"/>
      <c r="AP611" s="177"/>
      <c r="AQ611" s="177"/>
    </row>
    <row r="612" ht="12.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c r="AM612" s="177"/>
      <c r="AN612" s="177"/>
      <c r="AO612" s="177"/>
      <c r="AP612" s="177"/>
      <c r="AQ612" s="177"/>
    </row>
    <row r="613" ht="12.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c r="AH613" s="177"/>
      <c r="AI613" s="177"/>
      <c r="AJ613" s="177"/>
      <c r="AK613" s="177"/>
      <c r="AL613" s="177"/>
      <c r="AM613" s="177"/>
      <c r="AN613" s="177"/>
      <c r="AO613" s="177"/>
      <c r="AP613" s="177"/>
      <c r="AQ613" s="177"/>
    </row>
    <row r="614" ht="12.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c r="AH614" s="177"/>
      <c r="AI614" s="177"/>
      <c r="AJ614" s="177"/>
      <c r="AK614" s="177"/>
      <c r="AL614" s="177"/>
      <c r="AM614" s="177"/>
      <c r="AN614" s="177"/>
      <c r="AO614" s="177"/>
      <c r="AP614" s="177"/>
      <c r="AQ614" s="177"/>
    </row>
    <row r="615" ht="12.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c r="AG615" s="177"/>
      <c r="AH615" s="177"/>
      <c r="AI615" s="177"/>
      <c r="AJ615" s="177"/>
      <c r="AK615" s="177"/>
      <c r="AL615" s="177"/>
      <c r="AM615" s="177"/>
      <c r="AN615" s="177"/>
      <c r="AO615" s="177"/>
      <c r="AP615" s="177"/>
      <c r="AQ615" s="177"/>
    </row>
    <row r="616" ht="12.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c r="AG616" s="177"/>
      <c r="AH616" s="177"/>
      <c r="AI616" s="177"/>
      <c r="AJ616" s="177"/>
      <c r="AK616" s="177"/>
      <c r="AL616" s="177"/>
      <c r="AM616" s="177"/>
      <c r="AN616" s="177"/>
      <c r="AO616" s="177"/>
      <c r="AP616" s="177"/>
      <c r="AQ616" s="177"/>
    </row>
    <row r="617" ht="12.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c r="AG617" s="177"/>
      <c r="AH617" s="177"/>
      <c r="AI617" s="177"/>
      <c r="AJ617" s="177"/>
      <c r="AK617" s="177"/>
      <c r="AL617" s="177"/>
      <c r="AM617" s="177"/>
      <c r="AN617" s="177"/>
      <c r="AO617" s="177"/>
      <c r="AP617" s="177"/>
      <c r="AQ617" s="177"/>
    </row>
    <row r="618" ht="12.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c r="AG618" s="177"/>
      <c r="AH618" s="177"/>
      <c r="AI618" s="177"/>
      <c r="AJ618" s="177"/>
      <c r="AK618" s="177"/>
      <c r="AL618" s="177"/>
      <c r="AM618" s="177"/>
      <c r="AN618" s="177"/>
      <c r="AO618" s="177"/>
      <c r="AP618" s="177"/>
      <c r="AQ618" s="177"/>
    </row>
    <row r="619" ht="12.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c r="AG619" s="177"/>
      <c r="AH619" s="177"/>
      <c r="AI619" s="177"/>
      <c r="AJ619" s="177"/>
      <c r="AK619" s="177"/>
      <c r="AL619" s="177"/>
      <c r="AM619" s="177"/>
      <c r="AN619" s="177"/>
      <c r="AO619" s="177"/>
      <c r="AP619" s="177"/>
      <c r="AQ619" s="177"/>
    </row>
    <row r="620" ht="12.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c r="AH620" s="177"/>
      <c r="AI620" s="177"/>
      <c r="AJ620" s="177"/>
      <c r="AK620" s="177"/>
      <c r="AL620" s="177"/>
      <c r="AM620" s="177"/>
      <c r="AN620" s="177"/>
      <c r="AO620" s="177"/>
      <c r="AP620" s="177"/>
      <c r="AQ620" s="177"/>
    </row>
    <row r="621" ht="12.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c r="AH621" s="177"/>
      <c r="AI621" s="177"/>
      <c r="AJ621" s="177"/>
      <c r="AK621" s="177"/>
      <c r="AL621" s="177"/>
      <c r="AM621" s="177"/>
      <c r="AN621" s="177"/>
      <c r="AO621" s="177"/>
      <c r="AP621" s="177"/>
      <c r="AQ621" s="177"/>
    </row>
    <row r="622" ht="12.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c r="AG622" s="177"/>
      <c r="AH622" s="177"/>
      <c r="AI622" s="177"/>
      <c r="AJ622" s="177"/>
      <c r="AK622" s="177"/>
      <c r="AL622" s="177"/>
      <c r="AM622" s="177"/>
      <c r="AN622" s="177"/>
      <c r="AO622" s="177"/>
      <c r="AP622" s="177"/>
      <c r="AQ622" s="177"/>
    </row>
    <row r="623" ht="12.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c r="AG623" s="177"/>
      <c r="AH623" s="177"/>
      <c r="AI623" s="177"/>
      <c r="AJ623" s="177"/>
      <c r="AK623" s="177"/>
      <c r="AL623" s="177"/>
      <c r="AM623" s="177"/>
      <c r="AN623" s="177"/>
      <c r="AO623" s="177"/>
      <c r="AP623" s="177"/>
      <c r="AQ623" s="177"/>
    </row>
    <row r="624" ht="12.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c r="AG624" s="177"/>
      <c r="AH624" s="177"/>
      <c r="AI624" s="177"/>
      <c r="AJ624" s="177"/>
      <c r="AK624" s="177"/>
      <c r="AL624" s="177"/>
      <c r="AM624" s="177"/>
      <c r="AN624" s="177"/>
      <c r="AO624" s="177"/>
      <c r="AP624" s="177"/>
      <c r="AQ624" s="177"/>
    </row>
    <row r="625" ht="12.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c r="AH625" s="177"/>
      <c r="AI625" s="177"/>
      <c r="AJ625" s="177"/>
      <c r="AK625" s="177"/>
      <c r="AL625" s="177"/>
      <c r="AM625" s="177"/>
      <c r="AN625" s="177"/>
      <c r="AO625" s="177"/>
      <c r="AP625" s="177"/>
      <c r="AQ625" s="177"/>
    </row>
    <row r="626" ht="12.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7"/>
      <c r="AQ626" s="177"/>
    </row>
    <row r="627" ht="12.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c r="AG627" s="177"/>
      <c r="AH627" s="177"/>
      <c r="AI627" s="177"/>
      <c r="AJ627" s="177"/>
      <c r="AK627" s="177"/>
      <c r="AL627" s="177"/>
      <c r="AM627" s="177"/>
      <c r="AN627" s="177"/>
      <c r="AO627" s="177"/>
      <c r="AP627" s="177"/>
      <c r="AQ627" s="177"/>
    </row>
    <row r="628" ht="12.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c r="AG628" s="177"/>
      <c r="AH628" s="177"/>
      <c r="AI628" s="177"/>
      <c r="AJ628" s="177"/>
      <c r="AK628" s="177"/>
      <c r="AL628" s="177"/>
      <c r="AM628" s="177"/>
      <c r="AN628" s="177"/>
      <c r="AO628" s="177"/>
      <c r="AP628" s="177"/>
      <c r="AQ628" s="177"/>
    </row>
    <row r="629" ht="12.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c r="AM629" s="177"/>
      <c r="AN629" s="177"/>
      <c r="AO629" s="177"/>
      <c r="AP629" s="177"/>
      <c r="AQ629" s="177"/>
    </row>
    <row r="630" ht="12.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c r="AH630" s="177"/>
      <c r="AI630" s="177"/>
      <c r="AJ630" s="177"/>
      <c r="AK630" s="177"/>
      <c r="AL630" s="177"/>
      <c r="AM630" s="177"/>
      <c r="AN630" s="177"/>
      <c r="AO630" s="177"/>
      <c r="AP630" s="177"/>
      <c r="AQ630" s="177"/>
    </row>
    <row r="631" ht="12.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c r="AH631" s="177"/>
      <c r="AI631" s="177"/>
      <c r="AJ631" s="177"/>
      <c r="AK631" s="177"/>
      <c r="AL631" s="177"/>
      <c r="AM631" s="177"/>
      <c r="AN631" s="177"/>
      <c r="AO631" s="177"/>
      <c r="AP631" s="177"/>
      <c r="AQ631" s="177"/>
    </row>
    <row r="632" ht="12.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c r="AH632" s="177"/>
      <c r="AI632" s="177"/>
      <c r="AJ632" s="177"/>
      <c r="AK632" s="177"/>
      <c r="AL632" s="177"/>
      <c r="AM632" s="177"/>
      <c r="AN632" s="177"/>
      <c r="AO632" s="177"/>
      <c r="AP632" s="177"/>
      <c r="AQ632" s="177"/>
    </row>
    <row r="633" ht="12.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c r="AH633" s="177"/>
      <c r="AI633" s="177"/>
      <c r="AJ633" s="177"/>
      <c r="AK633" s="177"/>
      <c r="AL633" s="177"/>
      <c r="AM633" s="177"/>
      <c r="AN633" s="177"/>
      <c r="AO633" s="177"/>
      <c r="AP633" s="177"/>
      <c r="AQ633" s="177"/>
    </row>
    <row r="634" ht="12.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c r="AH634" s="177"/>
      <c r="AI634" s="177"/>
      <c r="AJ634" s="177"/>
      <c r="AK634" s="177"/>
      <c r="AL634" s="177"/>
      <c r="AM634" s="177"/>
      <c r="AN634" s="177"/>
      <c r="AO634" s="177"/>
      <c r="AP634" s="177"/>
      <c r="AQ634" s="177"/>
    </row>
    <row r="635" ht="12.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c r="AH635" s="177"/>
      <c r="AI635" s="177"/>
      <c r="AJ635" s="177"/>
      <c r="AK635" s="177"/>
      <c r="AL635" s="177"/>
      <c r="AM635" s="177"/>
      <c r="AN635" s="177"/>
      <c r="AO635" s="177"/>
      <c r="AP635" s="177"/>
      <c r="AQ635" s="177"/>
    </row>
    <row r="636" ht="12.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c r="AM636" s="177"/>
      <c r="AN636" s="177"/>
      <c r="AO636" s="177"/>
      <c r="AP636" s="177"/>
      <c r="AQ636" s="177"/>
    </row>
    <row r="637" ht="12.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c r="AM637" s="177"/>
      <c r="AN637" s="177"/>
      <c r="AO637" s="177"/>
      <c r="AP637" s="177"/>
      <c r="AQ637" s="177"/>
    </row>
    <row r="638" ht="12.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c r="AM638" s="177"/>
      <c r="AN638" s="177"/>
      <c r="AO638" s="177"/>
      <c r="AP638" s="177"/>
      <c r="AQ638" s="177"/>
    </row>
    <row r="639" ht="12.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c r="AH639" s="177"/>
      <c r="AI639" s="177"/>
      <c r="AJ639" s="177"/>
      <c r="AK639" s="177"/>
      <c r="AL639" s="177"/>
      <c r="AM639" s="177"/>
      <c r="AN639" s="177"/>
      <c r="AO639" s="177"/>
      <c r="AP639" s="177"/>
      <c r="AQ639" s="177"/>
    </row>
    <row r="640" ht="12.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c r="AH640" s="177"/>
      <c r="AI640" s="177"/>
      <c r="AJ640" s="177"/>
      <c r="AK640" s="177"/>
      <c r="AL640" s="177"/>
      <c r="AM640" s="177"/>
      <c r="AN640" s="177"/>
      <c r="AO640" s="177"/>
      <c r="AP640" s="177"/>
      <c r="AQ640" s="177"/>
    </row>
    <row r="641" ht="12.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c r="AM641" s="177"/>
      <c r="AN641" s="177"/>
      <c r="AO641" s="177"/>
      <c r="AP641" s="177"/>
      <c r="AQ641" s="177"/>
    </row>
    <row r="642" ht="12.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c r="AM642" s="177"/>
      <c r="AN642" s="177"/>
      <c r="AO642" s="177"/>
      <c r="AP642" s="177"/>
      <c r="AQ642" s="177"/>
    </row>
    <row r="643" ht="12.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77"/>
      <c r="AH643" s="177"/>
      <c r="AI643" s="177"/>
      <c r="AJ643" s="177"/>
      <c r="AK643" s="177"/>
      <c r="AL643" s="177"/>
      <c r="AM643" s="177"/>
      <c r="AN643" s="177"/>
      <c r="AO643" s="177"/>
      <c r="AP643" s="177"/>
      <c r="AQ643" s="177"/>
    </row>
    <row r="644" ht="12.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c r="AG644" s="177"/>
      <c r="AH644" s="177"/>
      <c r="AI644" s="177"/>
      <c r="AJ644" s="177"/>
      <c r="AK644" s="177"/>
      <c r="AL644" s="177"/>
      <c r="AM644" s="177"/>
      <c r="AN644" s="177"/>
      <c r="AO644" s="177"/>
      <c r="AP644" s="177"/>
      <c r="AQ644" s="177"/>
    </row>
    <row r="645" ht="12.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c r="AG645" s="177"/>
      <c r="AH645" s="177"/>
      <c r="AI645" s="177"/>
      <c r="AJ645" s="177"/>
      <c r="AK645" s="177"/>
      <c r="AL645" s="177"/>
      <c r="AM645" s="177"/>
      <c r="AN645" s="177"/>
      <c r="AO645" s="177"/>
      <c r="AP645" s="177"/>
      <c r="AQ645" s="177"/>
    </row>
    <row r="646" ht="12.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77"/>
      <c r="AH646" s="177"/>
      <c r="AI646" s="177"/>
      <c r="AJ646" s="177"/>
      <c r="AK646" s="177"/>
      <c r="AL646" s="177"/>
      <c r="AM646" s="177"/>
      <c r="AN646" s="177"/>
      <c r="AO646" s="177"/>
      <c r="AP646" s="177"/>
      <c r="AQ646" s="177"/>
    </row>
    <row r="647" ht="12.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77"/>
      <c r="AH647" s="177"/>
      <c r="AI647" s="177"/>
      <c r="AJ647" s="177"/>
      <c r="AK647" s="177"/>
      <c r="AL647" s="177"/>
      <c r="AM647" s="177"/>
      <c r="AN647" s="177"/>
      <c r="AO647" s="177"/>
      <c r="AP647" s="177"/>
      <c r="AQ647" s="177"/>
    </row>
    <row r="648" ht="12.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77"/>
      <c r="AH648" s="177"/>
      <c r="AI648" s="177"/>
      <c r="AJ648" s="177"/>
      <c r="AK648" s="177"/>
      <c r="AL648" s="177"/>
      <c r="AM648" s="177"/>
      <c r="AN648" s="177"/>
      <c r="AO648" s="177"/>
      <c r="AP648" s="177"/>
      <c r="AQ648" s="177"/>
    </row>
    <row r="649" ht="12.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c r="AG649" s="177"/>
      <c r="AH649" s="177"/>
      <c r="AI649" s="177"/>
      <c r="AJ649" s="177"/>
      <c r="AK649" s="177"/>
      <c r="AL649" s="177"/>
      <c r="AM649" s="177"/>
      <c r="AN649" s="177"/>
      <c r="AO649" s="177"/>
      <c r="AP649" s="177"/>
      <c r="AQ649" s="177"/>
    </row>
    <row r="650" ht="12.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c r="AG650" s="177"/>
      <c r="AH650" s="177"/>
      <c r="AI650" s="177"/>
      <c r="AJ650" s="177"/>
      <c r="AK650" s="177"/>
      <c r="AL650" s="177"/>
      <c r="AM650" s="177"/>
      <c r="AN650" s="177"/>
      <c r="AO650" s="177"/>
      <c r="AP650" s="177"/>
      <c r="AQ650" s="177"/>
    </row>
    <row r="651" ht="12.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c r="AG651" s="177"/>
      <c r="AH651" s="177"/>
      <c r="AI651" s="177"/>
      <c r="AJ651" s="177"/>
      <c r="AK651" s="177"/>
      <c r="AL651" s="177"/>
      <c r="AM651" s="177"/>
      <c r="AN651" s="177"/>
      <c r="AO651" s="177"/>
      <c r="AP651" s="177"/>
      <c r="AQ651" s="177"/>
    </row>
    <row r="652" ht="12.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c r="AG652" s="177"/>
      <c r="AH652" s="177"/>
      <c r="AI652" s="177"/>
      <c r="AJ652" s="177"/>
      <c r="AK652" s="177"/>
      <c r="AL652" s="177"/>
      <c r="AM652" s="177"/>
      <c r="AN652" s="177"/>
      <c r="AO652" s="177"/>
      <c r="AP652" s="177"/>
      <c r="AQ652" s="177"/>
    </row>
    <row r="653" ht="12.7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c r="AG653" s="177"/>
      <c r="AH653" s="177"/>
      <c r="AI653" s="177"/>
      <c r="AJ653" s="177"/>
      <c r="AK653" s="177"/>
      <c r="AL653" s="177"/>
      <c r="AM653" s="177"/>
      <c r="AN653" s="177"/>
      <c r="AO653" s="177"/>
      <c r="AP653" s="177"/>
      <c r="AQ653" s="177"/>
    </row>
    <row r="654" ht="12.7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c r="AG654" s="177"/>
      <c r="AH654" s="177"/>
      <c r="AI654" s="177"/>
      <c r="AJ654" s="177"/>
      <c r="AK654" s="177"/>
      <c r="AL654" s="177"/>
      <c r="AM654" s="177"/>
      <c r="AN654" s="177"/>
      <c r="AO654" s="177"/>
      <c r="AP654" s="177"/>
      <c r="AQ654" s="177"/>
    </row>
    <row r="655" ht="12.7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7"/>
      <c r="AQ655" s="177"/>
    </row>
    <row r="656" ht="12.7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c r="AM656" s="177"/>
      <c r="AN656" s="177"/>
      <c r="AO656" s="177"/>
      <c r="AP656" s="177"/>
      <c r="AQ656" s="177"/>
    </row>
    <row r="657" ht="12.7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c r="AM657" s="177"/>
      <c r="AN657" s="177"/>
      <c r="AO657" s="177"/>
      <c r="AP657" s="177"/>
      <c r="AQ657" s="177"/>
    </row>
    <row r="658" ht="12.7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c r="AM658" s="177"/>
      <c r="AN658" s="177"/>
      <c r="AO658" s="177"/>
      <c r="AP658" s="177"/>
      <c r="AQ658" s="177"/>
    </row>
    <row r="659" ht="12.7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c r="AM659" s="177"/>
      <c r="AN659" s="177"/>
      <c r="AO659" s="177"/>
      <c r="AP659" s="177"/>
      <c r="AQ659" s="177"/>
    </row>
    <row r="660" ht="12.7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c r="AM660" s="177"/>
      <c r="AN660" s="177"/>
      <c r="AO660" s="177"/>
      <c r="AP660" s="177"/>
      <c r="AQ660" s="177"/>
    </row>
    <row r="661" ht="12.7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c r="AM661" s="177"/>
      <c r="AN661" s="177"/>
      <c r="AO661" s="177"/>
      <c r="AP661" s="177"/>
      <c r="AQ661" s="177"/>
    </row>
    <row r="662" ht="12.7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c r="AM662" s="177"/>
      <c r="AN662" s="177"/>
      <c r="AO662" s="177"/>
      <c r="AP662" s="177"/>
      <c r="AQ662" s="177"/>
    </row>
    <row r="663" ht="12.7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c r="AM663" s="177"/>
      <c r="AN663" s="177"/>
      <c r="AO663" s="177"/>
      <c r="AP663" s="177"/>
      <c r="AQ663" s="177"/>
    </row>
    <row r="664" ht="12.7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c r="AH664" s="177"/>
      <c r="AI664" s="177"/>
      <c r="AJ664" s="177"/>
      <c r="AK664" s="177"/>
      <c r="AL664" s="177"/>
      <c r="AM664" s="177"/>
      <c r="AN664" s="177"/>
      <c r="AO664" s="177"/>
      <c r="AP664" s="177"/>
      <c r="AQ664" s="177"/>
    </row>
    <row r="665" ht="12.7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c r="AH665" s="177"/>
      <c r="AI665" s="177"/>
      <c r="AJ665" s="177"/>
      <c r="AK665" s="177"/>
      <c r="AL665" s="177"/>
      <c r="AM665" s="177"/>
      <c r="AN665" s="177"/>
      <c r="AO665" s="177"/>
      <c r="AP665" s="177"/>
      <c r="AQ665" s="177"/>
    </row>
    <row r="666" ht="12.7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c r="AM666" s="177"/>
      <c r="AN666" s="177"/>
      <c r="AO666" s="177"/>
      <c r="AP666" s="177"/>
      <c r="AQ666" s="177"/>
    </row>
    <row r="667" ht="12.7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c r="AG667" s="177"/>
      <c r="AH667" s="177"/>
      <c r="AI667" s="177"/>
      <c r="AJ667" s="177"/>
      <c r="AK667" s="177"/>
      <c r="AL667" s="177"/>
      <c r="AM667" s="177"/>
      <c r="AN667" s="177"/>
      <c r="AO667" s="177"/>
      <c r="AP667" s="177"/>
      <c r="AQ667" s="177"/>
    </row>
    <row r="668" ht="12.7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c r="AM668" s="177"/>
      <c r="AN668" s="177"/>
      <c r="AO668" s="177"/>
      <c r="AP668" s="177"/>
      <c r="AQ668" s="177"/>
    </row>
    <row r="669" ht="12.7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c r="AH669" s="177"/>
      <c r="AI669" s="177"/>
      <c r="AJ669" s="177"/>
      <c r="AK669" s="177"/>
      <c r="AL669" s="177"/>
      <c r="AM669" s="177"/>
      <c r="AN669" s="177"/>
      <c r="AO669" s="177"/>
      <c r="AP669" s="177"/>
      <c r="AQ669" s="177"/>
    </row>
    <row r="670" ht="12.7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c r="AH670" s="177"/>
      <c r="AI670" s="177"/>
      <c r="AJ670" s="177"/>
      <c r="AK670" s="177"/>
      <c r="AL670" s="177"/>
      <c r="AM670" s="177"/>
      <c r="AN670" s="177"/>
      <c r="AO670" s="177"/>
      <c r="AP670" s="177"/>
      <c r="AQ670" s="177"/>
    </row>
    <row r="671" ht="12.7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c r="AH671" s="177"/>
      <c r="AI671" s="177"/>
      <c r="AJ671" s="177"/>
      <c r="AK671" s="177"/>
      <c r="AL671" s="177"/>
      <c r="AM671" s="177"/>
      <c r="AN671" s="177"/>
      <c r="AO671" s="177"/>
      <c r="AP671" s="177"/>
      <c r="AQ671" s="177"/>
    </row>
    <row r="672" ht="12.7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c r="AG672" s="177"/>
      <c r="AH672" s="177"/>
      <c r="AI672" s="177"/>
      <c r="AJ672" s="177"/>
      <c r="AK672" s="177"/>
      <c r="AL672" s="177"/>
      <c r="AM672" s="177"/>
      <c r="AN672" s="177"/>
      <c r="AO672" s="177"/>
      <c r="AP672" s="177"/>
      <c r="AQ672" s="177"/>
    </row>
    <row r="673" ht="12.7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c r="AG673" s="177"/>
      <c r="AH673" s="177"/>
      <c r="AI673" s="177"/>
      <c r="AJ673" s="177"/>
      <c r="AK673" s="177"/>
      <c r="AL673" s="177"/>
      <c r="AM673" s="177"/>
      <c r="AN673" s="177"/>
      <c r="AO673" s="177"/>
      <c r="AP673" s="177"/>
      <c r="AQ673" s="177"/>
    </row>
    <row r="674" ht="12.7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c r="AG674" s="177"/>
      <c r="AH674" s="177"/>
      <c r="AI674" s="177"/>
      <c r="AJ674" s="177"/>
      <c r="AK674" s="177"/>
      <c r="AL674" s="177"/>
      <c r="AM674" s="177"/>
      <c r="AN674" s="177"/>
      <c r="AO674" s="177"/>
      <c r="AP674" s="177"/>
      <c r="AQ674" s="177"/>
    </row>
    <row r="675" ht="12.7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c r="AG675" s="177"/>
      <c r="AH675" s="177"/>
      <c r="AI675" s="177"/>
      <c r="AJ675" s="177"/>
      <c r="AK675" s="177"/>
      <c r="AL675" s="177"/>
      <c r="AM675" s="177"/>
      <c r="AN675" s="177"/>
      <c r="AO675" s="177"/>
      <c r="AP675" s="177"/>
      <c r="AQ675" s="177"/>
    </row>
    <row r="676" ht="12.7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c r="AG676" s="177"/>
      <c r="AH676" s="177"/>
      <c r="AI676" s="177"/>
      <c r="AJ676" s="177"/>
      <c r="AK676" s="177"/>
      <c r="AL676" s="177"/>
      <c r="AM676" s="177"/>
      <c r="AN676" s="177"/>
      <c r="AO676" s="177"/>
      <c r="AP676" s="177"/>
      <c r="AQ676" s="177"/>
    </row>
    <row r="677" ht="12.7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c r="AG677" s="177"/>
      <c r="AH677" s="177"/>
      <c r="AI677" s="177"/>
      <c r="AJ677" s="177"/>
      <c r="AK677" s="177"/>
      <c r="AL677" s="177"/>
      <c r="AM677" s="177"/>
      <c r="AN677" s="177"/>
      <c r="AO677" s="177"/>
      <c r="AP677" s="177"/>
      <c r="AQ677" s="177"/>
    </row>
    <row r="678" ht="12.7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c r="AG678" s="177"/>
      <c r="AH678" s="177"/>
      <c r="AI678" s="177"/>
      <c r="AJ678" s="177"/>
      <c r="AK678" s="177"/>
      <c r="AL678" s="177"/>
      <c r="AM678" s="177"/>
      <c r="AN678" s="177"/>
      <c r="AO678" s="177"/>
      <c r="AP678" s="177"/>
      <c r="AQ678" s="177"/>
    </row>
    <row r="679" ht="12.7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c r="AG679" s="177"/>
      <c r="AH679" s="177"/>
      <c r="AI679" s="177"/>
      <c r="AJ679" s="177"/>
      <c r="AK679" s="177"/>
      <c r="AL679" s="177"/>
      <c r="AM679" s="177"/>
      <c r="AN679" s="177"/>
      <c r="AO679" s="177"/>
      <c r="AP679" s="177"/>
      <c r="AQ679" s="177"/>
    </row>
    <row r="680" ht="12.7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c r="AG680" s="177"/>
      <c r="AH680" s="177"/>
      <c r="AI680" s="177"/>
      <c r="AJ680" s="177"/>
      <c r="AK680" s="177"/>
      <c r="AL680" s="177"/>
      <c r="AM680" s="177"/>
      <c r="AN680" s="177"/>
      <c r="AO680" s="177"/>
      <c r="AP680" s="177"/>
      <c r="AQ680" s="177"/>
    </row>
    <row r="681" ht="12.7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c r="AG681" s="177"/>
      <c r="AH681" s="177"/>
      <c r="AI681" s="177"/>
      <c r="AJ681" s="177"/>
      <c r="AK681" s="177"/>
      <c r="AL681" s="177"/>
      <c r="AM681" s="177"/>
      <c r="AN681" s="177"/>
      <c r="AO681" s="177"/>
      <c r="AP681" s="177"/>
      <c r="AQ681" s="177"/>
    </row>
    <row r="682" ht="12.7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c r="AG682" s="177"/>
      <c r="AH682" s="177"/>
      <c r="AI682" s="177"/>
      <c r="AJ682" s="177"/>
      <c r="AK682" s="177"/>
      <c r="AL682" s="177"/>
      <c r="AM682" s="177"/>
      <c r="AN682" s="177"/>
      <c r="AO682" s="177"/>
      <c r="AP682" s="177"/>
      <c r="AQ682" s="177"/>
    </row>
    <row r="683" ht="12.7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c r="AG683" s="177"/>
      <c r="AH683" s="177"/>
      <c r="AI683" s="177"/>
      <c r="AJ683" s="177"/>
      <c r="AK683" s="177"/>
      <c r="AL683" s="177"/>
      <c r="AM683" s="177"/>
      <c r="AN683" s="177"/>
      <c r="AO683" s="177"/>
      <c r="AP683" s="177"/>
      <c r="AQ683" s="177"/>
    </row>
    <row r="684" ht="12.7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c r="AG684" s="177"/>
      <c r="AH684" s="177"/>
      <c r="AI684" s="177"/>
      <c r="AJ684" s="177"/>
      <c r="AK684" s="177"/>
      <c r="AL684" s="177"/>
      <c r="AM684" s="177"/>
      <c r="AN684" s="177"/>
      <c r="AO684" s="177"/>
      <c r="AP684" s="177"/>
      <c r="AQ684" s="177"/>
    </row>
    <row r="685" ht="12.7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c r="AG685" s="177"/>
      <c r="AH685" s="177"/>
      <c r="AI685" s="177"/>
      <c r="AJ685" s="177"/>
      <c r="AK685" s="177"/>
      <c r="AL685" s="177"/>
      <c r="AM685" s="177"/>
      <c r="AN685" s="177"/>
      <c r="AO685" s="177"/>
      <c r="AP685" s="177"/>
      <c r="AQ685" s="177"/>
    </row>
    <row r="686" ht="12.7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c r="AG686" s="177"/>
      <c r="AH686" s="177"/>
      <c r="AI686" s="177"/>
      <c r="AJ686" s="177"/>
      <c r="AK686" s="177"/>
      <c r="AL686" s="177"/>
      <c r="AM686" s="177"/>
      <c r="AN686" s="177"/>
      <c r="AO686" s="177"/>
      <c r="AP686" s="177"/>
      <c r="AQ686" s="177"/>
    </row>
    <row r="687" ht="12.7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c r="AG687" s="177"/>
      <c r="AH687" s="177"/>
      <c r="AI687" s="177"/>
      <c r="AJ687" s="177"/>
      <c r="AK687" s="177"/>
      <c r="AL687" s="177"/>
      <c r="AM687" s="177"/>
      <c r="AN687" s="177"/>
      <c r="AO687" s="177"/>
      <c r="AP687" s="177"/>
      <c r="AQ687" s="177"/>
    </row>
    <row r="688" ht="12.7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c r="AG688" s="177"/>
      <c r="AH688" s="177"/>
      <c r="AI688" s="177"/>
      <c r="AJ688" s="177"/>
      <c r="AK688" s="177"/>
      <c r="AL688" s="177"/>
      <c r="AM688" s="177"/>
      <c r="AN688" s="177"/>
      <c r="AO688" s="177"/>
      <c r="AP688" s="177"/>
      <c r="AQ688" s="177"/>
    </row>
    <row r="689" ht="12.7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c r="AG689" s="177"/>
      <c r="AH689" s="177"/>
      <c r="AI689" s="177"/>
      <c r="AJ689" s="177"/>
      <c r="AK689" s="177"/>
      <c r="AL689" s="177"/>
      <c r="AM689" s="177"/>
      <c r="AN689" s="177"/>
      <c r="AO689" s="177"/>
      <c r="AP689" s="177"/>
      <c r="AQ689" s="177"/>
    </row>
    <row r="690" ht="12.7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7"/>
      <c r="AQ690" s="177"/>
    </row>
    <row r="691" ht="12.7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c r="AH691" s="177"/>
      <c r="AI691" s="177"/>
      <c r="AJ691" s="177"/>
      <c r="AK691" s="177"/>
      <c r="AL691" s="177"/>
      <c r="AM691" s="177"/>
      <c r="AN691" s="177"/>
      <c r="AO691" s="177"/>
      <c r="AP691" s="177"/>
      <c r="AQ691" s="177"/>
    </row>
    <row r="692" ht="12.7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c r="AG692" s="177"/>
      <c r="AH692" s="177"/>
      <c r="AI692" s="177"/>
      <c r="AJ692" s="177"/>
      <c r="AK692" s="177"/>
      <c r="AL692" s="177"/>
      <c r="AM692" s="177"/>
      <c r="AN692" s="177"/>
      <c r="AO692" s="177"/>
      <c r="AP692" s="177"/>
      <c r="AQ692" s="177"/>
    </row>
    <row r="693" ht="12.7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c r="AG693" s="177"/>
      <c r="AH693" s="177"/>
      <c r="AI693" s="177"/>
      <c r="AJ693" s="177"/>
      <c r="AK693" s="177"/>
      <c r="AL693" s="177"/>
      <c r="AM693" s="177"/>
      <c r="AN693" s="177"/>
      <c r="AO693" s="177"/>
      <c r="AP693" s="177"/>
      <c r="AQ693" s="177"/>
    </row>
    <row r="694" ht="12.7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c r="AG694" s="177"/>
      <c r="AH694" s="177"/>
      <c r="AI694" s="177"/>
      <c r="AJ694" s="177"/>
      <c r="AK694" s="177"/>
      <c r="AL694" s="177"/>
      <c r="AM694" s="177"/>
      <c r="AN694" s="177"/>
      <c r="AO694" s="177"/>
      <c r="AP694" s="177"/>
      <c r="AQ694" s="177"/>
    </row>
    <row r="695" ht="12.7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c r="AG695" s="177"/>
      <c r="AH695" s="177"/>
      <c r="AI695" s="177"/>
      <c r="AJ695" s="177"/>
      <c r="AK695" s="177"/>
      <c r="AL695" s="177"/>
      <c r="AM695" s="177"/>
      <c r="AN695" s="177"/>
      <c r="AO695" s="177"/>
      <c r="AP695" s="177"/>
      <c r="AQ695" s="177"/>
    </row>
    <row r="696" ht="12.7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c r="AG696" s="177"/>
      <c r="AH696" s="177"/>
      <c r="AI696" s="177"/>
      <c r="AJ696" s="177"/>
      <c r="AK696" s="177"/>
      <c r="AL696" s="177"/>
      <c r="AM696" s="177"/>
      <c r="AN696" s="177"/>
      <c r="AO696" s="177"/>
      <c r="AP696" s="177"/>
      <c r="AQ696" s="177"/>
    </row>
    <row r="697" ht="12.7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c r="AG697" s="177"/>
      <c r="AH697" s="177"/>
      <c r="AI697" s="177"/>
      <c r="AJ697" s="177"/>
      <c r="AK697" s="177"/>
      <c r="AL697" s="177"/>
      <c r="AM697" s="177"/>
      <c r="AN697" s="177"/>
      <c r="AO697" s="177"/>
      <c r="AP697" s="177"/>
      <c r="AQ697" s="177"/>
    </row>
    <row r="698" ht="12.7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c r="AG698" s="177"/>
      <c r="AH698" s="177"/>
      <c r="AI698" s="177"/>
      <c r="AJ698" s="177"/>
      <c r="AK698" s="177"/>
      <c r="AL698" s="177"/>
      <c r="AM698" s="177"/>
      <c r="AN698" s="177"/>
      <c r="AO698" s="177"/>
      <c r="AP698" s="177"/>
      <c r="AQ698" s="177"/>
    </row>
    <row r="699" ht="12.7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c r="AG699" s="177"/>
      <c r="AH699" s="177"/>
      <c r="AI699" s="177"/>
      <c r="AJ699" s="177"/>
      <c r="AK699" s="177"/>
      <c r="AL699" s="177"/>
      <c r="AM699" s="177"/>
      <c r="AN699" s="177"/>
      <c r="AO699" s="177"/>
      <c r="AP699" s="177"/>
      <c r="AQ699" s="177"/>
    </row>
    <row r="700" ht="12.7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c r="AG700" s="177"/>
      <c r="AH700" s="177"/>
      <c r="AI700" s="177"/>
      <c r="AJ700" s="177"/>
      <c r="AK700" s="177"/>
      <c r="AL700" s="177"/>
      <c r="AM700" s="177"/>
      <c r="AN700" s="177"/>
      <c r="AO700" s="177"/>
      <c r="AP700" s="177"/>
      <c r="AQ700" s="177"/>
    </row>
    <row r="701" ht="12.7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c r="AG701" s="177"/>
      <c r="AH701" s="177"/>
      <c r="AI701" s="177"/>
      <c r="AJ701" s="177"/>
      <c r="AK701" s="177"/>
      <c r="AL701" s="177"/>
      <c r="AM701" s="177"/>
      <c r="AN701" s="177"/>
      <c r="AO701" s="177"/>
      <c r="AP701" s="177"/>
      <c r="AQ701" s="177"/>
    </row>
    <row r="702" ht="12.7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c r="AG702" s="177"/>
      <c r="AH702" s="177"/>
      <c r="AI702" s="177"/>
      <c r="AJ702" s="177"/>
      <c r="AK702" s="177"/>
      <c r="AL702" s="177"/>
      <c r="AM702" s="177"/>
      <c r="AN702" s="177"/>
      <c r="AO702" s="177"/>
      <c r="AP702" s="177"/>
      <c r="AQ702" s="177"/>
    </row>
    <row r="703" ht="12.7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c r="AG703" s="177"/>
      <c r="AH703" s="177"/>
      <c r="AI703" s="177"/>
      <c r="AJ703" s="177"/>
      <c r="AK703" s="177"/>
      <c r="AL703" s="177"/>
      <c r="AM703" s="177"/>
      <c r="AN703" s="177"/>
      <c r="AO703" s="177"/>
      <c r="AP703" s="177"/>
      <c r="AQ703" s="177"/>
    </row>
    <row r="704" ht="12.7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c r="AG704" s="177"/>
      <c r="AH704" s="177"/>
      <c r="AI704" s="177"/>
      <c r="AJ704" s="177"/>
      <c r="AK704" s="177"/>
      <c r="AL704" s="177"/>
      <c r="AM704" s="177"/>
      <c r="AN704" s="177"/>
      <c r="AO704" s="177"/>
      <c r="AP704" s="177"/>
      <c r="AQ704" s="177"/>
    </row>
    <row r="705" ht="12.7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c r="AG705" s="177"/>
      <c r="AH705" s="177"/>
      <c r="AI705" s="177"/>
      <c r="AJ705" s="177"/>
      <c r="AK705" s="177"/>
      <c r="AL705" s="177"/>
      <c r="AM705" s="177"/>
      <c r="AN705" s="177"/>
      <c r="AO705" s="177"/>
      <c r="AP705" s="177"/>
      <c r="AQ705" s="177"/>
    </row>
    <row r="706" ht="12.7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c r="AG706" s="177"/>
      <c r="AH706" s="177"/>
      <c r="AI706" s="177"/>
      <c r="AJ706" s="177"/>
      <c r="AK706" s="177"/>
      <c r="AL706" s="177"/>
      <c r="AM706" s="177"/>
      <c r="AN706" s="177"/>
      <c r="AO706" s="177"/>
      <c r="AP706" s="177"/>
      <c r="AQ706" s="177"/>
    </row>
    <row r="707" ht="12.7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c r="AG707" s="177"/>
      <c r="AH707" s="177"/>
      <c r="AI707" s="177"/>
      <c r="AJ707" s="177"/>
      <c r="AK707" s="177"/>
      <c r="AL707" s="177"/>
      <c r="AM707" s="177"/>
      <c r="AN707" s="177"/>
      <c r="AO707" s="177"/>
      <c r="AP707" s="177"/>
      <c r="AQ707" s="177"/>
    </row>
    <row r="708" ht="12.7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c r="AG708" s="177"/>
      <c r="AH708" s="177"/>
      <c r="AI708" s="177"/>
      <c r="AJ708" s="177"/>
      <c r="AK708" s="177"/>
      <c r="AL708" s="177"/>
      <c r="AM708" s="177"/>
      <c r="AN708" s="177"/>
      <c r="AO708" s="177"/>
      <c r="AP708" s="177"/>
      <c r="AQ708" s="177"/>
    </row>
    <row r="709" ht="12.7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c r="AG709" s="177"/>
      <c r="AH709" s="177"/>
      <c r="AI709" s="177"/>
      <c r="AJ709" s="177"/>
      <c r="AK709" s="177"/>
      <c r="AL709" s="177"/>
      <c r="AM709" s="177"/>
      <c r="AN709" s="177"/>
      <c r="AO709" s="177"/>
      <c r="AP709" s="177"/>
      <c r="AQ709" s="177"/>
    </row>
    <row r="710" ht="12.7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c r="AG710" s="177"/>
      <c r="AH710" s="177"/>
      <c r="AI710" s="177"/>
      <c r="AJ710" s="177"/>
      <c r="AK710" s="177"/>
      <c r="AL710" s="177"/>
      <c r="AM710" s="177"/>
      <c r="AN710" s="177"/>
      <c r="AO710" s="177"/>
      <c r="AP710" s="177"/>
      <c r="AQ710" s="177"/>
    </row>
    <row r="711" ht="12.7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c r="AG711" s="177"/>
      <c r="AH711" s="177"/>
      <c r="AI711" s="177"/>
      <c r="AJ711" s="177"/>
      <c r="AK711" s="177"/>
      <c r="AL711" s="177"/>
      <c r="AM711" s="177"/>
      <c r="AN711" s="177"/>
      <c r="AO711" s="177"/>
      <c r="AP711" s="177"/>
      <c r="AQ711" s="177"/>
    </row>
    <row r="712" ht="12.7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c r="AG712" s="177"/>
      <c r="AH712" s="177"/>
      <c r="AI712" s="177"/>
      <c r="AJ712" s="177"/>
      <c r="AK712" s="177"/>
      <c r="AL712" s="177"/>
      <c r="AM712" s="177"/>
      <c r="AN712" s="177"/>
      <c r="AO712" s="177"/>
      <c r="AP712" s="177"/>
      <c r="AQ712" s="177"/>
    </row>
    <row r="713" ht="12.7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c r="AG713" s="177"/>
      <c r="AH713" s="177"/>
      <c r="AI713" s="177"/>
      <c r="AJ713" s="177"/>
      <c r="AK713" s="177"/>
      <c r="AL713" s="177"/>
      <c r="AM713" s="177"/>
      <c r="AN713" s="177"/>
      <c r="AO713" s="177"/>
      <c r="AP713" s="177"/>
      <c r="AQ713" s="177"/>
    </row>
    <row r="714" ht="12.7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c r="AG714" s="177"/>
      <c r="AH714" s="177"/>
      <c r="AI714" s="177"/>
      <c r="AJ714" s="177"/>
      <c r="AK714" s="177"/>
      <c r="AL714" s="177"/>
      <c r="AM714" s="177"/>
      <c r="AN714" s="177"/>
      <c r="AO714" s="177"/>
      <c r="AP714" s="177"/>
      <c r="AQ714" s="177"/>
    </row>
    <row r="715" ht="12.7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c r="AG715" s="177"/>
      <c r="AH715" s="177"/>
      <c r="AI715" s="177"/>
      <c r="AJ715" s="177"/>
      <c r="AK715" s="177"/>
      <c r="AL715" s="177"/>
      <c r="AM715" s="177"/>
      <c r="AN715" s="177"/>
      <c r="AO715" s="177"/>
      <c r="AP715" s="177"/>
      <c r="AQ715" s="177"/>
    </row>
    <row r="716" ht="12.7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c r="AG716" s="177"/>
      <c r="AH716" s="177"/>
      <c r="AI716" s="177"/>
      <c r="AJ716" s="177"/>
      <c r="AK716" s="177"/>
      <c r="AL716" s="177"/>
      <c r="AM716" s="177"/>
      <c r="AN716" s="177"/>
      <c r="AO716" s="177"/>
      <c r="AP716" s="177"/>
      <c r="AQ716" s="177"/>
    </row>
    <row r="717" ht="12.7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c r="AG717" s="177"/>
      <c r="AH717" s="177"/>
      <c r="AI717" s="177"/>
      <c r="AJ717" s="177"/>
      <c r="AK717" s="177"/>
      <c r="AL717" s="177"/>
      <c r="AM717" s="177"/>
      <c r="AN717" s="177"/>
      <c r="AO717" s="177"/>
      <c r="AP717" s="177"/>
      <c r="AQ717" s="177"/>
    </row>
    <row r="718" ht="12.7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c r="AG718" s="177"/>
      <c r="AH718" s="177"/>
      <c r="AI718" s="177"/>
      <c r="AJ718" s="177"/>
      <c r="AK718" s="177"/>
      <c r="AL718" s="177"/>
      <c r="AM718" s="177"/>
      <c r="AN718" s="177"/>
      <c r="AO718" s="177"/>
      <c r="AP718" s="177"/>
      <c r="AQ718" s="177"/>
    </row>
    <row r="719" ht="12.7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c r="AG719" s="177"/>
      <c r="AH719" s="177"/>
      <c r="AI719" s="177"/>
      <c r="AJ719" s="177"/>
      <c r="AK719" s="177"/>
      <c r="AL719" s="177"/>
      <c r="AM719" s="177"/>
      <c r="AN719" s="177"/>
      <c r="AO719" s="177"/>
      <c r="AP719" s="177"/>
      <c r="AQ719" s="177"/>
    </row>
    <row r="720" ht="12.7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c r="AG720" s="177"/>
      <c r="AH720" s="177"/>
      <c r="AI720" s="177"/>
      <c r="AJ720" s="177"/>
      <c r="AK720" s="177"/>
      <c r="AL720" s="177"/>
      <c r="AM720" s="177"/>
      <c r="AN720" s="177"/>
      <c r="AO720" s="177"/>
      <c r="AP720" s="177"/>
      <c r="AQ720" s="177"/>
    </row>
    <row r="721" ht="12.7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c r="AG721" s="177"/>
      <c r="AH721" s="177"/>
      <c r="AI721" s="177"/>
      <c r="AJ721" s="177"/>
      <c r="AK721" s="177"/>
      <c r="AL721" s="177"/>
      <c r="AM721" s="177"/>
      <c r="AN721" s="177"/>
      <c r="AO721" s="177"/>
      <c r="AP721" s="177"/>
      <c r="AQ721" s="177"/>
    </row>
    <row r="722" ht="12.7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c r="AG722" s="177"/>
      <c r="AH722" s="177"/>
      <c r="AI722" s="177"/>
      <c r="AJ722" s="177"/>
      <c r="AK722" s="177"/>
      <c r="AL722" s="177"/>
      <c r="AM722" s="177"/>
      <c r="AN722" s="177"/>
      <c r="AO722" s="177"/>
      <c r="AP722" s="177"/>
      <c r="AQ722" s="177"/>
    </row>
    <row r="723" ht="12.7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c r="AG723" s="177"/>
      <c r="AH723" s="177"/>
      <c r="AI723" s="177"/>
      <c r="AJ723" s="177"/>
      <c r="AK723" s="177"/>
      <c r="AL723" s="177"/>
      <c r="AM723" s="177"/>
      <c r="AN723" s="177"/>
      <c r="AO723" s="177"/>
      <c r="AP723" s="177"/>
      <c r="AQ723" s="177"/>
    </row>
    <row r="724" ht="12.7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c r="AG724" s="177"/>
      <c r="AH724" s="177"/>
      <c r="AI724" s="177"/>
      <c r="AJ724" s="177"/>
      <c r="AK724" s="177"/>
      <c r="AL724" s="177"/>
      <c r="AM724" s="177"/>
      <c r="AN724" s="177"/>
      <c r="AO724" s="177"/>
      <c r="AP724" s="177"/>
      <c r="AQ724" s="177"/>
    </row>
    <row r="725" ht="12.7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c r="AG725" s="177"/>
      <c r="AH725" s="177"/>
      <c r="AI725" s="177"/>
      <c r="AJ725" s="177"/>
      <c r="AK725" s="177"/>
      <c r="AL725" s="177"/>
      <c r="AM725" s="177"/>
      <c r="AN725" s="177"/>
      <c r="AO725" s="177"/>
      <c r="AP725" s="177"/>
      <c r="AQ725" s="177"/>
    </row>
    <row r="726" ht="12.7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c r="AG726" s="177"/>
      <c r="AH726" s="177"/>
      <c r="AI726" s="177"/>
      <c r="AJ726" s="177"/>
      <c r="AK726" s="177"/>
      <c r="AL726" s="177"/>
      <c r="AM726" s="177"/>
      <c r="AN726" s="177"/>
      <c r="AO726" s="177"/>
      <c r="AP726" s="177"/>
      <c r="AQ726" s="177"/>
    </row>
    <row r="727" ht="12.7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c r="AG727" s="177"/>
      <c r="AH727" s="177"/>
      <c r="AI727" s="177"/>
      <c r="AJ727" s="177"/>
      <c r="AK727" s="177"/>
      <c r="AL727" s="177"/>
      <c r="AM727" s="177"/>
      <c r="AN727" s="177"/>
      <c r="AO727" s="177"/>
      <c r="AP727" s="177"/>
      <c r="AQ727" s="177"/>
    </row>
    <row r="728" ht="12.7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c r="AG728" s="177"/>
      <c r="AH728" s="177"/>
      <c r="AI728" s="177"/>
      <c r="AJ728" s="177"/>
      <c r="AK728" s="177"/>
      <c r="AL728" s="177"/>
      <c r="AM728" s="177"/>
      <c r="AN728" s="177"/>
      <c r="AO728" s="177"/>
      <c r="AP728" s="177"/>
      <c r="AQ728" s="177"/>
    </row>
    <row r="729" ht="12.7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c r="AG729" s="177"/>
      <c r="AH729" s="177"/>
      <c r="AI729" s="177"/>
      <c r="AJ729" s="177"/>
      <c r="AK729" s="177"/>
      <c r="AL729" s="177"/>
      <c r="AM729" s="177"/>
      <c r="AN729" s="177"/>
      <c r="AO729" s="177"/>
      <c r="AP729" s="177"/>
      <c r="AQ729" s="177"/>
    </row>
    <row r="730" ht="12.7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c r="AG730" s="177"/>
      <c r="AH730" s="177"/>
      <c r="AI730" s="177"/>
      <c r="AJ730" s="177"/>
      <c r="AK730" s="177"/>
      <c r="AL730" s="177"/>
      <c r="AM730" s="177"/>
      <c r="AN730" s="177"/>
      <c r="AO730" s="177"/>
      <c r="AP730" s="177"/>
      <c r="AQ730" s="177"/>
    </row>
    <row r="731" ht="12.7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c r="AG731" s="177"/>
      <c r="AH731" s="177"/>
      <c r="AI731" s="177"/>
      <c r="AJ731" s="177"/>
      <c r="AK731" s="177"/>
      <c r="AL731" s="177"/>
      <c r="AM731" s="177"/>
      <c r="AN731" s="177"/>
      <c r="AO731" s="177"/>
      <c r="AP731" s="177"/>
      <c r="AQ731" s="177"/>
    </row>
    <row r="732" ht="12.7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c r="AG732" s="177"/>
      <c r="AH732" s="177"/>
      <c r="AI732" s="177"/>
      <c r="AJ732" s="177"/>
      <c r="AK732" s="177"/>
      <c r="AL732" s="177"/>
      <c r="AM732" s="177"/>
      <c r="AN732" s="177"/>
      <c r="AO732" s="177"/>
      <c r="AP732" s="177"/>
      <c r="AQ732" s="177"/>
    </row>
    <row r="733" ht="12.7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c r="AG733" s="177"/>
      <c r="AH733" s="177"/>
      <c r="AI733" s="177"/>
      <c r="AJ733" s="177"/>
      <c r="AK733" s="177"/>
      <c r="AL733" s="177"/>
      <c r="AM733" s="177"/>
      <c r="AN733" s="177"/>
      <c r="AO733" s="177"/>
      <c r="AP733" s="177"/>
      <c r="AQ733" s="177"/>
    </row>
    <row r="734" ht="12.7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c r="AG734" s="177"/>
      <c r="AH734" s="177"/>
      <c r="AI734" s="177"/>
      <c r="AJ734" s="177"/>
      <c r="AK734" s="177"/>
      <c r="AL734" s="177"/>
      <c r="AM734" s="177"/>
      <c r="AN734" s="177"/>
      <c r="AO734" s="177"/>
      <c r="AP734" s="177"/>
      <c r="AQ734" s="177"/>
    </row>
    <row r="735" ht="12.7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c r="AG735" s="177"/>
      <c r="AH735" s="177"/>
      <c r="AI735" s="177"/>
      <c r="AJ735" s="177"/>
      <c r="AK735" s="177"/>
      <c r="AL735" s="177"/>
      <c r="AM735" s="177"/>
      <c r="AN735" s="177"/>
      <c r="AO735" s="177"/>
      <c r="AP735" s="177"/>
      <c r="AQ735" s="177"/>
    </row>
    <row r="736" ht="12.7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c r="AG736" s="177"/>
      <c r="AH736" s="177"/>
      <c r="AI736" s="177"/>
      <c r="AJ736" s="177"/>
      <c r="AK736" s="177"/>
      <c r="AL736" s="177"/>
      <c r="AM736" s="177"/>
      <c r="AN736" s="177"/>
      <c r="AO736" s="177"/>
      <c r="AP736" s="177"/>
      <c r="AQ736" s="177"/>
    </row>
    <row r="737" ht="12.7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c r="AG737" s="177"/>
      <c r="AH737" s="177"/>
      <c r="AI737" s="177"/>
      <c r="AJ737" s="177"/>
      <c r="AK737" s="177"/>
      <c r="AL737" s="177"/>
      <c r="AM737" s="177"/>
      <c r="AN737" s="177"/>
      <c r="AO737" s="177"/>
      <c r="AP737" s="177"/>
      <c r="AQ737" s="177"/>
    </row>
    <row r="738" ht="12.7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c r="AG738" s="177"/>
      <c r="AH738" s="177"/>
      <c r="AI738" s="177"/>
      <c r="AJ738" s="177"/>
      <c r="AK738" s="177"/>
      <c r="AL738" s="177"/>
      <c r="AM738" s="177"/>
      <c r="AN738" s="177"/>
      <c r="AO738" s="177"/>
      <c r="AP738" s="177"/>
      <c r="AQ738" s="177"/>
    </row>
    <row r="739" ht="12.7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c r="AG739" s="177"/>
      <c r="AH739" s="177"/>
      <c r="AI739" s="177"/>
      <c r="AJ739" s="177"/>
      <c r="AK739" s="177"/>
      <c r="AL739" s="177"/>
      <c r="AM739" s="177"/>
      <c r="AN739" s="177"/>
      <c r="AO739" s="177"/>
      <c r="AP739" s="177"/>
      <c r="AQ739" s="177"/>
    </row>
    <row r="740" ht="12.7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c r="AG740" s="177"/>
      <c r="AH740" s="177"/>
      <c r="AI740" s="177"/>
      <c r="AJ740" s="177"/>
      <c r="AK740" s="177"/>
      <c r="AL740" s="177"/>
      <c r="AM740" s="177"/>
      <c r="AN740" s="177"/>
      <c r="AO740" s="177"/>
      <c r="AP740" s="177"/>
      <c r="AQ740" s="177"/>
    </row>
    <row r="741" ht="12.7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c r="AG741" s="177"/>
      <c r="AH741" s="177"/>
      <c r="AI741" s="177"/>
      <c r="AJ741" s="177"/>
      <c r="AK741" s="177"/>
      <c r="AL741" s="177"/>
      <c r="AM741" s="177"/>
      <c r="AN741" s="177"/>
      <c r="AO741" s="177"/>
      <c r="AP741" s="177"/>
      <c r="AQ741" s="177"/>
    </row>
    <row r="742" ht="12.7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c r="AG742" s="177"/>
      <c r="AH742" s="177"/>
      <c r="AI742" s="177"/>
      <c r="AJ742" s="177"/>
      <c r="AK742" s="177"/>
      <c r="AL742" s="177"/>
      <c r="AM742" s="177"/>
      <c r="AN742" s="177"/>
      <c r="AO742" s="177"/>
      <c r="AP742" s="177"/>
      <c r="AQ742" s="177"/>
    </row>
    <row r="743" ht="12.7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c r="AG743" s="177"/>
      <c r="AH743" s="177"/>
      <c r="AI743" s="177"/>
      <c r="AJ743" s="177"/>
      <c r="AK743" s="177"/>
      <c r="AL743" s="177"/>
      <c r="AM743" s="177"/>
      <c r="AN743" s="177"/>
      <c r="AO743" s="177"/>
      <c r="AP743" s="177"/>
      <c r="AQ743" s="177"/>
    </row>
    <row r="744" ht="12.7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c r="AG744" s="177"/>
      <c r="AH744" s="177"/>
      <c r="AI744" s="177"/>
      <c r="AJ744" s="177"/>
      <c r="AK744" s="177"/>
      <c r="AL744" s="177"/>
      <c r="AM744" s="177"/>
      <c r="AN744" s="177"/>
      <c r="AO744" s="177"/>
      <c r="AP744" s="177"/>
      <c r="AQ744" s="177"/>
    </row>
    <row r="745" ht="12.7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c r="AG745" s="177"/>
      <c r="AH745" s="177"/>
      <c r="AI745" s="177"/>
      <c r="AJ745" s="177"/>
      <c r="AK745" s="177"/>
      <c r="AL745" s="177"/>
      <c r="AM745" s="177"/>
      <c r="AN745" s="177"/>
      <c r="AO745" s="177"/>
      <c r="AP745" s="177"/>
      <c r="AQ745" s="177"/>
    </row>
    <row r="746" ht="12.7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c r="AG746" s="177"/>
      <c r="AH746" s="177"/>
      <c r="AI746" s="177"/>
      <c r="AJ746" s="177"/>
      <c r="AK746" s="177"/>
      <c r="AL746" s="177"/>
      <c r="AM746" s="177"/>
      <c r="AN746" s="177"/>
      <c r="AO746" s="177"/>
      <c r="AP746" s="177"/>
      <c r="AQ746" s="177"/>
    </row>
    <row r="747" ht="12.7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c r="AG747" s="177"/>
      <c r="AH747" s="177"/>
      <c r="AI747" s="177"/>
      <c r="AJ747" s="177"/>
      <c r="AK747" s="177"/>
      <c r="AL747" s="177"/>
      <c r="AM747" s="177"/>
      <c r="AN747" s="177"/>
      <c r="AO747" s="177"/>
      <c r="AP747" s="177"/>
      <c r="AQ747" s="177"/>
    </row>
    <row r="748" ht="12.7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c r="AG748" s="177"/>
      <c r="AH748" s="177"/>
      <c r="AI748" s="177"/>
      <c r="AJ748" s="177"/>
      <c r="AK748" s="177"/>
      <c r="AL748" s="177"/>
      <c r="AM748" s="177"/>
      <c r="AN748" s="177"/>
      <c r="AO748" s="177"/>
      <c r="AP748" s="177"/>
      <c r="AQ748" s="177"/>
    </row>
    <row r="749" ht="12.7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c r="AG749" s="177"/>
      <c r="AH749" s="177"/>
      <c r="AI749" s="177"/>
      <c r="AJ749" s="177"/>
      <c r="AK749" s="177"/>
      <c r="AL749" s="177"/>
      <c r="AM749" s="177"/>
      <c r="AN749" s="177"/>
      <c r="AO749" s="177"/>
      <c r="AP749" s="177"/>
      <c r="AQ749" s="177"/>
    </row>
    <row r="750" ht="12.7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c r="AG750" s="177"/>
      <c r="AH750" s="177"/>
      <c r="AI750" s="177"/>
      <c r="AJ750" s="177"/>
      <c r="AK750" s="177"/>
      <c r="AL750" s="177"/>
      <c r="AM750" s="177"/>
      <c r="AN750" s="177"/>
      <c r="AO750" s="177"/>
      <c r="AP750" s="177"/>
      <c r="AQ750" s="177"/>
    </row>
    <row r="751" ht="12.7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c r="AG751" s="177"/>
      <c r="AH751" s="177"/>
      <c r="AI751" s="177"/>
      <c r="AJ751" s="177"/>
      <c r="AK751" s="177"/>
      <c r="AL751" s="177"/>
      <c r="AM751" s="177"/>
      <c r="AN751" s="177"/>
      <c r="AO751" s="177"/>
      <c r="AP751" s="177"/>
      <c r="AQ751" s="177"/>
    </row>
    <row r="752" ht="12.7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c r="AG752" s="177"/>
      <c r="AH752" s="177"/>
      <c r="AI752" s="177"/>
      <c r="AJ752" s="177"/>
      <c r="AK752" s="177"/>
      <c r="AL752" s="177"/>
      <c r="AM752" s="177"/>
      <c r="AN752" s="177"/>
      <c r="AO752" s="177"/>
      <c r="AP752" s="177"/>
      <c r="AQ752" s="177"/>
    </row>
    <row r="753" ht="12.7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c r="AG753" s="177"/>
      <c r="AH753" s="177"/>
      <c r="AI753" s="177"/>
      <c r="AJ753" s="177"/>
      <c r="AK753" s="177"/>
      <c r="AL753" s="177"/>
      <c r="AM753" s="177"/>
      <c r="AN753" s="177"/>
      <c r="AO753" s="177"/>
      <c r="AP753" s="177"/>
      <c r="AQ753" s="177"/>
    </row>
    <row r="754" ht="12.7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c r="AG754" s="177"/>
      <c r="AH754" s="177"/>
      <c r="AI754" s="177"/>
      <c r="AJ754" s="177"/>
      <c r="AK754" s="177"/>
      <c r="AL754" s="177"/>
      <c r="AM754" s="177"/>
      <c r="AN754" s="177"/>
      <c r="AO754" s="177"/>
      <c r="AP754" s="177"/>
      <c r="AQ754" s="177"/>
    </row>
    <row r="755" ht="12.7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c r="AG755" s="177"/>
      <c r="AH755" s="177"/>
      <c r="AI755" s="177"/>
      <c r="AJ755" s="177"/>
      <c r="AK755" s="177"/>
      <c r="AL755" s="177"/>
      <c r="AM755" s="177"/>
      <c r="AN755" s="177"/>
      <c r="AO755" s="177"/>
      <c r="AP755" s="177"/>
      <c r="AQ755" s="177"/>
    </row>
    <row r="756" ht="12.7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c r="AG756" s="177"/>
      <c r="AH756" s="177"/>
      <c r="AI756" s="177"/>
      <c r="AJ756" s="177"/>
      <c r="AK756" s="177"/>
      <c r="AL756" s="177"/>
      <c r="AM756" s="177"/>
      <c r="AN756" s="177"/>
      <c r="AO756" s="177"/>
      <c r="AP756" s="177"/>
      <c r="AQ756" s="177"/>
    </row>
    <row r="757" ht="12.7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c r="AG757" s="177"/>
      <c r="AH757" s="177"/>
      <c r="AI757" s="177"/>
      <c r="AJ757" s="177"/>
      <c r="AK757" s="177"/>
      <c r="AL757" s="177"/>
      <c r="AM757" s="177"/>
      <c r="AN757" s="177"/>
      <c r="AO757" s="177"/>
      <c r="AP757" s="177"/>
      <c r="AQ757" s="177"/>
    </row>
    <row r="758" ht="12.7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c r="AG758" s="177"/>
      <c r="AH758" s="177"/>
      <c r="AI758" s="177"/>
      <c r="AJ758" s="177"/>
      <c r="AK758" s="177"/>
      <c r="AL758" s="177"/>
      <c r="AM758" s="177"/>
      <c r="AN758" s="177"/>
      <c r="AO758" s="177"/>
      <c r="AP758" s="177"/>
      <c r="AQ758" s="177"/>
    </row>
    <row r="759" ht="12.7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c r="AG759" s="177"/>
      <c r="AH759" s="177"/>
      <c r="AI759" s="177"/>
      <c r="AJ759" s="177"/>
      <c r="AK759" s="177"/>
      <c r="AL759" s="177"/>
      <c r="AM759" s="177"/>
      <c r="AN759" s="177"/>
      <c r="AO759" s="177"/>
      <c r="AP759" s="177"/>
      <c r="AQ759" s="177"/>
    </row>
    <row r="760" ht="12.7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c r="AG760" s="177"/>
      <c r="AH760" s="177"/>
      <c r="AI760" s="177"/>
      <c r="AJ760" s="177"/>
      <c r="AK760" s="177"/>
      <c r="AL760" s="177"/>
      <c r="AM760" s="177"/>
      <c r="AN760" s="177"/>
      <c r="AO760" s="177"/>
      <c r="AP760" s="177"/>
      <c r="AQ760" s="177"/>
    </row>
    <row r="761" ht="12.7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c r="AG761" s="177"/>
      <c r="AH761" s="177"/>
      <c r="AI761" s="177"/>
      <c r="AJ761" s="177"/>
      <c r="AK761" s="177"/>
      <c r="AL761" s="177"/>
      <c r="AM761" s="177"/>
      <c r="AN761" s="177"/>
      <c r="AO761" s="177"/>
      <c r="AP761" s="177"/>
      <c r="AQ761" s="177"/>
    </row>
    <row r="762" ht="12.7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c r="AG762" s="177"/>
      <c r="AH762" s="177"/>
      <c r="AI762" s="177"/>
      <c r="AJ762" s="177"/>
      <c r="AK762" s="177"/>
      <c r="AL762" s="177"/>
      <c r="AM762" s="177"/>
      <c r="AN762" s="177"/>
      <c r="AO762" s="177"/>
      <c r="AP762" s="177"/>
      <c r="AQ762" s="177"/>
    </row>
    <row r="763" ht="12.7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c r="AG763" s="177"/>
      <c r="AH763" s="177"/>
      <c r="AI763" s="177"/>
      <c r="AJ763" s="177"/>
      <c r="AK763" s="177"/>
      <c r="AL763" s="177"/>
      <c r="AM763" s="177"/>
      <c r="AN763" s="177"/>
      <c r="AO763" s="177"/>
      <c r="AP763" s="177"/>
      <c r="AQ763" s="177"/>
    </row>
    <row r="764" ht="12.7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c r="AG764" s="177"/>
      <c r="AH764" s="177"/>
      <c r="AI764" s="177"/>
      <c r="AJ764" s="177"/>
      <c r="AK764" s="177"/>
      <c r="AL764" s="177"/>
      <c r="AM764" s="177"/>
      <c r="AN764" s="177"/>
      <c r="AO764" s="177"/>
      <c r="AP764" s="177"/>
      <c r="AQ764" s="177"/>
    </row>
    <row r="765" ht="12.7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c r="AG765" s="177"/>
      <c r="AH765" s="177"/>
      <c r="AI765" s="177"/>
      <c r="AJ765" s="177"/>
      <c r="AK765" s="177"/>
      <c r="AL765" s="177"/>
      <c r="AM765" s="177"/>
      <c r="AN765" s="177"/>
      <c r="AO765" s="177"/>
      <c r="AP765" s="177"/>
      <c r="AQ765" s="177"/>
    </row>
    <row r="766" ht="12.7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c r="AG766" s="177"/>
      <c r="AH766" s="177"/>
      <c r="AI766" s="177"/>
      <c r="AJ766" s="177"/>
      <c r="AK766" s="177"/>
      <c r="AL766" s="177"/>
      <c r="AM766" s="177"/>
      <c r="AN766" s="177"/>
      <c r="AO766" s="177"/>
      <c r="AP766" s="177"/>
      <c r="AQ766" s="177"/>
    </row>
    <row r="767" ht="12.7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c r="AG767" s="177"/>
      <c r="AH767" s="177"/>
      <c r="AI767" s="177"/>
      <c r="AJ767" s="177"/>
      <c r="AK767" s="177"/>
      <c r="AL767" s="177"/>
      <c r="AM767" s="177"/>
      <c r="AN767" s="177"/>
      <c r="AO767" s="177"/>
      <c r="AP767" s="177"/>
      <c r="AQ767" s="177"/>
    </row>
    <row r="768" ht="12.7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c r="AG768" s="177"/>
      <c r="AH768" s="177"/>
      <c r="AI768" s="177"/>
      <c r="AJ768" s="177"/>
      <c r="AK768" s="177"/>
      <c r="AL768" s="177"/>
      <c r="AM768" s="177"/>
      <c r="AN768" s="177"/>
      <c r="AO768" s="177"/>
      <c r="AP768" s="177"/>
      <c r="AQ768" s="177"/>
    </row>
    <row r="769" ht="12.7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c r="AG769" s="177"/>
      <c r="AH769" s="177"/>
      <c r="AI769" s="177"/>
      <c r="AJ769" s="177"/>
      <c r="AK769" s="177"/>
      <c r="AL769" s="177"/>
      <c r="AM769" s="177"/>
      <c r="AN769" s="177"/>
      <c r="AO769" s="177"/>
      <c r="AP769" s="177"/>
      <c r="AQ769" s="177"/>
    </row>
    <row r="770" ht="12.7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c r="AG770" s="177"/>
      <c r="AH770" s="177"/>
      <c r="AI770" s="177"/>
      <c r="AJ770" s="177"/>
      <c r="AK770" s="177"/>
      <c r="AL770" s="177"/>
      <c r="AM770" s="177"/>
      <c r="AN770" s="177"/>
      <c r="AO770" s="177"/>
      <c r="AP770" s="177"/>
      <c r="AQ770" s="177"/>
    </row>
    <row r="771" ht="12.7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c r="AG771" s="177"/>
      <c r="AH771" s="177"/>
      <c r="AI771" s="177"/>
      <c r="AJ771" s="177"/>
      <c r="AK771" s="177"/>
      <c r="AL771" s="177"/>
      <c r="AM771" s="177"/>
      <c r="AN771" s="177"/>
      <c r="AO771" s="177"/>
      <c r="AP771" s="177"/>
      <c r="AQ771" s="177"/>
    </row>
    <row r="772" ht="12.7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c r="AG772" s="177"/>
      <c r="AH772" s="177"/>
      <c r="AI772" s="177"/>
      <c r="AJ772" s="177"/>
      <c r="AK772" s="177"/>
      <c r="AL772" s="177"/>
      <c r="AM772" s="177"/>
      <c r="AN772" s="177"/>
      <c r="AO772" s="177"/>
      <c r="AP772" s="177"/>
      <c r="AQ772" s="177"/>
    </row>
    <row r="773" ht="12.7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c r="AM773" s="177"/>
      <c r="AN773" s="177"/>
      <c r="AO773" s="177"/>
      <c r="AP773" s="177"/>
      <c r="AQ773" s="177"/>
    </row>
    <row r="774" ht="12.7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c r="AM774" s="177"/>
      <c r="AN774" s="177"/>
      <c r="AO774" s="177"/>
      <c r="AP774" s="177"/>
      <c r="AQ774" s="177"/>
    </row>
    <row r="775" ht="12.7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c r="AG775" s="177"/>
      <c r="AH775" s="177"/>
      <c r="AI775" s="177"/>
      <c r="AJ775" s="177"/>
      <c r="AK775" s="177"/>
      <c r="AL775" s="177"/>
      <c r="AM775" s="177"/>
      <c r="AN775" s="177"/>
      <c r="AO775" s="177"/>
      <c r="AP775" s="177"/>
      <c r="AQ775" s="177"/>
    </row>
    <row r="776" ht="12.7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c r="AG776" s="177"/>
      <c r="AH776" s="177"/>
      <c r="AI776" s="177"/>
      <c r="AJ776" s="177"/>
      <c r="AK776" s="177"/>
      <c r="AL776" s="177"/>
      <c r="AM776" s="177"/>
      <c r="AN776" s="177"/>
      <c r="AO776" s="177"/>
      <c r="AP776" s="177"/>
      <c r="AQ776" s="177"/>
    </row>
    <row r="777" ht="12.7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c r="AG777" s="177"/>
      <c r="AH777" s="177"/>
      <c r="AI777" s="177"/>
      <c r="AJ777" s="177"/>
      <c r="AK777" s="177"/>
      <c r="AL777" s="177"/>
      <c r="AM777" s="177"/>
      <c r="AN777" s="177"/>
      <c r="AO777" s="177"/>
      <c r="AP777" s="177"/>
      <c r="AQ777" s="177"/>
    </row>
    <row r="778" ht="12.7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c r="AG778" s="177"/>
      <c r="AH778" s="177"/>
      <c r="AI778" s="177"/>
      <c r="AJ778" s="177"/>
      <c r="AK778" s="177"/>
      <c r="AL778" s="177"/>
      <c r="AM778" s="177"/>
      <c r="AN778" s="177"/>
      <c r="AO778" s="177"/>
      <c r="AP778" s="177"/>
      <c r="AQ778" s="177"/>
    </row>
    <row r="779" ht="12.7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c r="AG779" s="177"/>
      <c r="AH779" s="177"/>
      <c r="AI779" s="177"/>
      <c r="AJ779" s="177"/>
      <c r="AK779" s="177"/>
      <c r="AL779" s="177"/>
      <c r="AM779" s="177"/>
      <c r="AN779" s="177"/>
      <c r="AO779" s="177"/>
      <c r="AP779" s="177"/>
      <c r="AQ779" s="177"/>
    </row>
    <row r="780" ht="12.7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c r="AG780" s="177"/>
      <c r="AH780" s="177"/>
      <c r="AI780" s="177"/>
      <c r="AJ780" s="177"/>
      <c r="AK780" s="177"/>
      <c r="AL780" s="177"/>
      <c r="AM780" s="177"/>
      <c r="AN780" s="177"/>
      <c r="AO780" s="177"/>
      <c r="AP780" s="177"/>
      <c r="AQ780" s="177"/>
    </row>
    <row r="781" ht="12.7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c r="AG781" s="177"/>
      <c r="AH781" s="177"/>
      <c r="AI781" s="177"/>
      <c r="AJ781" s="177"/>
      <c r="AK781" s="177"/>
      <c r="AL781" s="177"/>
      <c r="AM781" s="177"/>
      <c r="AN781" s="177"/>
      <c r="AO781" s="177"/>
      <c r="AP781" s="177"/>
      <c r="AQ781" s="177"/>
    </row>
    <row r="782" ht="12.7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c r="AG782" s="177"/>
      <c r="AH782" s="177"/>
      <c r="AI782" s="177"/>
      <c r="AJ782" s="177"/>
      <c r="AK782" s="177"/>
      <c r="AL782" s="177"/>
      <c r="AM782" s="177"/>
      <c r="AN782" s="177"/>
      <c r="AO782" s="177"/>
      <c r="AP782" s="177"/>
      <c r="AQ782" s="177"/>
    </row>
    <row r="783" ht="12.7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c r="AG783" s="177"/>
      <c r="AH783" s="177"/>
      <c r="AI783" s="177"/>
      <c r="AJ783" s="177"/>
      <c r="AK783" s="177"/>
      <c r="AL783" s="177"/>
      <c r="AM783" s="177"/>
      <c r="AN783" s="177"/>
      <c r="AO783" s="177"/>
      <c r="AP783" s="177"/>
      <c r="AQ783" s="177"/>
    </row>
    <row r="784" ht="12.7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c r="AG784" s="177"/>
      <c r="AH784" s="177"/>
      <c r="AI784" s="177"/>
      <c r="AJ784" s="177"/>
      <c r="AK784" s="177"/>
      <c r="AL784" s="177"/>
      <c r="AM784" s="177"/>
      <c r="AN784" s="177"/>
      <c r="AO784" s="177"/>
      <c r="AP784" s="177"/>
      <c r="AQ784" s="177"/>
    </row>
    <row r="785" ht="12.7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c r="AG785" s="177"/>
      <c r="AH785" s="177"/>
      <c r="AI785" s="177"/>
      <c r="AJ785" s="177"/>
      <c r="AK785" s="177"/>
      <c r="AL785" s="177"/>
      <c r="AM785" s="177"/>
      <c r="AN785" s="177"/>
      <c r="AO785" s="177"/>
      <c r="AP785" s="177"/>
      <c r="AQ785" s="177"/>
    </row>
    <row r="786" ht="12.7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c r="AG786" s="177"/>
      <c r="AH786" s="177"/>
      <c r="AI786" s="177"/>
      <c r="AJ786" s="177"/>
      <c r="AK786" s="177"/>
      <c r="AL786" s="177"/>
      <c r="AM786" s="177"/>
      <c r="AN786" s="177"/>
      <c r="AO786" s="177"/>
      <c r="AP786" s="177"/>
      <c r="AQ786" s="177"/>
    </row>
    <row r="787" ht="12.7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c r="AG787" s="177"/>
      <c r="AH787" s="177"/>
      <c r="AI787" s="177"/>
      <c r="AJ787" s="177"/>
      <c r="AK787" s="177"/>
      <c r="AL787" s="177"/>
      <c r="AM787" s="177"/>
      <c r="AN787" s="177"/>
      <c r="AO787" s="177"/>
      <c r="AP787" s="177"/>
      <c r="AQ787" s="177"/>
    </row>
    <row r="788" ht="12.7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c r="AG788" s="177"/>
      <c r="AH788" s="177"/>
      <c r="AI788" s="177"/>
      <c r="AJ788" s="177"/>
      <c r="AK788" s="177"/>
      <c r="AL788" s="177"/>
      <c r="AM788" s="177"/>
      <c r="AN788" s="177"/>
      <c r="AO788" s="177"/>
      <c r="AP788" s="177"/>
      <c r="AQ788" s="177"/>
    </row>
    <row r="789" ht="12.7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c r="AG789" s="177"/>
      <c r="AH789" s="177"/>
      <c r="AI789" s="177"/>
      <c r="AJ789" s="177"/>
      <c r="AK789" s="177"/>
      <c r="AL789" s="177"/>
      <c r="AM789" s="177"/>
      <c r="AN789" s="177"/>
      <c r="AO789" s="177"/>
      <c r="AP789" s="177"/>
      <c r="AQ789" s="177"/>
    </row>
    <row r="790" ht="12.7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c r="AG790" s="177"/>
      <c r="AH790" s="177"/>
      <c r="AI790" s="177"/>
      <c r="AJ790" s="177"/>
      <c r="AK790" s="177"/>
      <c r="AL790" s="177"/>
      <c r="AM790" s="177"/>
      <c r="AN790" s="177"/>
      <c r="AO790" s="177"/>
      <c r="AP790" s="177"/>
      <c r="AQ790" s="177"/>
    </row>
    <row r="791" ht="12.7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c r="AG791" s="177"/>
      <c r="AH791" s="177"/>
      <c r="AI791" s="177"/>
      <c r="AJ791" s="177"/>
      <c r="AK791" s="177"/>
      <c r="AL791" s="177"/>
      <c r="AM791" s="177"/>
      <c r="AN791" s="177"/>
      <c r="AO791" s="177"/>
      <c r="AP791" s="177"/>
      <c r="AQ791" s="177"/>
    </row>
    <row r="792" ht="12.7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c r="AG792" s="177"/>
      <c r="AH792" s="177"/>
      <c r="AI792" s="177"/>
      <c r="AJ792" s="177"/>
      <c r="AK792" s="177"/>
      <c r="AL792" s="177"/>
      <c r="AM792" s="177"/>
      <c r="AN792" s="177"/>
      <c r="AO792" s="177"/>
      <c r="AP792" s="177"/>
      <c r="AQ792" s="177"/>
    </row>
    <row r="793" ht="12.7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c r="AG793" s="177"/>
      <c r="AH793" s="177"/>
      <c r="AI793" s="177"/>
      <c r="AJ793" s="177"/>
      <c r="AK793" s="177"/>
      <c r="AL793" s="177"/>
      <c r="AM793" s="177"/>
      <c r="AN793" s="177"/>
      <c r="AO793" s="177"/>
      <c r="AP793" s="177"/>
      <c r="AQ793" s="177"/>
    </row>
    <row r="794" ht="12.7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c r="AG794" s="177"/>
      <c r="AH794" s="177"/>
      <c r="AI794" s="177"/>
      <c r="AJ794" s="177"/>
      <c r="AK794" s="177"/>
      <c r="AL794" s="177"/>
      <c r="AM794" s="177"/>
      <c r="AN794" s="177"/>
      <c r="AO794" s="177"/>
      <c r="AP794" s="177"/>
      <c r="AQ794" s="177"/>
    </row>
    <row r="795" ht="12.7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c r="AG795" s="177"/>
      <c r="AH795" s="177"/>
      <c r="AI795" s="177"/>
      <c r="AJ795" s="177"/>
      <c r="AK795" s="177"/>
      <c r="AL795" s="177"/>
      <c r="AM795" s="177"/>
      <c r="AN795" s="177"/>
      <c r="AO795" s="177"/>
      <c r="AP795" s="177"/>
      <c r="AQ795" s="177"/>
    </row>
    <row r="796" ht="12.7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c r="AG796" s="177"/>
      <c r="AH796" s="177"/>
      <c r="AI796" s="177"/>
      <c r="AJ796" s="177"/>
      <c r="AK796" s="177"/>
      <c r="AL796" s="177"/>
      <c r="AM796" s="177"/>
      <c r="AN796" s="177"/>
      <c r="AO796" s="177"/>
      <c r="AP796" s="177"/>
      <c r="AQ796" s="177"/>
    </row>
    <row r="797" ht="12.7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c r="AG797" s="177"/>
      <c r="AH797" s="177"/>
      <c r="AI797" s="177"/>
      <c r="AJ797" s="177"/>
      <c r="AK797" s="177"/>
      <c r="AL797" s="177"/>
      <c r="AM797" s="177"/>
      <c r="AN797" s="177"/>
      <c r="AO797" s="177"/>
      <c r="AP797" s="177"/>
      <c r="AQ797" s="177"/>
    </row>
    <row r="798" ht="12.7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c r="AG798" s="177"/>
      <c r="AH798" s="177"/>
      <c r="AI798" s="177"/>
      <c r="AJ798" s="177"/>
      <c r="AK798" s="177"/>
      <c r="AL798" s="177"/>
      <c r="AM798" s="177"/>
      <c r="AN798" s="177"/>
      <c r="AO798" s="177"/>
      <c r="AP798" s="177"/>
      <c r="AQ798" s="177"/>
    </row>
    <row r="799" ht="12.7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c r="AG799" s="177"/>
      <c r="AH799" s="177"/>
      <c r="AI799" s="177"/>
      <c r="AJ799" s="177"/>
      <c r="AK799" s="177"/>
      <c r="AL799" s="177"/>
      <c r="AM799" s="177"/>
      <c r="AN799" s="177"/>
      <c r="AO799" s="177"/>
      <c r="AP799" s="177"/>
      <c r="AQ799" s="177"/>
    </row>
    <row r="800" ht="12.7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c r="AG800" s="177"/>
      <c r="AH800" s="177"/>
      <c r="AI800" s="177"/>
      <c r="AJ800" s="177"/>
      <c r="AK800" s="177"/>
      <c r="AL800" s="177"/>
      <c r="AM800" s="177"/>
      <c r="AN800" s="177"/>
      <c r="AO800" s="177"/>
      <c r="AP800" s="177"/>
      <c r="AQ800" s="177"/>
    </row>
    <row r="801" ht="12.7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c r="AG801" s="177"/>
      <c r="AH801" s="177"/>
      <c r="AI801" s="177"/>
      <c r="AJ801" s="177"/>
      <c r="AK801" s="177"/>
      <c r="AL801" s="177"/>
      <c r="AM801" s="177"/>
      <c r="AN801" s="177"/>
      <c r="AO801" s="177"/>
      <c r="AP801" s="177"/>
      <c r="AQ801" s="177"/>
    </row>
    <row r="802" ht="12.7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c r="AG802" s="177"/>
      <c r="AH802" s="177"/>
      <c r="AI802" s="177"/>
      <c r="AJ802" s="177"/>
      <c r="AK802" s="177"/>
      <c r="AL802" s="177"/>
      <c r="AM802" s="177"/>
      <c r="AN802" s="177"/>
      <c r="AO802" s="177"/>
      <c r="AP802" s="177"/>
      <c r="AQ802" s="177"/>
    </row>
    <row r="803" ht="12.7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c r="AG803" s="177"/>
      <c r="AH803" s="177"/>
      <c r="AI803" s="177"/>
      <c r="AJ803" s="177"/>
      <c r="AK803" s="177"/>
      <c r="AL803" s="177"/>
      <c r="AM803" s="177"/>
      <c r="AN803" s="177"/>
      <c r="AO803" s="177"/>
      <c r="AP803" s="177"/>
      <c r="AQ803" s="177"/>
    </row>
    <row r="804" ht="12.7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c r="AG804" s="177"/>
      <c r="AH804" s="177"/>
      <c r="AI804" s="177"/>
      <c r="AJ804" s="177"/>
      <c r="AK804" s="177"/>
      <c r="AL804" s="177"/>
      <c r="AM804" s="177"/>
      <c r="AN804" s="177"/>
      <c r="AO804" s="177"/>
      <c r="AP804" s="177"/>
      <c r="AQ804" s="177"/>
    </row>
    <row r="805" ht="12.7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c r="AG805" s="177"/>
      <c r="AH805" s="177"/>
      <c r="AI805" s="177"/>
      <c r="AJ805" s="177"/>
      <c r="AK805" s="177"/>
      <c r="AL805" s="177"/>
      <c r="AM805" s="177"/>
      <c r="AN805" s="177"/>
      <c r="AO805" s="177"/>
      <c r="AP805" s="177"/>
      <c r="AQ805" s="177"/>
    </row>
    <row r="806" ht="12.7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c r="AG806" s="177"/>
      <c r="AH806" s="177"/>
      <c r="AI806" s="177"/>
      <c r="AJ806" s="177"/>
      <c r="AK806" s="177"/>
      <c r="AL806" s="177"/>
      <c r="AM806" s="177"/>
      <c r="AN806" s="177"/>
      <c r="AO806" s="177"/>
      <c r="AP806" s="177"/>
      <c r="AQ806" s="177"/>
    </row>
    <row r="807" ht="12.7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c r="AG807" s="177"/>
      <c r="AH807" s="177"/>
      <c r="AI807" s="177"/>
      <c r="AJ807" s="177"/>
      <c r="AK807" s="177"/>
      <c r="AL807" s="177"/>
      <c r="AM807" s="177"/>
      <c r="AN807" s="177"/>
      <c r="AO807" s="177"/>
      <c r="AP807" s="177"/>
      <c r="AQ807" s="177"/>
    </row>
    <row r="808" ht="12.7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c r="AG808" s="177"/>
      <c r="AH808" s="177"/>
      <c r="AI808" s="177"/>
      <c r="AJ808" s="177"/>
      <c r="AK808" s="177"/>
      <c r="AL808" s="177"/>
      <c r="AM808" s="177"/>
      <c r="AN808" s="177"/>
      <c r="AO808" s="177"/>
      <c r="AP808" s="177"/>
      <c r="AQ808" s="177"/>
    </row>
    <row r="809" ht="12.7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c r="AG809" s="177"/>
      <c r="AH809" s="177"/>
      <c r="AI809" s="177"/>
      <c r="AJ809" s="177"/>
      <c r="AK809" s="177"/>
      <c r="AL809" s="177"/>
      <c r="AM809" s="177"/>
      <c r="AN809" s="177"/>
      <c r="AO809" s="177"/>
      <c r="AP809" s="177"/>
      <c r="AQ809" s="177"/>
    </row>
    <row r="810" ht="12.7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c r="AG810" s="177"/>
      <c r="AH810" s="177"/>
      <c r="AI810" s="177"/>
      <c r="AJ810" s="177"/>
      <c r="AK810" s="177"/>
      <c r="AL810" s="177"/>
      <c r="AM810" s="177"/>
      <c r="AN810" s="177"/>
      <c r="AO810" s="177"/>
      <c r="AP810" s="177"/>
      <c r="AQ810" s="177"/>
    </row>
    <row r="811" ht="12.7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c r="AG811" s="177"/>
      <c r="AH811" s="177"/>
      <c r="AI811" s="177"/>
      <c r="AJ811" s="177"/>
      <c r="AK811" s="177"/>
      <c r="AL811" s="177"/>
      <c r="AM811" s="177"/>
      <c r="AN811" s="177"/>
      <c r="AO811" s="177"/>
      <c r="AP811" s="177"/>
      <c r="AQ811" s="177"/>
    </row>
    <row r="812" ht="12.7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c r="AG812" s="177"/>
      <c r="AH812" s="177"/>
      <c r="AI812" s="177"/>
      <c r="AJ812" s="177"/>
      <c r="AK812" s="177"/>
      <c r="AL812" s="177"/>
      <c r="AM812" s="177"/>
      <c r="AN812" s="177"/>
      <c r="AO812" s="177"/>
      <c r="AP812" s="177"/>
      <c r="AQ812" s="177"/>
    </row>
    <row r="813" ht="12.7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c r="AG813" s="177"/>
      <c r="AH813" s="177"/>
      <c r="AI813" s="177"/>
      <c r="AJ813" s="177"/>
      <c r="AK813" s="177"/>
      <c r="AL813" s="177"/>
      <c r="AM813" s="177"/>
      <c r="AN813" s="177"/>
      <c r="AO813" s="177"/>
      <c r="AP813" s="177"/>
      <c r="AQ813" s="177"/>
    </row>
    <row r="814" ht="12.7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c r="AG814" s="177"/>
      <c r="AH814" s="177"/>
      <c r="AI814" s="177"/>
      <c r="AJ814" s="177"/>
      <c r="AK814" s="177"/>
      <c r="AL814" s="177"/>
      <c r="AM814" s="177"/>
      <c r="AN814" s="177"/>
      <c r="AO814" s="177"/>
      <c r="AP814" s="177"/>
      <c r="AQ814" s="177"/>
    </row>
    <row r="815" ht="12.7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c r="AG815" s="177"/>
      <c r="AH815" s="177"/>
      <c r="AI815" s="177"/>
      <c r="AJ815" s="177"/>
      <c r="AK815" s="177"/>
      <c r="AL815" s="177"/>
      <c r="AM815" s="177"/>
      <c r="AN815" s="177"/>
      <c r="AO815" s="177"/>
      <c r="AP815" s="177"/>
      <c r="AQ815" s="177"/>
    </row>
    <row r="816" ht="12.7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c r="AG816" s="177"/>
      <c r="AH816" s="177"/>
      <c r="AI816" s="177"/>
      <c r="AJ816" s="177"/>
      <c r="AK816" s="177"/>
      <c r="AL816" s="177"/>
      <c r="AM816" s="177"/>
      <c r="AN816" s="177"/>
      <c r="AO816" s="177"/>
      <c r="AP816" s="177"/>
      <c r="AQ816" s="177"/>
    </row>
    <row r="817" ht="12.7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c r="AG817" s="177"/>
      <c r="AH817" s="177"/>
      <c r="AI817" s="177"/>
      <c r="AJ817" s="177"/>
      <c r="AK817" s="177"/>
      <c r="AL817" s="177"/>
      <c r="AM817" s="177"/>
      <c r="AN817" s="177"/>
      <c r="AO817" s="177"/>
      <c r="AP817" s="177"/>
      <c r="AQ817" s="177"/>
    </row>
    <row r="818" ht="12.7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c r="AG818" s="177"/>
      <c r="AH818" s="177"/>
      <c r="AI818" s="177"/>
      <c r="AJ818" s="177"/>
      <c r="AK818" s="177"/>
      <c r="AL818" s="177"/>
      <c r="AM818" s="177"/>
      <c r="AN818" s="177"/>
      <c r="AO818" s="177"/>
      <c r="AP818" s="177"/>
      <c r="AQ818" s="177"/>
    </row>
    <row r="819" ht="12.7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c r="AG819" s="177"/>
      <c r="AH819" s="177"/>
      <c r="AI819" s="177"/>
      <c r="AJ819" s="177"/>
      <c r="AK819" s="177"/>
      <c r="AL819" s="177"/>
      <c r="AM819" s="177"/>
      <c r="AN819" s="177"/>
      <c r="AO819" s="177"/>
      <c r="AP819" s="177"/>
      <c r="AQ819" s="177"/>
    </row>
    <row r="820" ht="12.7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c r="AG820" s="177"/>
      <c r="AH820" s="177"/>
      <c r="AI820" s="177"/>
      <c r="AJ820" s="177"/>
      <c r="AK820" s="177"/>
      <c r="AL820" s="177"/>
      <c r="AM820" s="177"/>
      <c r="AN820" s="177"/>
      <c r="AO820" s="177"/>
      <c r="AP820" s="177"/>
      <c r="AQ820" s="177"/>
    </row>
    <row r="821" ht="12.7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c r="AG821" s="177"/>
      <c r="AH821" s="177"/>
      <c r="AI821" s="177"/>
      <c r="AJ821" s="177"/>
      <c r="AK821" s="177"/>
      <c r="AL821" s="177"/>
      <c r="AM821" s="177"/>
      <c r="AN821" s="177"/>
      <c r="AO821" s="177"/>
      <c r="AP821" s="177"/>
      <c r="AQ821" s="177"/>
    </row>
    <row r="822" ht="12.7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c r="AG822" s="177"/>
      <c r="AH822" s="177"/>
      <c r="AI822" s="177"/>
      <c r="AJ822" s="177"/>
      <c r="AK822" s="177"/>
      <c r="AL822" s="177"/>
      <c r="AM822" s="177"/>
      <c r="AN822" s="177"/>
      <c r="AO822" s="177"/>
      <c r="AP822" s="177"/>
      <c r="AQ822" s="177"/>
    </row>
    <row r="823" ht="12.7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c r="AG823" s="177"/>
      <c r="AH823" s="177"/>
      <c r="AI823" s="177"/>
      <c r="AJ823" s="177"/>
      <c r="AK823" s="177"/>
      <c r="AL823" s="177"/>
      <c r="AM823" s="177"/>
      <c r="AN823" s="177"/>
      <c r="AO823" s="177"/>
      <c r="AP823" s="177"/>
      <c r="AQ823" s="177"/>
    </row>
    <row r="824" ht="12.7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c r="AG824" s="177"/>
      <c r="AH824" s="177"/>
      <c r="AI824" s="177"/>
      <c r="AJ824" s="177"/>
      <c r="AK824" s="177"/>
      <c r="AL824" s="177"/>
      <c r="AM824" s="177"/>
      <c r="AN824" s="177"/>
      <c r="AO824" s="177"/>
      <c r="AP824" s="177"/>
      <c r="AQ824" s="177"/>
    </row>
    <row r="825" ht="12.7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c r="AG825" s="177"/>
      <c r="AH825" s="177"/>
      <c r="AI825" s="177"/>
      <c r="AJ825" s="177"/>
      <c r="AK825" s="177"/>
      <c r="AL825" s="177"/>
      <c r="AM825" s="177"/>
      <c r="AN825" s="177"/>
      <c r="AO825" s="177"/>
      <c r="AP825" s="177"/>
      <c r="AQ825" s="177"/>
    </row>
    <row r="826" ht="12.7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c r="AG826" s="177"/>
      <c r="AH826" s="177"/>
      <c r="AI826" s="177"/>
      <c r="AJ826" s="177"/>
      <c r="AK826" s="177"/>
      <c r="AL826" s="177"/>
      <c r="AM826" s="177"/>
      <c r="AN826" s="177"/>
      <c r="AO826" s="177"/>
      <c r="AP826" s="177"/>
      <c r="AQ826" s="177"/>
    </row>
    <row r="827" ht="12.7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c r="AG827" s="177"/>
      <c r="AH827" s="177"/>
      <c r="AI827" s="177"/>
      <c r="AJ827" s="177"/>
      <c r="AK827" s="177"/>
      <c r="AL827" s="177"/>
      <c r="AM827" s="177"/>
      <c r="AN827" s="177"/>
      <c r="AO827" s="177"/>
      <c r="AP827" s="177"/>
      <c r="AQ827" s="177"/>
    </row>
    <row r="828" ht="12.7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c r="AG828" s="177"/>
      <c r="AH828" s="177"/>
      <c r="AI828" s="177"/>
      <c r="AJ828" s="177"/>
      <c r="AK828" s="177"/>
      <c r="AL828" s="177"/>
      <c r="AM828" s="177"/>
      <c r="AN828" s="177"/>
      <c r="AO828" s="177"/>
      <c r="AP828" s="177"/>
      <c r="AQ828" s="177"/>
    </row>
    <row r="829" ht="12.7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c r="AG829" s="177"/>
      <c r="AH829" s="177"/>
      <c r="AI829" s="177"/>
      <c r="AJ829" s="177"/>
      <c r="AK829" s="177"/>
      <c r="AL829" s="177"/>
      <c r="AM829" s="177"/>
      <c r="AN829" s="177"/>
      <c r="AO829" s="177"/>
      <c r="AP829" s="177"/>
      <c r="AQ829" s="177"/>
    </row>
    <row r="830" ht="12.7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c r="AG830" s="177"/>
      <c r="AH830" s="177"/>
      <c r="AI830" s="177"/>
      <c r="AJ830" s="177"/>
      <c r="AK830" s="177"/>
      <c r="AL830" s="177"/>
      <c r="AM830" s="177"/>
      <c r="AN830" s="177"/>
      <c r="AO830" s="177"/>
      <c r="AP830" s="177"/>
      <c r="AQ830" s="177"/>
    </row>
    <row r="831" ht="12.7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c r="AG831" s="177"/>
      <c r="AH831" s="177"/>
      <c r="AI831" s="177"/>
      <c r="AJ831" s="177"/>
      <c r="AK831" s="177"/>
      <c r="AL831" s="177"/>
      <c r="AM831" s="177"/>
      <c r="AN831" s="177"/>
      <c r="AO831" s="177"/>
      <c r="AP831" s="177"/>
      <c r="AQ831" s="177"/>
    </row>
    <row r="832" ht="12.7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c r="AG832" s="177"/>
      <c r="AH832" s="177"/>
      <c r="AI832" s="177"/>
      <c r="AJ832" s="177"/>
      <c r="AK832" s="177"/>
      <c r="AL832" s="177"/>
      <c r="AM832" s="177"/>
      <c r="AN832" s="177"/>
      <c r="AO832" s="177"/>
      <c r="AP832" s="177"/>
      <c r="AQ832" s="177"/>
    </row>
    <row r="833" ht="12.7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c r="AG833" s="177"/>
      <c r="AH833" s="177"/>
      <c r="AI833" s="177"/>
      <c r="AJ833" s="177"/>
      <c r="AK833" s="177"/>
      <c r="AL833" s="177"/>
      <c r="AM833" s="177"/>
      <c r="AN833" s="177"/>
      <c r="AO833" s="177"/>
      <c r="AP833" s="177"/>
      <c r="AQ833" s="177"/>
    </row>
    <row r="834" ht="12.7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c r="AG834" s="177"/>
      <c r="AH834" s="177"/>
      <c r="AI834" s="177"/>
      <c r="AJ834" s="177"/>
      <c r="AK834" s="177"/>
      <c r="AL834" s="177"/>
      <c r="AM834" s="177"/>
      <c r="AN834" s="177"/>
      <c r="AO834" s="177"/>
      <c r="AP834" s="177"/>
      <c r="AQ834" s="177"/>
    </row>
    <row r="835" ht="12.7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c r="AG835" s="177"/>
      <c r="AH835" s="177"/>
      <c r="AI835" s="177"/>
      <c r="AJ835" s="177"/>
      <c r="AK835" s="177"/>
      <c r="AL835" s="177"/>
      <c r="AM835" s="177"/>
      <c r="AN835" s="177"/>
      <c r="AO835" s="177"/>
      <c r="AP835" s="177"/>
      <c r="AQ835" s="177"/>
    </row>
    <row r="836" ht="12.7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c r="AG836" s="177"/>
      <c r="AH836" s="177"/>
      <c r="AI836" s="177"/>
      <c r="AJ836" s="177"/>
      <c r="AK836" s="177"/>
      <c r="AL836" s="177"/>
      <c r="AM836" s="177"/>
      <c r="AN836" s="177"/>
      <c r="AO836" s="177"/>
      <c r="AP836" s="177"/>
      <c r="AQ836" s="177"/>
    </row>
    <row r="837" ht="12.7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c r="AG837" s="177"/>
      <c r="AH837" s="177"/>
      <c r="AI837" s="177"/>
      <c r="AJ837" s="177"/>
      <c r="AK837" s="177"/>
      <c r="AL837" s="177"/>
      <c r="AM837" s="177"/>
      <c r="AN837" s="177"/>
      <c r="AO837" s="177"/>
      <c r="AP837" s="177"/>
      <c r="AQ837" s="177"/>
    </row>
    <row r="838" ht="12.7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c r="AG838" s="177"/>
      <c r="AH838" s="177"/>
      <c r="AI838" s="177"/>
      <c r="AJ838" s="177"/>
      <c r="AK838" s="177"/>
      <c r="AL838" s="177"/>
      <c r="AM838" s="177"/>
      <c r="AN838" s="177"/>
      <c r="AO838" s="177"/>
      <c r="AP838" s="177"/>
      <c r="AQ838" s="177"/>
    </row>
    <row r="839" ht="12.7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c r="AG839" s="177"/>
      <c r="AH839" s="177"/>
      <c r="AI839" s="177"/>
      <c r="AJ839" s="177"/>
      <c r="AK839" s="177"/>
      <c r="AL839" s="177"/>
      <c r="AM839" s="177"/>
      <c r="AN839" s="177"/>
      <c r="AO839" s="177"/>
      <c r="AP839" s="177"/>
      <c r="AQ839" s="177"/>
    </row>
    <row r="840" ht="12.7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c r="AG840" s="177"/>
      <c r="AH840" s="177"/>
      <c r="AI840" s="177"/>
      <c r="AJ840" s="177"/>
      <c r="AK840" s="177"/>
      <c r="AL840" s="177"/>
      <c r="AM840" s="177"/>
      <c r="AN840" s="177"/>
      <c r="AO840" s="177"/>
      <c r="AP840" s="177"/>
      <c r="AQ840" s="177"/>
    </row>
    <row r="841" ht="12.7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c r="AG841" s="177"/>
      <c r="AH841" s="177"/>
      <c r="AI841" s="177"/>
      <c r="AJ841" s="177"/>
      <c r="AK841" s="177"/>
      <c r="AL841" s="177"/>
      <c r="AM841" s="177"/>
      <c r="AN841" s="177"/>
      <c r="AO841" s="177"/>
      <c r="AP841" s="177"/>
      <c r="AQ841" s="177"/>
    </row>
    <row r="842" ht="12.7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c r="AG842" s="177"/>
      <c r="AH842" s="177"/>
      <c r="AI842" s="177"/>
      <c r="AJ842" s="177"/>
      <c r="AK842" s="177"/>
      <c r="AL842" s="177"/>
      <c r="AM842" s="177"/>
      <c r="AN842" s="177"/>
      <c r="AO842" s="177"/>
      <c r="AP842" s="177"/>
      <c r="AQ842" s="177"/>
    </row>
    <row r="843" ht="12.7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c r="AG843" s="177"/>
      <c r="AH843" s="177"/>
      <c r="AI843" s="177"/>
      <c r="AJ843" s="177"/>
      <c r="AK843" s="177"/>
      <c r="AL843" s="177"/>
      <c r="AM843" s="177"/>
      <c r="AN843" s="177"/>
      <c r="AO843" s="177"/>
      <c r="AP843" s="177"/>
      <c r="AQ843" s="177"/>
    </row>
    <row r="844" ht="12.7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c r="AG844" s="177"/>
      <c r="AH844" s="177"/>
      <c r="AI844" s="177"/>
      <c r="AJ844" s="177"/>
      <c r="AK844" s="177"/>
      <c r="AL844" s="177"/>
      <c r="AM844" s="177"/>
      <c r="AN844" s="177"/>
      <c r="AO844" s="177"/>
      <c r="AP844" s="177"/>
      <c r="AQ844" s="177"/>
    </row>
    <row r="845" ht="12.7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c r="AG845" s="177"/>
      <c r="AH845" s="177"/>
      <c r="AI845" s="177"/>
      <c r="AJ845" s="177"/>
      <c r="AK845" s="177"/>
      <c r="AL845" s="177"/>
      <c r="AM845" s="177"/>
      <c r="AN845" s="177"/>
      <c r="AO845" s="177"/>
      <c r="AP845" s="177"/>
      <c r="AQ845" s="177"/>
    </row>
    <row r="846" ht="12.7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c r="AG846" s="177"/>
      <c r="AH846" s="177"/>
      <c r="AI846" s="177"/>
      <c r="AJ846" s="177"/>
      <c r="AK846" s="177"/>
      <c r="AL846" s="177"/>
      <c r="AM846" s="177"/>
      <c r="AN846" s="177"/>
      <c r="AO846" s="177"/>
      <c r="AP846" s="177"/>
      <c r="AQ846" s="177"/>
    </row>
    <row r="847" ht="12.7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c r="AG847" s="177"/>
      <c r="AH847" s="177"/>
      <c r="AI847" s="177"/>
      <c r="AJ847" s="177"/>
      <c r="AK847" s="177"/>
      <c r="AL847" s="177"/>
      <c r="AM847" s="177"/>
      <c r="AN847" s="177"/>
      <c r="AO847" s="177"/>
      <c r="AP847" s="177"/>
      <c r="AQ847" s="177"/>
    </row>
    <row r="848" ht="12.7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c r="AG848" s="177"/>
      <c r="AH848" s="177"/>
      <c r="AI848" s="177"/>
      <c r="AJ848" s="177"/>
      <c r="AK848" s="177"/>
      <c r="AL848" s="177"/>
      <c r="AM848" s="177"/>
      <c r="AN848" s="177"/>
      <c r="AO848" s="177"/>
      <c r="AP848" s="177"/>
      <c r="AQ848" s="177"/>
    </row>
    <row r="849" ht="12.7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c r="AG849" s="177"/>
      <c r="AH849" s="177"/>
      <c r="AI849" s="177"/>
      <c r="AJ849" s="177"/>
      <c r="AK849" s="177"/>
      <c r="AL849" s="177"/>
      <c r="AM849" s="177"/>
      <c r="AN849" s="177"/>
      <c r="AO849" s="177"/>
      <c r="AP849" s="177"/>
      <c r="AQ849" s="177"/>
    </row>
    <row r="850" ht="12.7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c r="AG850" s="177"/>
      <c r="AH850" s="177"/>
      <c r="AI850" s="177"/>
      <c r="AJ850" s="177"/>
      <c r="AK850" s="177"/>
      <c r="AL850" s="177"/>
      <c r="AM850" s="177"/>
      <c r="AN850" s="177"/>
      <c r="AO850" s="177"/>
      <c r="AP850" s="177"/>
      <c r="AQ850" s="177"/>
    </row>
    <row r="851" ht="12.7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c r="AG851" s="177"/>
      <c r="AH851" s="177"/>
      <c r="AI851" s="177"/>
      <c r="AJ851" s="177"/>
      <c r="AK851" s="177"/>
      <c r="AL851" s="177"/>
      <c r="AM851" s="177"/>
      <c r="AN851" s="177"/>
      <c r="AO851" s="177"/>
      <c r="AP851" s="177"/>
      <c r="AQ851" s="177"/>
    </row>
    <row r="852" ht="12.7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c r="AG852" s="177"/>
      <c r="AH852" s="177"/>
      <c r="AI852" s="177"/>
      <c r="AJ852" s="177"/>
      <c r="AK852" s="177"/>
      <c r="AL852" s="177"/>
      <c r="AM852" s="177"/>
      <c r="AN852" s="177"/>
      <c r="AO852" s="177"/>
      <c r="AP852" s="177"/>
      <c r="AQ852" s="177"/>
    </row>
    <row r="853" ht="12.7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c r="AG853" s="177"/>
      <c r="AH853" s="177"/>
      <c r="AI853" s="177"/>
      <c r="AJ853" s="177"/>
      <c r="AK853" s="177"/>
      <c r="AL853" s="177"/>
      <c r="AM853" s="177"/>
      <c r="AN853" s="177"/>
      <c r="AO853" s="177"/>
      <c r="AP853" s="177"/>
      <c r="AQ853" s="177"/>
    </row>
    <row r="854" ht="12.7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c r="AG854" s="177"/>
      <c r="AH854" s="177"/>
      <c r="AI854" s="177"/>
      <c r="AJ854" s="177"/>
      <c r="AK854" s="177"/>
      <c r="AL854" s="177"/>
      <c r="AM854" s="177"/>
      <c r="AN854" s="177"/>
      <c r="AO854" s="177"/>
      <c r="AP854" s="177"/>
      <c r="AQ854" s="177"/>
    </row>
    <row r="855" ht="12.7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c r="AG855" s="177"/>
      <c r="AH855" s="177"/>
      <c r="AI855" s="177"/>
      <c r="AJ855" s="177"/>
      <c r="AK855" s="177"/>
      <c r="AL855" s="177"/>
      <c r="AM855" s="177"/>
      <c r="AN855" s="177"/>
      <c r="AO855" s="177"/>
      <c r="AP855" s="177"/>
      <c r="AQ855" s="177"/>
    </row>
    <row r="856" ht="12.7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c r="AH856" s="177"/>
      <c r="AI856" s="177"/>
      <c r="AJ856" s="177"/>
      <c r="AK856" s="177"/>
      <c r="AL856" s="177"/>
      <c r="AM856" s="177"/>
      <c r="AN856" s="177"/>
      <c r="AO856" s="177"/>
      <c r="AP856" s="177"/>
      <c r="AQ856" s="177"/>
    </row>
    <row r="857" ht="12.7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c r="AH857" s="177"/>
      <c r="AI857" s="177"/>
      <c r="AJ857" s="177"/>
      <c r="AK857" s="177"/>
      <c r="AL857" s="177"/>
      <c r="AM857" s="177"/>
      <c r="AN857" s="177"/>
      <c r="AO857" s="177"/>
      <c r="AP857" s="177"/>
      <c r="AQ857" s="177"/>
    </row>
    <row r="858" ht="12.7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c r="AH858" s="177"/>
      <c r="AI858" s="177"/>
      <c r="AJ858" s="177"/>
      <c r="AK858" s="177"/>
      <c r="AL858" s="177"/>
      <c r="AM858" s="177"/>
      <c r="AN858" s="177"/>
      <c r="AO858" s="177"/>
      <c r="AP858" s="177"/>
      <c r="AQ858" s="177"/>
    </row>
    <row r="859" ht="12.7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c r="AH859" s="177"/>
      <c r="AI859" s="177"/>
      <c r="AJ859" s="177"/>
      <c r="AK859" s="177"/>
      <c r="AL859" s="177"/>
      <c r="AM859" s="177"/>
      <c r="AN859" s="177"/>
      <c r="AO859" s="177"/>
      <c r="AP859" s="177"/>
      <c r="AQ859" s="177"/>
    </row>
    <row r="860" ht="12.7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c r="AH860" s="177"/>
      <c r="AI860" s="177"/>
      <c r="AJ860" s="177"/>
      <c r="AK860" s="177"/>
      <c r="AL860" s="177"/>
      <c r="AM860" s="177"/>
      <c r="AN860" s="177"/>
      <c r="AO860" s="177"/>
      <c r="AP860" s="177"/>
      <c r="AQ860" s="177"/>
    </row>
    <row r="861" ht="12.7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c r="AH861" s="177"/>
      <c r="AI861" s="177"/>
      <c r="AJ861" s="177"/>
      <c r="AK861" s="177"/>
      <c r="AL861" s="177"/>
      <c r="AM861" s="177"/>
      <c r="AN861" s="177"/>
      <c r="AO861" s="177"/>
      <c r="AP861" s="177"/>
      <c r="AQ861" s="177"/>
    </row>
    <row r="862" ht="12.7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c r="AH862" s="177"/>
      <c r="AI862" s="177"/>
      <c r="AJ862" s="177"/>
      <c r="AK862" s="177"/>
      <c r="AL862" s="177"/>
      <c r="AM862" s="177"/>
      <c r="AN862" s="177"/>
      <c r="AO862" s="177"/>
      <c r="AP862" s="177"/>
      <c r="AQ862" s="177"/>
    </row>
    <row r="863" ht="12.7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c r="AH863" s="177"/>
      <c r="AI863" s="177"/>
      <c r="AJ863" s="177"/>
      <c r="AK863" s="177"/>
      <c r="AL863" s="177"/>
      <c r="AM863" s="177"/>
      <c r="AN863" s="177"/>
      <c r="AO863" s="177"/>
      <c r="AP863" s="177"/>
      <c r="AQ863" s="177"/>
    </row>
    <row r="864" ht="12.7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c r="AH864" s="177"/>
      <c r="AI864" s="177"/>
      <c r="AJ864" s="177"/>
      <c r="AK864" s="177"/>
      <c r="AL864" s="177"/>
      <c r="AM864" s="177"/>
      <c r="AN864" s="177"/>
      <c r="AO864" s="177"/>
      <c r="AP864" s="177"/>
      <c r="AQ864" s="177"/>
    </row>
    <row r="865" ht="12.7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c r="AH865" s="177"/>
      <c r="AI865" s="177"/>
      <c r="AJ865" s="177"/>
      <c r="AK865" s="177"/>
      <c r="AL865" s="177"/>
      <c r="AM865" s="177"/>
      <c r="AN865" s="177"/>
      <c r="AO865" s="177"/>
      <c r="AP865" s="177"/>
      <c r="AQ865" s="177"/>
    </row>
    <row r="866" ht="12.7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c r="AG866" s="177"/>
      <c r="AH866" s="177"/>
      <c r="AI866" s="177"/>
      <c r="AJ866" s="177"/>
      <c r="AK866" s="177"/>
      <c r="AL866" s="177"/>
      <c r="AM866" s="177"/>
      <c r="AN866" s="177"/>
      <c r="AO866" s="177"/>
      <c r="AP866" s="177"/>
      <c r="AQ866" s="177"/>
    </row>
    <row r="867" ht="12.7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c r="AG867" s="177"/>
      <c r="AH867" s="177"/>
      <c r="AI867" s="177"/>
      <c r="AJ867" s="177"/>
      <c r="AK867" s="177"/>
      <c r="AL867" s="177"/>
      <c r="AM867" s="177"/>
      <c r="AN867" s="177"/>
      <c r="AO867" s="177"/>
      <c r="AP867" s="177"/>
      <c r="AQ867" s="177"/>
    </row>
    <row r="868" ht="12.7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c r="AG868" s="177"/>
      <c r="AH868" s="177"/>
      <c r="AI868" s="177"/>
      <c r="AJ868" s="177"/>
      <c r="AK868" s="177"/>
      <c r="AL868" s="177"/>
      <c r="AM868" s="177"/>
      <c r="AN868" s="177"/>
      <c r="AO868" s="177"/>
      <c r="AP868" s="177"/>
      <c r="AQ868" s="177"/>
    </row>
    <row r="869" ht="12.7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c r="AG869" s="177"/>
      <c r="AH869" s="177"/>
      <c r="AI869" s="177"/>
      <c r="AJ869" s="177"/>
      <c r="AK869" s="177"/>
      <c r="AL869" s="177"/>
      <c r="AM869" s="177"/>
      <c r="AN869" s="177"/>
      <c r="AO869" s="177"/>
      <c r="AP869" s="177"/>
      <c r="AQ869" s="177"/>
    </row>
    <row r="870" ht="12.7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c r="AG870" s="177"/>
      <c r="AH870" s="177"/>
      <c r="AI870" s="177"/>
      <c r="AJ870" s="177"/>
      <c r="AK870" s="177"/>
      <c r="AL870" s="177"/>
      <c r="AM870" s="177"/>
      <c r="AN870" s="177"/>
      <c r="AO870" s="177"/>
      <c r="AP870" s="177"/>
      <c r="AQ870" s="177"/>
    </row>
    <row r="871" ht="12.7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c r="AG871" s="177"/>
      <c r="AH871" s="177"/>
      <c r="AI871" s="177"/>
      <c r="AJ871" s="177"/>
      <c r="AK871" s="177"/>
      <c r="AL871" s="177"/>
      <c r="AM871" s="177"/>
      <c r="AN871" s="177"/>
      <c r="AO871" s="177"/>
      <c r="AP871" s="177"/>
      <c r="AQ871" s="177"/>
    </row>
    <row r="872" ht="12.7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c r="AG872" s="177"/>
      <c r="AH872" s="177"/>
      <c r="AI872" s="177"/>
      <c r="AJ872" s="177"/>
      <c r="AK872" s="177"/>
      <c r="AL872" s="177"/>
      <c r="AM872" s="177"/>
      <c r="AN872" s="177"/>
      <c r="AO872" s="177"/>
      <c r="AP872" s="177"/>
      <c r="AQ872" s="177"/>
    </row>
    <row r="873" ht="12.7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c r="AG873" s="177"/>
      <c r="AH873" s="177"/>
      <c r="AI873" s="177"/>
      <c r="AJ873" s="177"/>
      <c r="AK873" s="177"/>
      <c r="AL873" s="177"/>
      <c r="AM873" s="177"/>
      <c r="AN873" s="177"/>
      <c r="AO873" s="177"/>
      <c r="AP873" s="177"/>
      <c r="AQ873" s="177"/>
    </row>
    <row r="874" ht="12.7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c r="AG874" s="177"/>
      <c r="AH874" s="177"/>
      <c r="AI874" s="177"/>
      <c r="AJ874" s="177"/>
      <c r="AK874" s="177"/>
      <c r="AL874" s="177"/>
      <c r="AM874" s="177"/>
      <c r="AN874" s="177"/>
      <c r="AO874" s="177"/>
      <c r="AP874" s="177"/>
      <c r="AQ874" s="177"/>
    </row>
    <row r="875" ht="12.7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c r="AG875" s="177"/>
      <c r="AH875" s="177"/>
      <c r="AI875" s="177"/>
      <c r="AJ875" s="177"/>
      <c r="AK875" s="177"/>
      <c r="AL875" s="177"/>
      <c r="AM875" s="177"/>
      <c r="AN875" s="177"/>
      <c r="AO875" s="177"/>
      <c r="AP875" s="177"/>
      <c r="AQ875" s="177"/>
    </row>
    <row r="876" ht="12.7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c r="AG876" s="177"/>
      <c r="AH876" s="177"/>
      <c r="AI876" s="177"/>
      <c r="AJ876" s="177"/>
      <c r="AK876" s="177"/>
      <c r="AL876" s="177"/>
      <c r="AM876" s="177"/>
      <c r="AN876" s="177"/>
      <c r="AO876" s="177"/>
      <c r="AP876" s="177"/>
      <c r="AQ876" s="177"/>
    </row>
    <row r="877" ht="12.7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c r="AG877" s="177"/>
      <c r="AH877" s="177"/>
      <c r="AI877" s="177"/>
      <c r="AJ877" s="177"/>
      <c r="AK877" s="177"/>
      <c r="AL877" s="177"/>
      <c r="AM877" s="177"/>
      <c r="AN877" s="177"/>
      <c r="AO877" s="177"/>
      <c r="AP877" s="177"/>
      <c r="AQ877" s="177"/>
    </row>
    <row r="878" ht="12.7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c r="AG878" s="177"/>
      <c r="AH878" s="177"/>
      <c r="AI878" s="177"/>
      <c r="AJ878" s="177"/>
      <c r="AK878" s="177"/>
      <c r="AL878" s="177"/>
      <c r="AM878" s="177"/>
      <c r="AN878" s="177"/>
      <c r="AO878" s="177"/>
      <c r="AP878" s="177"/>
      <c r="AQ878" s="177"/>
    </row>
    <row r="879" ht="12.7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c r="AG879" s="177"/>
      <c r="AH879" s="177"/>
      <c r="AI879" s="177"/>
      <c r="AJ879" s="177"/>
      <c r="AK879" s="177"/>
      <c r="AL879" s="177"/>
      <c r="AM879" s="177"/>
      <c r="AN879" s="177"/>
      <c r="AO879" s="177"/>
      <c r="AP879" s="177"/>
      <c r="AQ879" s="177"/>
    </row>
    <row r="880" ht="12.7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c r="AG880" s="177"/>
      <c r="AH880" s="177"/>
      <c r="AI880" s="177"/>
      <c r="AJ880" s="177"/>
      <c r="AK880" s="177"/>
      <c r="AL880" s="177"/>
      <c r="AM880" s="177"/>
      <c r="AN880" s="177"/>
      <c r="AO880" s="177"/>
      <c r="AP880" s="177"/>
      <c r="AQ880" s="177"/>
    </row>
    <row r="881" ht="12.7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c r="AG881" s="177"/>
      <c r="AH881" s="177"/>
      <c r="AI881" s="177"/>
      <c r="AJ881" s="177"/>
      <c r="AK881" s="177"/>
      <c r="AL881" s="177"/>
      <c r="AM881" s="177"/>
      <c r="AN881" s="177"/>
      <c r="AO881" s="177"/>
      <c r="AP881" s="177"/>
      <c r="AQ881" s="177"/>
    </row>
    <row r="882" ht="12.7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c r="AG882" s="177"/>
      <c r="AH882" s="177"/>
      <c r="AI882" s="177"/>
      <c r="AJ882" s="177"/>
      <c r="AK882" s="177"/>
      <c r="AL882" s="177"/>
      <c r="AM882" s="177"/>
      <c r="AN882" s="177"/>
      <c r="AO882" s="177"/>
      <c r="AP882" s="177"/>
      <c r="AQ882" s="177"/>
    </row>
    <row r="883" ht="12.7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c r="AG883" s="177"/>
      <c r="AH883" s="177"/>
      <c r="AI883" s="177"/>
      <c r="AJ883" s="177"/>
      <c r="AK883" s="177"/>
      <c r="AL883" s="177"/>
      <c r="AM883" s="177"/>
      <c r="AN883" s="177"/>
      <c r="AO883" s="177"/>
      <c r="AP883" s="177"/>
      <c r="AQ883" s="177"/>
    </row>
    <row r="884" ht="12.7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c r="AG884" s="177"/>
      <c r="AH884" s="177"/>
      <c r="AI884" s="177"/>
      <c r="AJ884" s="177"/>
      <c r="AK884" s="177"/>
      <c r="AL884" s="177"/>
      <c r="AM884" s="177"/>
      <c r="AN884" s="177"/>
      <c r="AO884" s="177"/>
      <c r="AP884" s="177"/>
      <c r="AQ884" s="177"/>
    </row>
    <row r="885" ht="12.7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c r="AG885" s="177"/>
      <c r="AH885" s="177"/>
      <c r="AI885" s="177"/>
      <c r="AJ885" s="177"/>
      <c r="AK885" s="177"/>
      <c r="AL885" s="177"/>
      <c r="AM885" s="177"/>
      <c r="AN885" s="177"/>
      <c r="AO885" s="177"/>
      <c r="AP885" s="177"/>
      <c r="AQ885" s="177"/>
    </row>
    <row r="886" ht="12.7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c r="AG886" s="177"/>
      <c r="AH886" s="177"/>
      <c r="AI886" s="177"/>
      <c r="AJ886" s="177"/>
      <c r="AK886" s="177"/>
      <c r="AL886" s="177"/>
      <c r="AM886" s="177"/>
      <c r="AN886" s="177"/>
      <c r="AO886" s="177"/>
      <c r="AP886" s="177"/>
      <c r="AQ886" s="177"/>
    </row>
    <row r="887" ht="12.7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c r="AG887" s="177"/>
      <c r="AH887" s="177"/>
      <c r="AI887" s="177"/>
      <c r="AJ887" s="177"/>
      <c r="AK887" s="177"/>
      <c r="AL887" s="177"/>
      <c r="AM887" s="177"/>
      <c r="AN887" s="177"/>
      <c r="AO887" s="177"/>
      <c r="AP887" s="177"/>
      <c r="AQ887" s="177"/>
    </row>
    <row r="888" ht="12.7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c r="AG888" s="177"/>
      <c r="AH888" s="177"/>
      <c r="AI888" s="177"/>
      <c r="AJ888" s="177"/>
      <c r="AK888" s="177"/>
      <c r="AL888" s="177"/>
      <c r="AM888" s="177"/>
      <c r="AN888" s="177"/>
      <c r="AO888" s="177"/>
      <c r="AP888" s="177"/>
      <c r="AQ888" s="177"/>
    </row>
    <row r="889" ht="12.7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c r="AG889" s="177"/>
      <c r="AH889" s="177"/>
      <c r="AI889" s="177"/>
      <c r="AJ889" s="177"/>
      <c r="AK889" s="177"/>
      <c r="AL889" s="177"/>
      <c r="AM889" s="177"/>
      <c r="AN889" s="177"/>
      <c r="AO889" s="177"/>
      <c r="AP889" s="177"/>
      <c r="AQ889" s="177"/>
    </row>
    <row r="890" ht="12.7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c r="AG890" s="177"/>
      <c r="AH890" s="177"/>
      <c r="AI890" s="177"/>
      <c r="AJ890" s="177"/>
      <c r="AK890" s="177"/>
      <c r="AL890" s="177"/>
      <c r="AM890" s="177"/>
      <c r="AN890" s="177"/>
      <c r="AO890" s="177"/>
      <c r="AP890" s="177"/>
      <c r="AQ890" s="177"/>
    </row>
    <row r="891" ht="12.7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c r="AG891" s="177"/>
      <c r="AH891" s="177"/>
      <c r="AI891" s="177"/>
      <c r="AJ891" s="177"/>
      <c r="AK891" s="177"/>
      <c r="AL891" s="177"/>
      <c r="AM891" s="177"/>
      <c r="AN891" s="177"/>
      <c r="AO891" s="177"/>
      <c r="AP891" s="177"/>
      <c r="AQ891" s="177"/>
    </row>
    <row r="892" ht="12.7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c r="AG892" s="177"/>
      <c r="AH892" s="177"/>
      <c r="AI892" s="177"/>
      <c r="AJ892" s="177"/>
      <c r="AK892" s="177"/>
      <c r="AL892" s="177"/>
      <c r="AM892" s="177"/>
      <c r="AN892" s="177"/>
      <c r="AO892" s="177"/>
      <c r="AP892" s="177"/>
      <c r="AQ892" s="177"/>
    </row>
    <row r="893" ht="12.7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c r="AG893" s="177"/>
      <c r="AH893" s="177"/>
      <c r="AI893" s="177"/>
      <c r="AJ893" s="177"/>
      <c r="AK893" s="177"/>
      <c r="AL893" s="177"/>
      <c r="AM893" s="177"/>
      <c r="AN893" s="177"/>
      <c r="AO893" s="177"/>
      <c r="AP893" s="177"/>
      <c r="AQ893" s="177"/>
    </row>
    <row r="894" ht="12.7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c r="AG894" s="177"/>
      <c r="AH894" s="177"/>
      <c r="AI894" s="177"/>
      <c r="AJ894" s="177"/>
      <c r="AK894" s="177"/>
      <c r="AL894" s="177"/>
      <c r="AM894" s="177"/>
      <c r="AN894" s="177"/>
      <c r="AO894" s="177"/>
      <c r="AP894" s="177"/>
      <c r="AQ894" s="177"/>
    </row>
    <row r="895" ht="12.7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c r="AG895" s="177"/>
      <c r="AH895" s="177"/>
      <c r="AI895" s="177"/>
      <c r="AJ895" s="177"/>
      <c r="AK895" s="177"/>
      <c r="AL895" s="177"/>
      <c r="AM895" s="177"/>
      <c r="AN895" s="177"/>
      <c r="AO895" s="177"/>
      <c r="AP895" s="177"/>
      <c r="AQ895" s="177"/>
    </row>
    <row r="896" ht="12.7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c r="AG896" s="177"/>
      <c r="AH896" s="177"/>
      <c r="AI896" s="177"/>
      <c r="AJ896" s="177"/>
      <c r="AK896" s="177"/>
      <c r="AL896" s="177"/>
      <c r="AM896" s="177"/>
      <c r="AN896" s="177"/>
      <c r="AO896" s="177"/>
      <c r="AP896" s="177"/>
      <c r="AQ896" s="177"/>
    </row>
    <row r="897" ht="12.7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c r="AG897" s="177"/>
      <c r="AH897" s="177"/>
      <c r="AI897" s="177"/>
      <c r="AJ897" s="177"/>
      <c r="AK897" s="177"/>
      <c r="AL897" s="177"/>
      <c r="AM897" s="177"/>
      <c r="AN897" s="177"/>
      <c r="AO897" s="177"/>
      <c r="AP897" s="177"/>
      <c r="AQ897" s="177"/>
    </row>
    <row r="898" ht="12.7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c r="AG898" s="177"/>
      <c r="AH898" s="177"/>
      <c r="AI898" s="177"/>
      <c r="AJ898" s="177"/>
      <c r="AK898" s="177"/>
      <c r="AL898" s="177"/>
      <c r="AM898" s="177"/>
      <c r="AN898" s="177"/>
      <c r="AO898" s="177"/>
      <c r="AP898" s="177"/>
      <c r="AQ898" s="177"/>
    </row>
    <row r="899" ht="12.7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c r="AG899" s="177"/>
      <c r="AH899" s="177"/>
      <c r="AI899" s="177"/>
      <c r="AJ899" s="177"/>
      <c r="AK899" s="177"/>
      <c r="AL899" s="177"/>
      <c r="AM899" s="177"/>
      <c r="AN899" s="177"/>
      <c r="AO899" s="177"/>
      <c r="AP899" s="177"/>
      <c r="AQ899" s="177"/>
    </row>
    <row r="900" ht="12.7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c r="AG900" s="177"/>
      <c r="AH900" s="177"/>
      <c r="AI900" s="177"/>
      <c r="AJ900" s="177"/>
      <c r="AK900" s="177"/>
      <c r="AL900" s="177"/>
      <c r="AM900" s="177"/>
      <c r="AN900" s="177"/>
      <c r="AO900" s="177"/>
      <c r="AP900" s="177"/>
      <c r="AQ900" s="177"/>
    </row>
    <row r="901" ht="12.7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c r="AG901" s="177"/>
      <c r="AH901" s="177"/>
      <c r="AI901" s="177"/>
      <c r="AJ901" s="177"/>
      <c r="AK901" s="177"/>
      <c r="AL901" s="177"/>
      <c r="AM901" s="177"/>
      <c r="AN901" s="177"/>
      <c r="AO901" s="177"/>
      <c r="AP901" s="177"/>
      <c r="AQ901" s="177"/>
    </row>
    <row r="902" ht="12.7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c r="AG902" s="177"/>
      <c r="AH902" s="177"/>
      <c r="AI902" s="177"/>
      <c r="AJ902" s="177"/>
      <c r="AK902" s="177"/>
      <c r="AL902" s="177"/>
      <c r="AM902" s="177"/>
      <c r="AN902" s="177"/>
      <c r="AO902" s="177"/>
      <c r="AP902" s="177"/>
      <c r="AQ902" s="177"/>
    </row>
    <row r="903" ht="12.7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c r="AG903" s="177"/>
      <c r="AH903" s="177"/>
      <c r="AI903" s="177"/>
      <c r="AJ903" s="177"/>
      <c r="AK903" s="177"/>
      <c r="AL903" s="177"/>
      <c r="AM903" s="177"/>
      <c r="AN903" s="177"/>
      <c r="AO903" s="177"/>
      <c r="AP903" s="177"/>
      <c r="AQ903" s="177"/>
    </row>
    <row r="904" ht="12.7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c r="AG904" s="177"/>
      <c r="AH904" s="177"/>
      <c r="AI904" s="177"/>
      <c r="AJ904" s="177"/>
      <c r="AK904" s="177"/>
      <c r="AL904" s="177"/>
      <c r="AM904" s="177"/>
      <c r="AN904" s="177"/>
      <c r="AO904" s="177"/>
      <c r="AP904" s="177"/>
      <c r="AQ904" s="177"/>
    </row>
    <row r="905" ht="12.7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c r="AG905" s="177"/>
      <c r="AH905" s="177"/>
      <c r="AI905" s="177"/>
      <c r="AJ905" s="177"/>
      <c r="AK905" s="177"/>
      <c r="AL905" s="177"/>
      <c r="AM905" s="177"/>
      <c r="AN905" s="177"/>
      <c r="AO905" s="177"/>
      <c r="AP905" s="177"/>
      <c r="AQ905" s="177"/>
    </row>
    <row r="906" ht="12.7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c r="AG906" s="177"/>
      <c r="AH906" s="177"/>
      <c r="AI906" s="177"/>
      <c r="AJ906" s="177"/>
      <c r="AK906" s="177"/>
      <c r="AL906" s="177"/>
      <c r="AM906" s="177"/>
      <c r="AN906" s="177"/>
      <c r="AO906" s="177"/>
      <c r="AP906" s="177"/>
      <c r="AQ906" s="177"/>
    </row>
    <row r="907" ht="12.7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c r="AG907" s="177"/>
      <c r="AH907" s="177"/>
      <c r="AI907" s="177"/>
      <c r="AJ907" s="177"/>
      <c r="AK907" s="177"/>
      <c r="AL907" s="177"/>
      <c r="AM907" s="177"/>
      <c r="AN907" s="177"/>
      <c r="AO907" s="177"/>
      <c r="AP907" s="177"/>
      <c r="AQ907" s="177"/>
    </row>
    <row r="908" ht="12.7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c r="AG908" s="177"/>
      <c r="AH908" s="177"/>
      <c r="AI908" s="177"/>
      <c r="AJ908" s="177"/>
      <c r="AK908" s="177"/>
      <c r="AL908" s="177"/>
      <c r="AM908" s="177"/>
      <c r="AN908" s="177"/>
      <c r="AO908" s="177"/>
      <c r="AP908" s="177"/>
      <c r="AQ908" s="177"/>
    </row>
    <row r="909" ht="12.7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c r="AF909" s="177"/>
      <c r="AG909" s="177"/>
      <c r="AH909" s="177"/>
      <c r="AI909" s="177"/>
      <c r="AJ909" s="177"/>
      <c r="AK909" s="177"/>
      <c r="AL909" s="177"/>
      <c r="AM909" s="177"/>
      <c r="AN909" s="177"/>
      <c r="AO909" s="177"/>
      <c r="AP909" s="177"/>
      <c r="AQ909" s="177"/>
    </row>
    <row r="910" ht="12.7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c r="AF910" s="177"/>
      <c r="AG910" s="177"/>
      <c r="AH910" s="177"/>
      <c r="AI910" s="177"/>
      <c r="AJ910" s="177"/>
      <c r="AK910" s="177"/>
      <c r="AL910" s="177"/>
      <c r="AM910" s="177"/>
      <c r="AN910" s="177"/>
      <c r="AO910" s="177"/>
      <c r="AP910" s="177"/>
      <c r="AQ910" s="177"/>
    </row>
    <row r="911" ht="12.7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c r="AF911" s="177"/>
      <c r="AG911" s="177"/>
      <c r="AH911" s="177"/>
      <c r="AI911" s="177"/>
      <c r="AJ911" s="177"/>
      <c r="AK911" s="177"/>
      <c r="AL911" s="177"/>
      <c r="AM911" s="177"/>
      <c r="AN911" s="177"/>
      <c r="AO911" s="177"/>
      <c r="AP911" s="177"/>
      <c r="AQ911" s="177"/>
    </row>
    <row r="912" ht="12.7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c r="AF912" s="177"/>
      <c r="AG912" s="177"/>
      <c r="AH912" s="177"/>
      <c r="AI912" s="177"/>
      <c r="AJ912" s="177"/>
      <c r="AK912" s="177"/>
      <c r="AL912" s="177"/>
      <c r="AM912" s="177"/>
      <c r="AN912" s="177"/>
      <c r="AO912" s="177"/>
      <c r="AP912" s="177"/>
      <c r="AQ912" s="177"/>
    </row>
    <row r="913" ht="12.7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c r="AF913" s="177"/>
      <c r="AG913" s="177"/>
      <c r="AH913" s="177"/>
      <c r="AI913" s="177"/>
      <c r="AJ913" s="177"/>
      <c r="AK913" s="177"/>
      <c r="AL913" s="177"/>
      <c r="AM913" s="177"/>
      <c r="AN913" s="177"/>
      <c r="AO913" s="177"/>
      <c r="AP913" s="177"/>
      <c r="AQ913" s="177"/>
    </row>
    <row r="914" ht="12.7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c r="AF914" s="177"/>
      <c r="AG914" s="177"/>
      <c r="AH914" s="177"/>
      <c r="AI914" s="177"/>
      <c r="AJ914" s="177"/>
      <c r="AK914" s="177"/>
      <c r="AL914" s="177"/>
      <c r="AM914" s="177"/>
      <c r="AN914" s="177"/>
      <c r="AO914" s="177"/>
      <c r="AP914" s="177"/>
      <c r="AQ914" s="177"/>
    </row>
    <row r="915" ht="12.7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c r="AF915" s="177"/>
      <c r="AG915" s="177"/>
      <c r="AH915" s="177"/>
      <c r="AI915" s="177"/>
      <c r="AJ915" s="177"/>
      <c r="AK915" s="177"/>
      <c r="AL915" s="177"/>
      <c r="AM915" s="177"/>
      <c r="AN915" s="177"/>
      <c r="AO915" s="177"/>
      <c r="AP915" s="177"/>
      <c r="AQ915" s="177"/>
    </row>
    <row r="916" ht="12.7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c r="AF916" s="177"/>
      <c r="AG916" s="177"/>
      <c r="AH916" s="177"/>
      <c r="AI916" s="177"/>
      <c r="AJ916" s="177"/>
      <c r="AK916" s="177"/>
      <c r="AL916" s="177"/>
      <c r="AM916" s="177"/>
      <c r="AN916" s="177"/>
      <c r="AO916" s="177"/>
      <c r="AP916" s="177"/>
      <c r="AQ916" s="177"/>
    </row>
    <row r="917" ht="12.7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c r="AF917" s="177"/>
      <c r="AG917" s="177"/>
      <c r="AH917" s="177"/>
      <c r="AI917" s="177"/>
      <c r="AJ917" s="177"/>
      <c r="AK917" s="177"/>
      <c r="AL917" s="177"/>
      <c r="AM917" s="177"/>
      <c r="AN917" s="177"/>
      <c r="AO917" s="177"/>
      <c r="AP917" s="177"/>
      <c r="AQ917" s="177"/>
    </row>
    <row r="918" ht="12.7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c r="AF918" s="177"/>
      <c r="AG918" s="177"/>
      <c r="AH918" s="177"/>
      <c r="AI918" s="177"/>
      <c r="AJ918" s="177"/>
      <c r="AK918" s="177"/>
      <c r="AL918" s="177"/>
      <c r="AM918" s="177"/>
      <c r="AN918" s="177"/>
      <c r="AO918" s="177"/>
      <c r="AP918" s="177"/>
      <c r="AQ918" s="177"/>
    </row>
    <row r="919" ht="12.7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c r="AF919" s="177"/>
      <c r="AG919" s="177"/>
      <c r="AH919" s="177"/>
      <c r="AI919" s="177"/>
      <c r="AJ919" s="177"/>
      <c r="AK919" s="177"/>
      <c r="AL919" s="177"/>
      <c r="AM919" s="177"/>
      <c r="AN919" s="177"/>
      <c r="AO919" s="177"/>
      <c r="AP919" s="177"/>
      <c r="AQ919" s="177"/>
    </row>
    <row r="920" ht="12.7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c r="AF920" s="177"/>
      <c r="AG920" s="177"/>
      <c r="AH920" s="177"/>
      <c r="AI920" s="177"/>
      <c r="AJ920" s="177"/>
      <c r="AK920" s="177"/>
      <c r="AL920" s="177"/>
      <c r="AM920" s="177"/>
      <c r="AN920" s="177"/>
      <c r="AO920" s="177"/>
      <c r="AP920" s="177"/>
      <c r="AQ920" s="177"/>
    </row>
    <row r="921" ht="12.7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c r="AF921" s="177"/>
      <c r="AG921" s="177"/>
      <c r="AH921" s="177"/>
      <c r="AI921" s="177"/>
      <c r="AJ921" s="177"/>
      <c r="AK921" s="177"/>
      <c r="AL921" s="177"/>
      <c r="AM921" s="177"/>
      <c r="AN921" s="177"/>
      <c r="AO921" s="177"/>
      <c r="AP921" s="177"/>
      <c r="AQ921" s="177"/>
    </row>
    <row r="922" ht="12.7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c r="AF922" s="177"/>
      <c r="AG922" s="177"/>
      <c r="AH922" s="177"/>
      <c r="AI922" s="177"/>
      <c r="AJ922" s="177"/>
      <c r="AK922" s="177"/>
      <c r="AL922" s="177"/>
      <c r="AM922" s="177"/>
      <c r="AN922" s="177"/>
      <c r="AO922" s="177"/>
      <c r="AP922" s="177"/>
      <c r="AQ922" s="177"/>
    </row>
    <row r="923" ht="12.7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c r="AF923" s="177"/>
      <c r="AG923" s="177"/>
      <c r="AH923" s="177"/>
      <c r="AI923" s="177"/>
      <c r="AJ923" s="177"/>
      <c r="AK923" s="177"/>
      <c r="AL923" s="177"/>
      <c r="AM923" s="177"/>
      <c r="AN923" s="177"/>
      <c r="AO923" s="177"/>
      <c r="AP923" s="177"/>
      <c r="AQ923" s="177"/>
    </row>
    <row r="924" ht="12.7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c r="AF924" s="177"/>
      <c r="AG924" s="177"/>
      <c r="AH924" s="177"/>
      <c r="AI924" s="177"/>
      <c r="AJ924" s="177"/>
      <c r="AK924" s="177"/>
      <c r="AL924" s="177"/>
      <c r="AM924" s="177"/>
      <c r="AN924" s="177"/>
      <c r="AO924" s="177"/>
      <c r="AP924" s="177"/>
      <c r="AQ924" s="177"/>
    </row>
    <row r="925" ht="12.7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c r="AF925" s="177"/>
      <c r="AG925" s="177"/>
      <c r="AH925" s="177"/>
      <c r="AI925" s="177"/>
      <c r="AJ925" s="177"/>
      <c r="AK925" s="177"/>
      <c r="AL925" s="177"/>
      <c r="AM925" s="177"/>
      <c r="AN925" s="177"/>
      <c r="AO925" s="177"/>
      <c r="AP925" s="177"/>
      <c r="AQ925" s="177"/>
    </row>
    <row r="926" ht="12.7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c r="AF926" s="177"/>
      <c r="AG926" s="177"/>
      <c r="AH926" s="177"/>
      <c r="AI926" s="177"/>
      <c r="AJ926" s="177"/>
      <c r="AK926" s="177"/>
      <c r="AL926" s="177"/>
      <c r="AM926" s="177"/>
      <c r="AN926" s="177"/>
      <c r="AO926" s="177"/>
      <c r="AP926" s="177"/>
      <c r="AQ926" s="177"/>
    </row>
    <row r="927" ht="12.7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c r="AF927" s="177"/>
      <c r="AG927" s="177"/>
      <c r="AH927" s="177"/>
      <c r="AI927" s="177"/>
      <c r="AJ927" s="177"/>
      <c r="AK927" s="177"/>
      <c r="AL927" s="177"/>
      <c r="AM927" s="177"/>
      <c r="AN927" s="177"/>
      <c r="AO927" s="177"/>
      <c r="AP927" s="177"/>
      <c r="AQ927" s="177"/>
    </row>
    <row r="928" ht="12.7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c r="AF928" s="177"/>
      <c r="AG928" s="177"/>
      <c r="AH928" s="177"/>
      <c r="AI928" s="177"/>
      <c r="AJ928" s="177"/>
      <c r="AK928" s="177"/>
      <c r="AL928" s="177"/>
      <c r="AM928" s="177"/>
      <c r="AN928" s="177"/>
      <c r="AO928" s="177"/>
      <c r="AP928" s="177"/>
      <c r="AQ928" s="177"/>
    </row>
    <row r="929" ht="12.7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c r="AF929" s="177"/>
      <c r="AG929" s="177"/>
      <c r="AH929" s="177"/>
      <c r="AI929" s="177"/>
      <c r="AJ929" s="177"/>
      <c r="AK929" s="177"/>
      <c r="AL929" s="177"/>
      <c r="AM929" s="177"/>
      <c r="AN929" s="177"/>
      <c r="AO929" s="177"/>
      <c r="AP929" s="177"/>
      <c r="AQ929" s="177"/>
    </row>
    <row r="930" ht="12.7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c r="AF930" s="177"/>
      <c r="AG930" s="177"/>
      <c r="AH930" s="177"/>
      <c r="AI930" s="177"/>
      <c r="AJ930" s="177"/>
      <c r="AK930" s="177"/>
      <c r="AL930" s="177"/>
      <c r="AM930" s="177"/>
      <c r="AN930" s="177"/>
      <c r="AO930" s="177"/>
      <c r="AP930" s="177"/>
      <c r="AQ930" s="177"/>
    </row>
    <row r="931" ht="12.7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c r="AF931" s="177"/>
      <c r="AG931" s="177"/>
      <c r="AH931" s="177"/>
      <c r="AI931" s="177"/>
      <c r="AJ931" s="177"/>
      <c r="AK931" s="177"/>
      <c r="AL931" s="177"/>
      <c r="AM931" s="177"/>
      <c r="AN931" s="177"/>
      <c r="AO931" s="177"/>
      <c r="AP931" s="177"/>
      <c r="AQ931" s="177"/>
    </row>
    <row r="932" ht="12.7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c r="AF932" s="177"/>
      <c r="AG932" s="177"/>
      <c r="AH932" s="177"/>
      <c r="AI932" s="177"/>
      <c r="AJ932" s="177"/>
      <c r="AK932" s="177"/>
      <c r="AL932" s="177"/>
      <c r="AM932" s="177"/>
      <c r="AN932" s="177"/>
      <c r="AO932" s="177"/>
      <c r="AP932" s="177"/>
      <c r="AQ932" s="177"/>
    </row>
    <row r="933" ht="12.7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c r="AF933" s="177"/>
      <c r="AG933" s="177"/>
      <c r="AH933" s="177"/>
      <c r="AI933" s="177"/>
      <c r="AJ933" s="177"/>
      <c r="AK933" s="177"/>
      <c r="AL933" s="177"/>
      <c r="AM933" s="177"/>
      <c r="AN933" s="177"/>
      <c r="AO933" s="177"/>
      <c r="AP933" s="177"/>
      <c r="AQ933" s="177"/>
    </row>
    <row r="934" ht="12.7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c r="AF934" s="177"/>
      <c r="AG934" s="177"/>
      <c r="AH934" s="177"/>
      <c r="AI934" s="177"/>
      <c r="AJ934" s="177"/>
      <c r="AK934" s="177"/>
      <c r="AL934" s="177"/>
      <c r="AM934" s="177"/>
      <c r="AN934" s="177"/>
      <c r="AO934" s="177"/>
      <c r="AP934" s="177"/>
      <c r="AQ934" s="177"/>
    </row>
    <row r="935" ht="12.7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c r="AF935" s="177"/>
      <c r="AG935" s="177"/>
      <c r="AH935" s="177"/>
      <c r="AI935" s="177"/>
      <c r="AJ935" s="177"/>
      <c r="AK935" s="177"/>
      <c r="AL935" s="177"/>
      <c r="AM935" s="177"/>
      <c r="AN935" s="177"/>
      <c r="AO935" s="177"/>
      <c r="AP935" s="177"/>
      <c r="AQ935" s="177"/>
    </row>
    <row r="936" ht="12.7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c r="AF936" s="177"/>
      <c r="AG936" s="177"/>
      <c r="AH936" s="177"/>
      <c r="AI936" s="177"/>
      <c r="AJ936" s="177"/>
      <c r="AK936" s="177"/>
      <c r="AL936" s="177"/>
      <c r="AM936" s="177"/>
      <c r="AN936" s="177"/>
      <c r="AO936" s="177"/>
      <c r="AP936" s="177"/>
      <c r="AQ936" s="177"/>
    </row>
    <row r="937" ht="12.7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c r="AF937" s="177"/>
      <c r="AG937" s="177"/>
      <c r="AH937" s="177"/>
      <c r="AI937" s="177"/>
      <c r="AJ937" s="177"/>
      <c r="AK937" s="177"/>
      <c r="AL937" s="177"/>
      <c r="AM937" s="177"/>
      <c r="AN937" s="177"/>
      <c r="AO937" s="177"/>
      <c r="AP937" s="177"/>
      <c r="AQ937" s="177"/>
    </row>
    <row r="938" ht="12.7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c r="AF938" s="177"/>
      <c r="AG938" s="177"/>
      <c r="AH938" s="177"/>
      <c r="AI938" s="177"/>
      <c r="AJ938" s="177"/>
      <c r="AK938" s="177"/>
      <c r="AL938" s="177"/>
      <c r="AM938" s="177"/>
      <c r="AN938" s="177"/>
      <c r="AO938" s="177"/>
      <c r="AP938" s="177"/>
      <c r="AQ938" s="177"/>
    </row>
    <row r="939" ht="12.7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c r="AF939" s="177"/>
      <c r="AG939" s="177"/>
      <c r="AH939" s="177"/>
      <c r="AI939" s="177"/>
      <c r="AJ939" s="177"/>
      <c r="AK939" s="177"/>
      <c r="AL939" s="177"/>
      <c r="AM939" s="177"/>
      <c r="AN939" s="177"/>
      <c r="AO939" s="177"/>
      <c r="AP939" s="177"/>
      <c r="AQ939" s="177"/>
    </row>
    <row r="940" ht="12.7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c r="AF940" s="177"/>
      <c r="AG940" s="177"/>
      <c r="AH940" s="177"/>
      <c r="AI940" s="177"/>
      <c r="AJ940" s="177"/>
      <c r="AK940" s="177"/>
      <c r="AL940" s="177"/>
      <c r="AM940" s="177"/>
      <c r="AN940" s="177"/>
      <c r="AO940" s="177"/>
      <c r="AP940" s="177"/>
      <c r="AQ940" s="177"/>
    </row>
    <row r="941" ht="12.7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c r="AF941" s="177"/>
      <c r="AG941" s="177"/>
      <c r="AH941" s="177"/>
      <c r="AI941" s="177"/>
      <c r="AJ941" s="177"/>
      <c r="AK941" s="177"/>
      <c r="AL941" s="177"/>
      <c r="AM941" s="177"/>
      <c r="AN941" s="177"/>
      <c r="AO941" s="177"/>
      <c r="AP941" s="177"/>
      <c r="AQ941" s="177"/>
    </row>
    <row r="942" ht="12.7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c r="AF942" s="177"/>
      <c r="AG942" s="177"/>
      <c r="AH942" s="177"/>
      <c r="AI942" s="177"/>
      <c r="AJ942" s="177"/>
      <c r="AK942" s="177"/>
      <c r="AL942" s="177"/>
      <c r="AM942" s="177"/>
      <c r="AN942" s="177"/>
      <c r="AO942" s="177"/>
      <c r="AP942" s="177"/>
      <c r="AQ942" s="177"/>
    </row>
    <row r="943" ht="12.7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c r="AF943" s="177"/>
      <c r="AG943" s="177"/>
      <c r="AH943" s="177"/>
      <c r="AI943" s="177"/>
      <c r="AJ943" s="177"/>
      <c r="AK943" s="177"/>
      <c r="AL943" s="177"/>
      <c r="AM943" s="177"/>
      <c r="AN943" s="177"/>
      <c r="AO943" s="177"/>
      <c r="AP943" s="177"/>
      <c r="AQ943" s="177"/>
    </row>
    <row r="944" ht="12.7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c r="AF944" s="177"/>
      <c r="AG944" s="177"/>
      <c r="AH944" s="177"/>
      <c r="AI944" s="177"/>
      <c r="AJ944" s="177"/>
      <c r="AK944" s="177"/>
      <c r="AL944" s="177"/>
      <c r="AM944" s="177"/>
      <c r="AN944" s="177"/>
      <c r="AO944" s="177"/>
      <c r="AP944" s="177"/>
      <c r="AQ944" s="177"/>
    </row>
    <row r="945" ht="12.7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c r="AF945" s="177"/>
      <c r="AG945" s="177"/>
      <c r="AH945" s="177"/>
      <c r="AI945" s="177"/>
      <c r="AJ945" s="177"/>
      <c r="AK945" s="177"/>
      <c r="AL945" s="177"/>
      <c r="AM945" s="177"/>
      <c r="AN945" s="177"/>
      <c r="AO945" s="177"/>
      <c r="AP945" s="177"/>
      <c r="AQ945" s="177"/>
    </row>
    <row r="946" ht="12.7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c r="AF946" s="177"/>
      <c r="AG946" s="177"/>
      <c r="AH946" s="177"/>
      <c r="AI946" s="177"/>
      <c r="AJ946" s="177"/>
      <c r="AK946" s="177"/>
      <c r="AL946" s="177"/>
      <c r="AM946" s="177"/>
      <c r="AN946" s="177"/>
      <c r="AO946" s="177"/>
      <c r="AP946" s="177"/>
      <c r="AQ946" s="177"/>
    </row>
    <row r="947" ht="12.7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c r="AF947" s="177"/>
      <c r="AG947" s="177"/>
      <c r="AH947" s="177"/>
      <c r="AI947" s="177"/>
      <c r="AJ947" s="177"/>
      <c r="AK947" s="177"/>
      <c r="AL947" s="177"/>
      <c r="AM947" s="177"/>
      <c r="AN947" s="177"/>
      <c r="AO947" s="177"/>
      <c r="AP947" s="177"/>
      <c r="AQ947" s="177"/>
    </row>
    <row r="948" ht="12.7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c r="AF948" s="177"/>
      <c r="AG948" s="177"/>
      <c r="AH948" s="177"/>
      <c r="AI948" s="177"/>
      <c r="AJ948" s="177"/>
      <c r="AK948" s="177"/>
      <c r="AL948" s="177"/>
      <c r="AM948" s="177"/>
      <c r="AN948" s="177"/>
      <c r="AO948" s="177"/>
      <c r="AP948" s="177"/>
      <c r="AQ948" s="177"/>
    </row>
    <row r="949" ht="12.7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c r="AF949" s="177"/>
      <c r="AG949" s="177"/>
      <c r="AH949" s="177"/>
      <c r="AI949" s="177"/>
      <c r="AJ949" s="177"/>
      <c r="AK949" s="177"/>
      <c r="AL949" s="177"/>
      <c r="AM949" s="177"/>
      <c r="AN949" s="177"/>
      <c r="AO949" s="177"/>
      <c r="AP949" s="177"/>
      <c r="AQ949" s="177"/>
    </row>
    <row r="950" ht="12.7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c r="AF950" s="177"/>
      <c r="AG950" s="177"/>
      <c r="AH950" s="177"/>
      <c r="AI950" s="177"/>
      <c r="AJ950" s="177"/>
      <c r="AK950" s="177"/>
      <c r="AL950" s="177"/>
      <c r="AM950" s="177"/>
      <c r="AN950" s="177"/>
      <c r="AO950" s="177"/>
      <c r="AP950" s="177"/>
      <c r="AQ950" s="177"/>
    </row>
    <row r="951" ht="12.7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c r="AF951" s="177"/>
      <c r="AG951" s="177"/>
      <c r="AH951" s="177"/>
      <c r="AI951" s="177"/>
      <c r="AJ951" s="177"/>
      <c r="AK951" s="177"/>
      <c r="AL951" s="177"/>
      <c r="AM951" s="177"/>
      <c r="AN951" s="177"/>
      <c r="AO951" s="177"/>
      <c r="AP951" s="177"/>
      <c r="AQ951" s="177"/>
    </row>
    <row r="952" ht="12.7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c r="AF952" s="177"/>
      <c r="AG952" s="177"/>
      <c r="AH952" s="177"/>
      <c r="AI952" s="177"/>
      <c r="AJ952" s="177"/>
      <c r="AK952" s="177"/>
      <c r="AL952" s="177"/>
      <c r="AM952" s="177"/>
      <c r="AN952" s="177"/>
      <c r="AO952" s="177"/>
      <c r="AP952" s="177"/>
      <c r="AQ952" s="177"/>
    </row>
    <row r="953" ht="12.7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c r="AF953" s="177"/>
      <c r="AG953" s="177"/>
      <c r="AH953" s="177"/>
      <c r="AI953" s="177"/>
      <c r="AJ953" s="177"/>
      <c r="AK953" s="177"/>
      <c r="AL953" s="177"/>
      <c r="AM953" s="177"/>
      <c r="AN953" s="177"/>
      <c r="AO953" s="177"/>
      <c r="AP953" s="177"/>
      <c r="AQ953" s="177"/>
    </row>
    <row r="954" ht="12.7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c r="AF954" s="177"/>
      <c r="AG954" s="177"/>
      <c r="AH954" s="177"/>
      <c r="AI954" s="177"/>
      <c r="AJ954" s="177"/>
      <c r="AK954" s="177"/>
      <c r="AL954" s="177"/>
      <c r="AM954" s="177"/>
      <c r="AN954" s="177"/>
      <c r="AO954" s="177"/>
      <c r="AP954" s="177"/>
      <c r="AQ954" s="177"/>
    </row>
    <row r="955" ht="12.7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c r="AF955" s="177"/>
      <c r="AG955" s="177"/>
      <c r="AH955" s="177"/>
      <c r="AI955" s="177"/>
      <c r="AJ955" s="177"/>
      <c r="AK955" s="177"/>
      <c r="AL955" s="177"/>
      <c r="AM955" s="177"/>
      <c r="AN955" s="177"/>
      <c r="AO955" s="177"/>
      <c r="AP955" s="177"/>
      <c r="AQ955" s="177"/>
    </row>
    <row r="956" ht="12.7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c r="AF956" s="177"/>
      <c r="AG956" s="177"/>
      <c r="AH956" s="177"/>
      <c r="AI956" s="177"/>
      <c r="AJ956" s="177"/>
      <c r="AK956" s="177"/>
      <c r="AL956" s="177"/>
      <c r="AM956" s="177"/>
      <c r="AN956" s="177"/>
      <c r="AO956" s="177"/>
      <c r="AP956" s="177"/>
      <c r="AQ956" s="177"/>
    </row>
    <row r="957" ht="12.7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c r="AF957" s="177"/>
      <c r="AG957" s="177"/>
      <c r="AH957" s="177"/>
      <c r="AI957" s="177"/>
      <c r="AJ957" s="177"/>
      <c r="AK957" s="177"/>
      <c r="AL957" s="177"/>
      <c r="AM957" s="177"/>
      <c r="AN957" s="177"/>
      <c r="AO957" s="177"/>
      <c r="AP957" s="177"/>
      <c r="AQ957" s="177"/>
    </row>
    <row r="958" ht="12.7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c r="AF958" s="177"/>
      <c r="AG958" s="177"/>
      <c r="AH958" s="177"/>
      <c r="AI958" s="177"/>
      <c r="AJ958" s="177"/>
      <c r="AK958" s="177"/>
      <c r="AL958" s="177"/>
      <c r="AM958" s="177"/>
      <c r="AN958" s="177"/>
      <c r="AO958" s="177"/>
      <c r="AP958" s="177"/>
      <c r="AQ958" s="177"/>
    </row>
    <row r="959" ht="12.7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c r="AF959" s="177"/>
      <c r="AG959" s="177"/>
      <c r="AH959" s="177"/>
      <c r="AI959" s="177"/>
      <c r="AJ959" s="177"/>
      <c r="AK959" s="177"/>
      <c r="AL959" s="177"/>
      <c r="AM959" s="177"/>
      <c r="AN959" s="177"/>
      <c r="AO959" s="177"/>
      <c r="AP959" s="177"/>
      <c r="AQ959" s="177"/>
    </row>
    <row r="960" ht="12.7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c r="AF960" s="177"/>
      <c r="AG960" s="177"/>
      <c r="AH960" s="177"/>
      <c r="AI960" s="177"/>
      <c r="AJ960" s="177"/>
      <c r="AK960" s="177"/>
      <c r="AL960" s="177"/>
      <c r="AM960" s="177"/>
      <c r="AN960" s="177"/>
      <c r="AO960" s="177"/>
      <c r="AP960" s="177"/>
      <c r="AQ960" s="177"/>
    </row>
    <row r="961" ht="12.7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c r="AF961" s="177"/>
      <c r="AG961" s="177"/>
      <c r="AH961" s="177"/>
      <c r="AI961" s="177"/>
      <c r="AJ961" s="177"/>
      <c r="AK961" s="177"/>
      <c r="AL961" s="177"/>
      <c r="AM961" s="177"/>
      <c r="AN961" s="177"/>
      <c r="AO961" s="177"/>
      <c r="AP961" s="177"/>
      <c r="AQ961" s="177"/>
    </row>
    <row r="962" ht="12.7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c r="AF962" s="177"/>
      <c r="AG962" s="177"/>
      <c r="AH962" s="177"/>
      <c r="AI962" s="177"/>
      <c r="AJ962" s="177"/>
      <c r="AK962" s="177"/>
      <c r="AL962" s="177"/>
      <c r="AM962" s="177"/>
      <c r="AN962" s="177"/>
      <c r="AO962" s="177"/>
      <c r="AP962" s="177"/>
      <c r="AQ962" s="177"/>
    </row>
    <row r="963" ht="12.7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c r="AF963" s="177"/>
      <c r="AG963" s="177"/>
      <c r="AH963" s="177"/>
      <c r="AI963" s="177"/>
      <c r="AJ963" s="177"/>
      <c r="AK963" s="177"/>
      <c r="AL963" s="177"/>
      <c r="AM963" s="177"/>
      <c r="AN963" s="177"/>
      <c r="AO963" s="177"/>
      <c r="AP963" s="177"/>
      <c r="AQ963" s="177"/>
    </row>
    <row r="964" ht="12.7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c r="AF964" s="177"/>
      <c r="AG964" s="177"/>
      <c r="AH964" s="177"/>
      <c r="AI964" s="177"/>
      <c r="AJ964" s="177"/>
      <c r="AK964" s="177"/>
      <c r="AL964" s="177"/>
      <c r="AM964" s="177"/>
      <c r="AN964" s="177"/>
      <c r="AO964" s="177"/>
      <c r="AP964" s="177"/>
      <c r="AQ964" s="177"/>
    </row>
    <row r="965" ht="12.7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c r="AF965" s="177"/>
      <c r="AG965" s="177"/>
      <c r="AH965" s="177"/>
      <c r="AI965" s="177"/>
      <c r="AJ965" s="177"/>
      <c r="AK965" s="177"/>
      <c r="AL965" s="177"/>
      <c r="AM965" s="177"/>
      <c r="AN965" s="177"/>
      <c r="AO965" s="177"/>
      <c r="AP965" s="177"/>
      <c r="AQ965" s="177"/>
    </row>
    <row r="966" ht="12.7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c r="AF966" s="177"/>
      <c r="AG966" s="177"/>
      <c r="AH966" s="177"/>
      <c r="AI966" s="177"/>
      <c r="AJ966" s="177"/>
      <c r="AK966" s="177"/>
      <c r="AL966" s="177"/>
      <c r="AM966" s="177"/>
      <c r="AN966" s="177"/>
      <c r="AO966" s="177"/>
      <c r="AP966" s="177"/>
      <c r="AQ966" s="177"/>
    </row>
    <row r="967" ht="12.7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c r="AF967" s="177"/>
      <c r="AG967" s="177"/>
      <c r="AH967" s="177"/>
      <c r="AI967" s="177"/>
      <c r="AJ967" s="177"/>
      <c r="AK967" s="177"/>
      <c r="AL967" s="177"/>
      <c r="AM967" s="177"/>
      <c r="AN967" s="177"/>
      <c r="AO967" s="177"/>
      <c r="AP967" s="177"/>
      <c r="AQ967" s="177"/>
    </row>
    <row r="968" ht="12.7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c r="AF968" s="177"/>
      <c r="AG968" s="177"/>
      <c r="AH968" s="177"/>
      <c r="AI968" s="177"/>
      <c r="AJ968" s="177"/>
      <c r="AK968" s="177"/>
      <c r="AL968" s="177"/>
      <c r="AM968" s="177"/>
      <c r="AN968" s="177"/>
      <c r="AO968" s="177"/>
      <c r="AP968" s="177"/>
      <c r="AQ968" s="177"/>
    </row>
    <row r="969" ht="12.7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c r="AF969" s="177"/>
      <c r="AG969" s="177"/>
      <c r="AH969" s="177"/>
      <c r="AI969" s="177"/>
      <c r="AJ969" s="177"/>
      <c r="AK969" s="177"/>
      <c r="AL969" s="177"/>
      <c r="AM969" s="177"/>
      <c r="AN969" s="177"/>
      <c r="AO969" s="177"/>
      <c r="AP969" s="177"/>
      <c r="AQ969" s="177"/>
    </row>
    <row r="970" ht="12.7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c r="AF970" s="177"/>
      <c r="AG970" s="177"/>
      <c r="AH970" s="177"/>
      <c r="AI970" s="177"/>
      <c r="AJ970" s="177"/>
      <c r="AK970" s="177"/>
      <c r="AL970" s="177"/>
      <c r="AM970" s="177"/>
      <c r="AN970" s="177"/>
      <c r="AO970" s="177"/>
      <c r="AP970" s="177"/>
      <c r="AQ970" s="177"/>
    </row>
    <row r="971" ht="12.7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c r="AF971" s="177"/>
      <c r="AG971" s="177"/>
      <c r="AH971" s="177"/>
      <c r="AI971" s="177"/>
      <c r="AJ971" s="177"/>
      <c r="AK971" s="177"/>
      <c r="AL971" s="177"/>
      <c r="AM971" s="177"/>
      <c r="AN971" s="177"/>
      <c r="AO971" s="177"/>
      <c r="AP971" s="177"/>
      <c r="AQ971" s="177"/>
    </row>
    <row r="972" ht="12.7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c r="AF972" s="177"/>
      <c r="AG972" s="177"/>
      <c r="AH972" s="177"/>
      <c r="AI972" s="177"/>
      <c r="AJ972" s="177"/>
      <c r="AK972" s="177"/>
      <c r="AL972" s="177"/>
      <c r="AM972" s="177"/>
      <c r="AN972" s="177"/>
      <c r="AO972" s="177"/>
      <c r="AP972" s="177"/>
      <c r="AQ972" s="177"/>
    </row>
    <row r="973" ht="12.7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c r="AF973" s="177"/>
      <c r="AG973" s="177"/>
      <c r="AH973" s="177"/>
      <c r="AI973" s="177"/>
      <c r="AJ973" s="177"/>
      <c r="AK973" s="177"/>
      <c r="AL973" s="177"/>
      <c r="AM973" s="177"/>
      <c r="AN973" s="177"/>
      <c r="AO973" s="177"/>
      <c r="AP973" s="177"/>
      <c r="AQ973" s="177"/>
    </row>
    <row r="974" ht="12.7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c r="AF974" s="177"/>
      <c r="AG974" s="177"/>
      <c r="AH974" s="177"/>
      <c r="AI974" s="177"/>
      <c r="AJ974" s="177"/>
      <c r="AK974" s="177"/>
      <c r="AL974" s="177"/>
      <c r="AM974" s="177"/>
      <c r="AN974" s="177"/>
      <c r="AO974" s="177"/>
      <c r="AP974" s="177"/>
      <c r="AQ974" s="177"/>
    </row>
    <row r="975" ht="12.7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c r="AF975" s="177"/>
      <c r="AG975" s="177"/>
      <c r="AH975" s="177"/>
      <c r="AI975" s="177"/>
      <c r="AJ975" s="177"/>
      <c r="AK975" s="177"/>
      <c r="AL975" s="177"/>
      <c r="AM975" s="177"/>
      <c r="AN975" s="177"/>
      <c r="AO975" s="177"/>
      <c r="AP975" s="177"/>
      <c r="AQ975" s="177"/>
    </row>
    <row r="976" ht="12.7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c r="AF976" s="177"/>
      <c r="AG976" s="177"/>
      <c r="AH976" s="177"/>
      <c r="AI976" s="177"/>
      <c r="AJ976" s="177"/>
      <c r="AK976" s="177"/>
      <c r="AL976" s="177"/>
      <c r="AM976" s="177"/>
      <c r="AN976" s="177"/>
      <c r="AO976" s="177"/>
      <c r="AP976" s="177"/>
      <c r="AQ976" s="177"/>
    </row>
    <row r="977" ht="12.7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c r="AF977" s="177"/>
      <c r="AG977" s="177"/>
      <c r="AH977" s="177"/>
      <c r="AI977" s="177"/>
      <c r="AJ977" s="177"/>
      <c r="AK977" s="177"/>
      <c r="AL977" s="177"/>
      <c r="AM977" s="177"/>
      <c r="AN977" s="177"/>
      <c r="AO977" s="177"/>
      <c r="AP977" s="177"/>
      <c r="AQ977" s="177"/>
    </row>
    <row r="978" ht="12.7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c r="AF978" s="177"/>
      <c r="AG978" s="177"/>
      <c r="AH978" s="177"/>
      <c r="AI978" s="177"/>
      <c r="AJ978" s="177"/>
      <c r="AK978" s="177"/>
      <c r="AL978" s="177"/>
      <c r="AM978" s="177"/>
      <c r="AN978" s="177"/>
      <c r="AO978" s="177"/>
      <c r="AP978" s="177"/>
      <c r="AQ978" s="177"/>
    </row>
    <row r="979" ht="12.7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c r="AF979" s="177"/>
      <c r="AG979" s="177"/>
      <c r="AH979" s="177"/>
      <c r="AI979" s="177"/>
      <c r="AJ979" s="177"/>
      <c r="AK979" s="177"/>
      <c r="AL979" s="177"/>
      <c r="AM979" s="177"/>
      <c r="AN979" s="177"/>
      <c r="AO979" s="177"/>
      <c r="AP979" s="177"/>
      <c r="AQ979" s="177"/>
    </row>
    <row r="980" ht="12.7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c r="AF980" s="177"/>
      <c r="AG980" s="177"/>
      <c r="AH980" s="177"/>
      <c r="AI980" s="177"/>
      <c r="AJ980" s="177"/>
      <c r="AK980" s="177"/>
      <c r="AL980" s="177"/>
      <c r="AM980" s="177"/>
      <c r="AN980" s="177"/>
      <c r="AO980" s="177"/>
      <c r="AP980" s="177"/>
      <c r="AQ980" s="177"/>
    </row>
    <row r="981" ht="12.7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c r="AF981" s="177"/>
      <c r="AG981" s="177"/>
      <c r="AH981" s="177"/>
      <c r="AI981" s="177"/>
      <c r="AJ981" s="177"/>
      <c r="AK981" s="177"/>
      <c r="AL981" s="177"/>
      <c r="AM981" s="177"/>
      <c r="AN981" s="177"/>
      <c r="AO981" s="177"/>
      <c r="AP981" s="177"/>
      <c r="AQ981" s="177"/>
    </row>
    <row r="982" ht="12.7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c r="AF982" s="177"/>
      <c r="AG982" s="177"/>
      <c r="AH982" s="177"/>
      <c r="AI982" s="177"/>
      <c r="AJ982" s="177"/>
      <c r="AK982" s="177"/>
      <c r="AL982" s="177"/>
      <c r="AM982" s="177"/>
      <c r="AN982" s="177"/>
      <c r="AO982" s="177"/>
      <c r="AP982" s="177"/>
      <c r="AQ982" s="177"/>
    </row>
    <row r="983" ht="12.7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c r="AF983" s="177"/>
      <c r="AG983" s="177"/>
      <c r="AH983" s="177"/>
      <c r="AI983" s="177"/>
      <c r="AJ983" s="177"/>
      <c r="AK983" s="177"/>
      <c r="AL983" s="177"/>
      <c r="AM983" s="177"/>
      <c r="AN983" s="177"/>
      <c r="AO983" s="177"/>
      <c r="AP983" s="177"/>
      <c r="AQ983" s="177"/>
    </row>
    <row r="984" ht="12.7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c r="AF984" s="177"/>
      <c r="AG984" s="177"/>
      <c r="AH984" s="177"/>
      <c r="AI984" s="177"/>
      <c r="AJ984" s="177"/>
      <c r="AK984" s="177"/>
      <c r="AL984" s="177"/>
      <c r="AM984" s="177"/>
      <c r="AN984" s="177"/>
      <c r="AO984" s="177"/>
      <c r="AP984" s="177"/>
      <c r="AQ984" s="177"/>
    </row>
    <row r="985" ht="12.7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c r="AF985" s="177"/>
      <c r="AG985" s="177"/>
      <c r="AH985" s="177"/>
      <c r="AI985" s="177"/>
      <c r="AJ985" s="177"/>
      <c r="AK985" s="177"/>
      <c r="AL985" s="177"/>
      <c r="AM985" s="177"/>
      <c r="AN985" s="177"/>
      <c r="AO985" s="177"/>
      <c r="AP985" s="177"/>
      <c r="AQ985" s="177"/>
    </row>
    <row r="986" ht="12.7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c r="AF986" s="177"/>
      <c r="AG986" s="177"/>
      <c r="AH986" s="177"/>
      <c r="AI986" s="177"/>
      <c r="AJ986" s="177"/>
      <c r="AK986" s="177"/>
      <c r="AL986" s="177"/>
      <c r="AM986" s="177"/>
      <c r="AN986" s="177"/>
      <c r="AO986" s="177"/>
      <c r="AP986" s="177"/>
      <c r="AQ986" s="177"/>
    </row>
    <row r="987" ht="12.7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c r="AF987" s="177"/>
      <c r="AG987" s="177"/>
      <c r="AH987" s="177"/>
      <c r="AI987" s="177"/>
      <c r="AJ987" s="177"/>
      <c r="AK987" s="177"/>
      <c r="AL987" s="177"/>
      <c r="AM987" s="177"/>
      <c r="AN987" s="177"/>
      <c r="AO987" s="177"/>
      <c r="AP987" s="177"/>
      <c r="AQ987" s="177"/>
    </row>
    <row r="988" ht="12.7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c r="AF988" s="177"/>
      <c r="AG988" s="177"/>
      <c r="AH988" s="177"/>
      <c r="AI988" s="177"/>
      <c r="AJ988" s="177"/>
      <c r="AK988" s="177"/>
      <c r="AL988" s="177"/>
      <c r="AM988" s="177"/>
      <c r="AN988" s="177"/>
      <c r="AO988" s="177"/>
      <c r="AP988" s="177"/>
      <c r="AQ988" s="177"/>
    </row>
    <row r="989" ht="12.7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c r="AF989" s="177"/>
      <c r="AG989" s="177"/>
      <c r="AH989" s="177"/>
      <c r="AI989" s="177"/>
      <c r="AJ989" s="177"/>
      <c r="AK989" s="177"/>
      <c r="AL989" s="177"/>
      <c r="AM989" s="177"/>
      <c r="AN989" s="177"/>
      <c r="AO989" s="177"/>
      <c r="AP989" s="177"/>
      <c r="AQ989" s="177"/>
    </row>
    <row r="990" ht="12.7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c r="AF990" s="177"/>
      <c r="AG990" s="177"/>
      <c r="AH990" s="177"/>
      <c r="AI990" s="177"/>
      <c r="AJ990" s="177"/>
      <c r="AK990" s="177"/>
      <c r="AL990" s="177"/>
      <c r="AM990" s="177"/>
      <c r="AN990" s="177"/>
      <c r="AO990" s="177"/>
      <c r="AP990" s="177"/>
      <c r="AQ990" s="177"/>
    </row>
    <row r="991" ht="12.7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c r="AF991" s="177"/>
      <c r="AG991" s="177"/>
      <c r="AH991" s="177"/>
      <c r="AI991" s="177"/>
      <c r="AJ991" s="177"/>
      <c r="AK991" s="177"/>
      <c r="AL991" s="177"/>
      <c r="AM991" s="177"/>
      <c r="AN991" s="177"/>
      <c r="AO991" s="177"/>
      <c r="AP991" s="177"/>
      <c r="AQ991" s="177"/>
    </row>
    <row r="992" ht="12.7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c r="AF992" s="177"/>
      <c r="AG992" s="177"/>
      <c r="AH992" s="177"/>
      <c r="AI992" s="177"/>
      <c r="AJ992" s="177"/>
      <c r="AK992" s="177"/>
      <c r="AL992" s="177"/>
      <c r="AM992" s="177"/>
      <c r="AN992" s="177"/>
      <c r="AO992" s="177"/>
      <c r="AP992" s="177"/>
      <c r="AQ992" s="177"/>
    </row>
    <row r="993" ht="12.7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c r="AF993" s="177"/>
      <c r="AG993" s="177"/>
      <c r="AH993" s="177"/>
      <c r="AI993" s="177"/>
      <c r="AJ993" s="177"/>
      <c r="AK993" s="177"/>
      <c r="AL993" s="177"/>
      <c r="AM993" s="177"/>
      <c r="AN993" s="177"/>
      <c r="AO993" s="177"/>
      <c r="AP993" s="177"/>
      <c r="AQ993" s="177"/>
    </row>
    <row r="994" ht="12.7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c r="AF994" s="177"/>
      <c r="AG994" s="177"/>
      <c r="AH994" s="177"/>
      <c r="AI994" s="177"/>
      <c r="AJ994" s="177"/>
      <c r="AK994" s="177"/>
      <c r="AL994" s="177"/>
      <c r="AM994" s="177"/>
      <c r="AN994" s="177"/>
      <c r="AO994" s="177"/>
      <c r="AP994" s="177"/>
      <c r="AQ994" s="177"/>
    </row>
    <row r="995" ht="12.7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c r="AF995" s="177"/>
      <c r="AG995" s="177"/>
      <c r="AH995" s="177"/>
      <c r="AI995" s="177"/>
      <c r="AJ995" s="177"/>
      <c r="AK995" s="177"/>
      <c r="AL995" s="177"/>
      <c r="AM995" s="177"/>
      <c r="AN995" s="177"/>
      <c r="AO995" s="177"/>
      <c r="AP995" s="177"/>
      <c r="AQ995" s="177"/>
    </row>
    <row r="996" ht="12.7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c r="AF996" s="177"/>
      <c r="AG996" s="177"/>
      <c r="AH996" s="177"/>
      <c r="AI996" s="177"/>
      <c r="AJ996" s="177"/>
      <c r="AK996" s="177"/>
      <c r="AL996" s="177"/>
      <c r="AM996" s="177"/>
      <c r="AN996" s="177"/>
      <c r="AO996" s="177"/>
      <c r="AP996" s="177"/>
      <c r="AQ996" s="177"/>
    </row>
    <row r="997" ht="12.7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c r="AF997" s="177"/>
      <c r="AG997" s="177"/>
      <c r="AH997" s="177"/>
      <c r="AI997" s="177"/>
      <c r="AJ997" s="177"/>
      <c r="AK997" s="177"/>
      <c r="AL997" s="177"/>
      <c r="AM997" s="177"/>
      <c r="AN997" s="177"/>
      <c r="AO997" s="177"/>
      <c r="AP997" s="177"/>
      <c r="AQ997" s="177"/>
    </row>
    <row r="998" ht="12.7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c r="AF998" s="177"/>
      <c r="AG998" s="177"/>
      <c r="AH998" s="177"/>
      <c r="AI998" s="177"/>
      <c r="AJ998" s="177"/>
      <c r="AK998" s="177"/>
      <c r="AL998" s="177"/>
      <c r="AM998" s="177"/>
      <c r="AN998" s="177"/>
      <c r="AO998" s="177"/>
      <c r="AP998" s="177"/>
      <c r="AQ998" s="177"/>
    </row>
    <row r="999" ht="12.7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c r="AF999" s="177"/>
      <c r="AG999" s="177"/>
      <c r="AH999" s="177"/>
      <c r="AI999" s="177"/>
      <c r="AJ999" s="177"/>
      <c r="AK999" s="177"/>
      <c r="AL999" s="177"/>
      <c r="AM999" s="177"/>
      <c r="AN999" s="177"/>
      <c r="AO999" s="177"/>
      <c r="AP999" s="177"/>
      <c r="AQ999" s="177"/>
    </row>
    <row r="1000" ht="12.7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c r="AF1000" s="177"/>
      <c r="AG1000" s="177"/>
      <c r="AH1000" s="177"/>
      <c r="AI1000" s="177"/>
      <c r="AJ1000" s="177"/>
      <c r="AK1000" s="177"/>
      <c r="AL1000" s="177"/>
      <c r="AM1000" s="177"/>
      <c r="AN1000" s="177"/>
      <c r="AO1000" s="177"/>
      <c r="AP1000" s="177"/>
      <c r="AQ1000" s="177"/>
    </row>
  </sheetData>
  <mergeCells count="39">
    <mergeCell ref="AD3:AN3"/>
    <mergeCell ref="AD4:AN4"/>
    <mergeCell ref="AD5:AD6"/>
    <mergeCell ref="B10:O10"/>
    <mergeCell ref="B14:B15"/>
    <mergeCell ref="B25:O25"/>
    <mergeCell ref="B40:O40"/>
    <mergeCell ref="B29:B30"/>
    <mergeCell ref="B44:B45"/>
    <mergeCell ref="B55:O55"/>
    <mergeCell ref="B59:B60"/>
    <mergeCell ref="B70:O70"/>
    <mergeCell ref="B74:B75"/>
    <mergeCell ref="B85:O85"/>
    <mergeCell ref="B161:O161"/>
    <mergeCell ref="B176:O176"/>
    <mergeCell ref="B191:O191"/>
    <mergeCell ref="B206:O206"/>
    <mergeCell ref="B221:O221"/>
    <mergeCell ref="B236:O236"/>
    <mergeCell ref="B251:O251"/>
    <mergeCell ref="B266:O266"/>
    <mergeCell ref="B89:B90"/>
    <mergeCell ref="B100:O100"/>
    <mergeCell ref="B104:B105"/>
    <mergeCell ref="B115:O115"/>
    <mergeCell ref="B119:B120"/>
    <mergeCell ref="B131:O131"/>
    <mergeCell ref="B146:O146"/>
    <mergeCell ref="B240:B241"/>
    <mergeCell ref="B255:B256"/>
    <mergeCell ref="B270:B271"/>
    <mergeCell ref="B135:B136"/>
    <mergeCell ref="B150:B151"/>
    <mergeCell ref="B165:B166"/>
    <mergeCell ref="B180:B181"/>
    <mergeCell ref="B195:B196"/>
    <mergeCell ref="B210:B211"/>
    <mergeCell ref="B225:B226"/>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min="12" max="12" width="2.38"/>
    <col customWidth="1" min="13" max="17" width="3.5"/>
    <col customWidth="1" min="18" max="26" width="9.13"/>
  </cols>
  <sheetData>
    <row r="1" ht="39.75" customHeight="1">
      <c r="A1" s="178" t="s">
        <v>58</v>
      </c>
      <c r="B1" s="13" t="s">
        <v>59</v>
      </c>
      <c r="C1" s="13" t="s">
        <v>19</v>
      </c>
      <c r="D1" s="179">
        <v>116.0</v>
      </c>
      <c r="E1" s="13" t="s">
        <v>60</v>
      </c>
      <c r="F1" s="13" t="s">
        <v>61</v>
      </c>
      <c r="G1" s="180" t="s">
        <v>62</v>
      </c>
      <c r="H1" s="180" t="s">
        <v>63</v>
      </c>
      <c r="I1" s="180" t="s">
        <v>64</v>
      </c>
      <c r="J1" s="180" t="s">
        <v>65</v>
      </c>
      <c r="K1" s="181">
        <v>46037.0</v>
      </c>
      <c r="L1" s="181">
        <v>46037.0</v>
      </c>
      <c r="M1" s="181">
        <f t="array" ref="M1">K1+365</f>
        <v>46402</v>
      </c>
      <c r="N1" s="181">
        <v>46035.0</v>
      </c>
      <c r="O1" s="7"/>
      <c r="P1" s="7"/>
      <c r="Q1" s="7"/>
      <c r="R1" s="7"/>
      <c r="S1" s="7"/>
      <c r="T1" s="7"/>
      <c r="U1" s="182"/>
      <c r="V1" s="177"/>
      <c r="W1" s="177"/>
      <c r="X1" s="177"/>
      <c r="Y1" s="177"/>
      <c r="Z1" s="177"/>
    </row>
    <row r="2" ht="18.75" customHeight="1">
      <c r="A2" s="183"/>
      <c r="B2" s="184"/>
      <c r="C2" s="184"/>
      <c r="D2" s="184"/>
      <c r="E2" s="184"/>
      <c r="F2" s="185"/>
      <c r="G2" s="186"/>
      <c r="H2" s="186"/>
      <c r="I2" s="187"/>
      <c r="J2" s="187"/>
      <c r="K2" s="188"/>
      <c r="L2" s="188"/>
      <c r="M2" s="16"/>
      <c r="N2" s="16"/>
      <c r="O2" s="16"/>
      <c r="P2" s="16"/>
      <c r="Q2" s="16"/>
      <c r="R2" s="16"/>
      <c r="S2" s="16"/>
      <c r="T2" s="16"/>
      <c r="U2" s="61"/>
      <c r="V2" s="177"/>
      <c r="W2" s="177"/>
      <c r="X2" s="177"/>
      <c r="Y2" s="177"/>
      <c r="Z2" s="177"/>
    </row>
    <row r="3" ht="48.0" customHeight="1">
      <c r="A3" s="183"/>
      <c r="B3" s="189" t="s">
        <v>66</v>
      </c>
      <c r="C3" s="19"/>
      <c r="D3" s="19"/>
      <c r="E3" s="19"/>
      <c r="F3" s="190"/>
      <c r="G3" s="191" t="s">
        <v>67</v>
      </c>
      <c r="H3" s="192"/>
      <c r="I3" s="193" t="str">
        <f t="array" ref="I3">A1</f>
        <v>E-MK-0153/26</v>
      </c>
      <c r="J3" s="190"/>
      <c r="K3" s="194"/>
      <c r="L3" s="188"/>
      <c r="M3" s="16"/>
      <c r="N3" s="16"/>
      <c r="O3" s="16"/>
      <c r="P3" s="16"/>
      <c r="Q3" s="16"/>
      <c r="R3" s="16"/>
      <c r="S3" s="16"/>
      <c r="T3" s="16"/>
      <c r="U3" s="61"/>
      <c r="V3" s="177"/>
      <c r="W3" s="177"/>
      <c r="X3" s="177"/>
      <c r="Y3" s="177"/>
      <c r="Z3" s="177"/>
    </row>
    <row r="4" ht="18.75" customHeight="1">
      <c r="A4" s="183"/>
      <c r="B4" s="195"/>
      <c r="C4" s="195"/>
      <c r="D4" s="195"/>
      <c r="E4" s="195"/>
      <c r="F4" s="196"/>
      <c r="G4" s="186"/>
      <c r="H4" s="185"/>
      <c r="I4" s="185"/>
      <c r="J4" s="185"/>
      <c r="K4" s="185"/>
      <c r="L4" s="188"/>
      <c r="M4" s="16"/>
      <c r="N4" s="16"/>
      <c r="O4" s="16"/>
      <c r="P4" s="16"/>
      <c r="Q4" s="16"/>
      <c r="R4" s="33"/>
      <c r="S4" s="33"/>
      <c r="T4" s="33"/>
      <c r="U4" s="36"/>
      <c r="V4" s="177"/>
      <c r="W4" s="177"/>
      <c r="X4" s="177"/>
      <c r="Y4" s="177"/>
      <c r="Z4" s="177"/>
    </row>
    <row r="5" ht="27.0" customHeight="1">
      <c r="A5" s="183"/>
      <c r="B5" s="197"/>
      <c r="C5" s="198" t="s">
        <v>68</v>
      </c>
      <c r="D5" s="184"/>
      <c r="E5" s="184"/>
      <c r="F5" s="188"/>
      <c r="G5" s="188"/>
      <c r="H5" s="188"/>
      <c r="I5" s="199" t="s">
        <v>69</v>
      </c>
      <c r="J5" s="200">
        <f t="array" ref="J5">K1</f>
        <v>46037</v>
      </c>
      <c r="K5" s="188"/>
      <c r="L5" s="188"/>
      <c r="M5" s="16"/>
      <c r="N5" s="16"/>
      <c r="O5" s="16"/>
      <c r="P5" s="16"/>
      <c r="Q5" s="16"/>
      <c r="R5" s="201"/>
      <c r="S5" s="202"/>
      <c r="T5" s="203"/>
      <c r="U5" s="36"/>
      <c r="V5" s="177"/>
      <c r="W5" s="177"/>
      <c r="X5" s="177"/>
      <c r="Y5" s="177"/>
      <c r="Z5" s="177"/>
    </row>
    <row r="6" ht="27.75" customHeight="1">
      <c r="A6" s="204"/>
      <c r="B6" s="205"/>
      <c r="C6" s="206" t="s">
        <v>70</v>
      </c>
      <c r="D6" s="207" t="str">
        <f t="array" ref="D6">G1</f>
        <v>RECICLADORA INDUSTRIAL DE ACUMULADORES, S.A. DE C.V.</v>
      </c>
      <c r="E6" s="19"/>
      <c r="F6" s="19"/>
      <c r="G6" s="190"/>
      <c r="H6" s="208"/>
      <c r="I6" s="199" t="s">
        <v>71</v>
      </c>
      <c r="J6" s="200">
        <f t="array" ref="J6">L1</f>
        <v>46037</v>
      </c>
      <c r="K6" s="188"/>
      <c r="L6" s="188"/>
      <c r="M6" s="16"/>
      <c r="N6" s="16"/>
      <c r="O6" s="16"/>
      <c r="P6" s="16"/>
      <c r="Q6" s="16"/>
      <c r="R6" s="16"/>
      <c r="S6" s="16"/>
      <c r="T6" s="16"/>
      <c r="U6" s="61"/>
      <c r="V6" s="177"/>
      <c r="W6" s="177"/>
      <c r="X6" s="177"/>
      <c r="Y6" s="177"/>
      <c r="Z6" s="177"/>
    </row>
    <row r="7" ht="24.75" customHeight="1">
      <c r="A7" s="204"/>
      <c r="B7" s="188"/>
      <c r="C7" s="206" t="s">
        <v>72</v>
      </c>
      <c r="D7" s="209" t="str">
        <f t="array" ref="D7">H1</f>
        <v>CARRETERA A GARCIA KM. 1.2 S/N, C.P. 66350 </v>
      </c>
      <c r="E7" s="19"/>
      <c r="F7" s="19"/>
      <c r="G7" s="190"/>
      <c r="H7" s="208"/>
      <c r="I7" s="199" t="s">
        <v>73</v>
      </c>
      <c r="J7" s="210">
        <f t="array" ref="J7">M1</f>
        <v>46402</v>
      </c>
      <c r="K7" s="188"/>
      <c r="L7" s="188"/>
      <c r="M7" s="16"/>
      <c r="N7" s="16"/>
      <c r="O7" s="16"/>
      <c r="P7" s="16"/>
      <c r="Q7" s="16"/>
      <c r="R7" s="16"/>
      <c r="S7" s="16"/>
      <c r="T7" s="16"/>
      <c r="U7" s="61"/>
      <c r="V7" s="177"/>
      <c r="W7" s="177"/>
      <c r="X7" s="177"/>
      <c r="Y7" s="177"/>
      <c r="Z7" s="177"/>
    </row>
    <row r="8" ht="24.75" customHeight="1">
      <c r="A8" s="204"/>
      <c r="B8" s="188"/>
      <c r="C8" s="211"/>
      <c r="D8" s="212" t="str">
        <f t="array" ref="D8">CONCATENATE(I1,", ",J1)</f>
        <v>SANTA CATARINA, NUEVO LEÓN</v>
      </c>
      <c r="E8" s="19"/>
      <c r="F8" s="19"/>
      <c r="G8" s="190"/>
      <c r="H8" s="208"/>
      <c r="I8" s="213" t="s">
        <v>74</v>
      </c>
      <c r="J8" s="200">
        <f t="array" ref="J8">N1</f>
        <v>46035</v>
      </c>
      <c r="K8" s="188"/>
      <c r="L8" s="188"/>
      <c r="M8" s="16"/>
      <c r="N8" s="16"/>
      <c r="O8" s="16"/>
      <c r="P8" s="16"/>
      <c r="Q8" s="16"/>
      <c r="R8" s="16"/>
      <c r="S8" s="16"/>
      <c r="T8" s="16"/>
      <c r="U8" s="61"/>
      <c r="V8" s="177"/>
      <c r="W8" s="177"/>
      <c r="X8" s="177"/>
      <c r="Y8" s="177"/>
      <c r="Z8" s="177"/>
    </row>
    <row r="9" ht="24.75" customHeight="1">
      <c r="A9" s="204"/>
      <c r="B9" s="188"/>
      <c r="C9" s="211"/>
      <c r="D9" s="16"/>
      <c r="E9" s="16"/>
      <c r="F9" s="16"/>
      <c r="G9" s="16"/>
      <c r="H9" s="208"/>
      <c r="I9" s="214" t="s">
        <v>75</v>
      </c>
      <c r="J9" s="215" t="s">
        <v>76</v>
      </c>
      <c r="K9" s="188"/>
      <c r="L9" s="188"/>
      <c r="M9" s="16"/>
      <c r="N9" s="16"/>
      <c r="O9" s="16"/>
      <c r="P9" s="16"/>
      <c r="Q9" s="16"/>
      <c r="R9" s="16"/>
      <c r="S9" s="16"/>
      <c r="T9" s="16"/>
      <c r="U9" s="61"/>
      <c r="V9" s="177"/>
      <c r="W9" s="177"/>
      <c r="X9" s="177"/>
      <c r="Y9" s="177"/>
      <c r="Z9" s="177"/>
    </row>
    <row r="10" ht="23.25" customHeight="1">
      <c r="A10" s="183"/>
      <c r="B10" s="184"/>
      <c r="C10" s="216"/>
      <c r="D10" s="188"/>
      <c r="E10" s="188"/>
      <c r="F10" s="184"/>
      <c r="G10" s="188"/>
      <c r="H10" s="188"/>
      <c r="I10" s="188"/>
      <c r="J10" s="188"/>
      <c r="K10" s="188"/>
      <c r="L10" s="188"/>
      <c r="M10" s="16"/>
      <c r="N10" s="16"/>
      <c r="O10" s="16"/>
      <c r="P10" s="16"/>
      <c r="Q10" s="16"/>
      <c r="R10" s="16"/>
      <c r="S10" s="16"/>
      <c r="T10" s="16"/>
      <c r="U10" s="61"/>
      <c r="V10" s="177"/>
      <c r="W10" s="177"/>
      <c r="X10" s="177"/>
      <c r="Y10" s="177"/>
      <c r="Z10" s="177"/>
    </row>
    <row r="11" ht="22.5" customHeight="1">
      <c r="A11" s="204"/>
      <c r="B11" s="188"/>
      <c r="C11" s="217" t="s">
        <v>77</v>
      </c>
      <c r="D11" s="188"/>
      <c r="E11" s="218"/>
      <c r="F11" s="188"/>
      <c r="G11" s="188"/>
      <c r="H11" s="188"/>
      <c r="I11" s="188"/>
      <c r="J11" s="188"/>
      <c r="K11" s="188"/>
      <c r="L11" s="188"/>
      <c r="M11" s="16"/>
      <c r="N11" s="16"/>
      <c r="O11" s="16"/>
      <c r="P11" s="16"/>
      <c r="Q11" s="16"/>
      <c r="R11" s="16"/>
      <c r="S11" s="16"/>
      <c r="T11" s="16"/>
      <c r="U11" s="61"/>
      <c r="V11" s="177"/>
      <c r="W11" s="177"/>
      <c r="X11" s="177"/>
      <c r="Y11" s="177"/>
      <c r="Z11" s="177"/>
    </row>
    <row r="12" ht="27.0" customHeight="1">
      <c r="A12" s="204"/>
      <c r="B12" s="188"/>
      <c r="C12" s="188"/>
      <c r="D12" s="188"/>
      <c r="E12" s="188"/>
      <c r="F12" s="188"/>
      <c r="G12" s="188"/>
      <c r="H12" s="219" t="s">
        <v>78</v>
      </c>
      <c r="I12" s="220" t="s">
        <v>79</v>
      </c>
      <c r="J12" s="190"/>
      <c r="K12" s="188"/>
      <c r="L12" s="188"/>
      <c r="M12" s="16"/>
      <c r="N12" s="16"/>
      <c r="O12" s="16"/>
      <c r="P12" s="16"/>
      <c r="Q12" s="16"/>
      <c r="R12" s="16"/>
      <c r="S12" s="16"/>
      <c r="T12" s="16"/>
      <c r="U12" s="61"/>
      <c r="V12" s="177"/>
      <c r="W12" s="177"/>
      <c r="X12" s="177"/>
      <c r="Y12" s="177"/>
      <c r="Z12" s="177"/>
    </row>
    <row r="13" ht="10.5" customHeight="1">
      <c r="A13" s="204"/>
      <c r="B13" s="188"/>
      <c r="C13" s="221" t="s">
        <v>80</v>
      </c>
      <c r="D13" s="220" t="str">
        <f t="array" ref="D13">B1</f>
        <v>MULTIMETRO DIGITAL</v>
      </c>
      <c r="E13" s="19"/>
      <c r="F13" s="190"/>
      <c r="G13" s="208"/>
      <c r="H13" s="188"/>
      <c r="I13" s="188"/>
      <c r="J13" s="216"/>
      <c r="K13" s="216"/>
      <c r="L13" s="188"/>
      <c r="M13" s="16"/>
      <c r="N13" s="16"/>
      <c r="O13" s="16"/>
      <c r="P13" s="16"/>
      <c r="Q13" s="16"/>
      <c r="R13" s="16"/>
      <c r="S13" s="16"/>
      <c r="T13" s="16"/>
      <c r="U13" s="61"/>
      <c r="V13" s="177"/>
      <c r="W13" s="177"/>
      <c r="X13" s="177"/>
      <c r="Y13" s="177"/>
      <c r="Z13" s="177"/>
    </row>
    <row r="14" ht="13.5" customHeight="1">
      <c r="A14" s="204"/>
      <c r="B14" s="188"/>
      <c r="C14" s="222" t="s">
        <v>81</v>
      </c>
      <c r="D14" s="208"/>
      <c r="E14" s="211"/>
      <c r="F14" s="211"/>
      <c r="G14" s="223" t="s">
        <v>82</v>
      </c>
      <c r="H14" s="224"/>
      <c r="I14" s="225">
        <v>19.8</v>
      </c>
      <c r="J14" s="216"/>
      <c r="K14" s="216"/>
      <c r="L14" s="188"/>
      <c r="M14" s="16"/>
      <c r="N14" s="16"/>
      <c r="O14" s="16"/>
      <c r="P14" s="16"/>
      <c r="Q14" s="16"/>
      <c r="R14" s="16"/>
      <c r="S14" s="16"/>
      <c r="T14" s="16"/>
      <c r="U14" s="61"/>
      <c r="V14" s="177"/>
      <c r="W14" s="177"/>
      <c r="X14" s="177"/>
      <c r="Y14" s="177"/>
      <c r="Z14" s="177"/>
    </row>
    <row r="15" ht="10.5" customHeight="1">
      <c r="A15" s="204"/>
      <c r="B15" s="188"/>
      <c r="C15" s="221" t="s">
        <v>83</v>
      </c>
      <c r="D15" s="220" t="str">
        <f t="array" ref="D15">C1</f>
        <v>FLUKE</v>
      </c>
      <c r="E15" s="19"/>
      <c r="F15" s="190"/>
      <c r="G15" s="222" t="s">
        <v>84</v>
      </c>
      <c r="H15" s="224"/>
      <c r="I15" s="216"/>
      <c r="J15" s="188"/>
      <c r="K15" s="188"/>
      <c r="L15" s="188"/>
      <c r="M15" s="16"/>
      <c r="N15" s="16"/>
      <c r="O15" s="16"/>
      <c r="P15" s="16"/>
      <c r="Q15" s="16"/>
      <c r="R15" s="16"/>
      <c r="S15" s="16"/>
      <c r="T15" s="16"/>
      <c r="U15" s="61"/>
      <c r="V15" s="177"/>
      <c r="W15" s="177"/>
      <c r="X15" s="177"/>
      <c r="Y15" s="177"/>
      <c r="Z15" s="177"/>
    </row>
    <row r="16" ht="14.25" customHeight="1">
      <c r="A16" s="204"/>
      <c r="B16" s="188"/>
      <c r="C16" s="222" t="s">
        <v>85</v>
      </c>
      <c r="D16" s="208"/>
      <c r="E16" s="211"/>
      <c r="F16" s="208"/>
      <c r="G16" s="223" t="s">
        <v>86</v>
      </c>
      <c r="H16" s="188"/>
      <c r="I16" s="226">
        <v>0.471</v>
      </c>
      <c r="J16" s="188"/>
      <c r="K16" s="188"/>
      <c r="L16" s="188"/>
      <c r="M16" s="16"/>
      <c r="N16" s="16"/>
      <c r="O16" s="16"/>
      <c r="P16" s="16"/>
      <c r="Q16" s="16"/>
      <c r="R16" s="16"/>
      <c r="S16" s="16"/>
      <c r="T16" s="16"/>
      <c r="U16" s="61"/>
      <c r="V16" s="177"/>
      <c r="W16" s="177"/>
      <c r="X16" s="177"/>
      <c r="Y16" s="177"/>
      <c r="Z16" s="177"/>
    </row>
    <row r="17" ht="10.5" customHeight="1">
      <c r="A17" s="204"/>
      <c r="B17" s="188"/>
      <c r="C17" s="221" t="s">
        <v>87</v>
      </c>
      <c r="D17" s="227">
        <f t="array" ref="D17">D1</f>
        <v>116</v>
      </c>
      <c r="E17" s="19"/>
      <c r="F17" s="190"/>
      <c r="G17" s="222" t="s">
        <v>88</v>
      </c>
      <c r="H17" s="188"/>
      <c r="I17" s="188"/>
      <c r="J17" s="228"/>
      <c r="K17" s="228"/>
      <c r="L17" s="188"/>
      <c r="M17" s="16"/>
      <c r="N17" s="16"/>
      <c r="O17" s="16"/>
      <c r="P17" s="16"/>
      <c r="Q17" s="16"/>
      <c r="R17" s="16"/>
      <c r="S17" s="16"/>
      <c r="T17" s="16"/>
      <c r="U17" s="61"/>
      <c r="V17" s="177"/>
      <c r="W17" s="177"/>
      <c r="X17" s="177"/>
      <c r="Y17" s="177"/>
      <c r="Z17" s="177"/>
    </row>
    <row r="18" ht="10.5" customHeight="1">
      <c r="A18" s="204"/>
      <c r="B18" s="188"/>
      <c r="C18" s="222" t="s">
        <v>89</v>
      </c>
      <c r="D18" s="208"/>
      <c r="E18" s="211"/>
      <c r="F18" s="211"/>
      <c r="G18" s="188"/>
      <c r="H18" s="188"/>
      <c r="I18" s="188"/>
      <c r="J18" s="216"/>
      <c r="K18" s="208"/>
      <c r="L18" s="188"/>
      <c r="M18" s="16"/>
      <c r="N18" s="16"/>
      <c r="O18" s="16"/>
      <c r="P18" s="16"/>
      <c r="Q18" s="16"/>
      <c r="R18" s="16"/>
      <c r="S18" s="16"/>
      <c r="T18" s="16"/>
      <c r="U18" s="61"/>
      <c r="V18" s="177"/>
      <c r="W18" s="177"/>
      <c r="X18" s="177"/>
      <c r="Y18" s="177"/>
      <c r="Z18" s="177"/>
    </row>
    <row r="19" ht="10.5" customHeight="1">
      <c r="A19" s="204"/>
      <c r="B19" s="188"/>
      <c r="C19" s="221" t="s">
        <v>90</v>
      </c>
      <c r="D19" s="220" t="str">
        <f t="array" ref="D19">E1</f>
        <v>35260913WS</v>
      </c>
      <c r="E19" s="19"/>
      <c r="F19" s="190"/>
      <c r="G19" s="188"/>
      <c r="H19" s="188"/>
      <c r="I19" s="188"/>
      <c r="J19" s="211"/>
      <c r="K19" s="208"/>
      <c r="L19" s="188"/>
      <c r="M19" s="16"/>
      <c r="N19" s="16"/>
      <c r="O19" s="16"/>
      <c r="P19" s="16"/>
      <c r="Q19" s="16"/>
      <c r="R19" s="16"/>
      <c r="S19" s="16"/>
      <c r="T19" s="16"/>
      <c r="U19" s="229"/>
      <c r="V19" s="177"/>
      <c r="W19" s="177"/>
      <c r="X19" s="177"/>
      <c r="Y19" s="177"/>
      <c r="Z19" s="177"/>
    </row>
    <row r="20" ht="10.5" customHeight="1">
      <c r="A20" s="204"/>
      <c r="B20" s="188"/>
      <c r="C20" s="222" t="s">
        <v>91</v>
      </c>
      <c r="D20" s="227"/>
      <c r="E20" s="190"/>
      <c r="F20" s="208"/>
      <c r="G20" s="188"/>
      <c r="H20" s="188"/>
      <c r="I20" s="188"/>
      <c r="J20" s="188"/>
      <c r="K20" s="188"/>
      <c r="L20" s="188"/>
      <c r="M20" s="16"/>
      <c r="N20" s="16"/>
      <c r="O20" s="16"/>
      <c r="P20" s="16"/>
      <c r="Q20" s="16"/>
      <c r="R20" s="16"/>
      <c r="S20" s="16"/>
      <c r="T20" s="16"/>
      <c r="U20" s="61"/>
      <c r="V20" s="177"/>
      <c r="W20" s="177"/>
      <c r="X20" s="177"/>
      <c r="Y20" s="177"/>
      <c r="Z20" s="177"/>
    </row>
    <row r="21" ht="10.5" customHeight="1">
      <c r="A21" s="204"/>
      <c r="B21" s="188"/>
      <c r="C21" s="221" t="s">
        <v>92</v>
      </c>
      <c r="D21" s="220" t="str">
        <f t="array" ref="D21">F1</f>
        <v>EVO-559</v>
      </c>
      <c r="E21" s="19"/>
      <c r="F21" s="190"/>
      <c r="G21" s="188"/>
      <c r="H21" s="188"/>
      <c r="I21" s="188"/>
      <c r="J21" s="188"/>
      <c r="K21" s="208"/>
      <c r="L21" s="188"/>
      <c r="M21" s="16"/>
      <c r="N21" s="16"/>
      <c r="O21" s="16"/>
      <c r="P21" s="16"/>
      <c r="Q21" s="16"/>
      <c r="R21" s="16"/>
      <c r="S21" s="16"/>
      <c r="T21" s="16"/>
      <c r="U21" s="61"/>
      <c r="V21" s="177"/>
      <c r="W21" s="177"/>
      <c r="X21" s="177"/>
      <c r="Y21" s="177"/>
      <c r="Z21" s="177"/>
    </row>
    <row r="22" ht="10.5" customHeight="1">
      <c r="A22" s="204"/>
      <c r="B22" s="188"/>
      <c r="C22" s="222" t="s">
        <v>93</v>
      </c>
      <c r="D22" s="208"/>
      <c r="E22" s="208"/>
      <c r="F22" s="208"/>
      <c r="G22" s="188"/>
      <c r="H22" s="188"/>
      <c r="I22" s="188"/>
      <c r="J22" s="188"/>
      <c r="K22" s="208"/>
      <c r="L22" s="188"/>
      <c r="M22" s="16"/>
      <c r="N22" s="16"/>
      <c r="O22" s="16"/>
      <c r="P22" s="16"/>
      <c r="Q22" s="16"/>
      <c r="R22" s="16"/>
      <c r="S22" s="16"/>
      <c r="T22" s="16"/>
      <c r="U22" s="61"/>
      <c r="V22" s="177"/>
      <c r="W22" s="177"/>
      <c r="X22" s="177"/>
      <c r="Y22" s="177"/>
      <c r="Z22" s="177"/>
    </row>
    <row r="23" ht="10.5" customHeight="1">
      <c r="A23" s="204"/>
      <c r="B23" s="188"/>
      <c r="C23" s="221" t="s">
        <v>94</v>
      </c>
      <c r="D23" s="198" t="s">
        <v>95</v>
      </c>
      <c r="E23" s="188"/>
      <c r="F23" s="230"/>
      <c r="G23" s="224"/>
      <c r="H23" s="224"/>
      <c r="I23" s="227"/>
      <c r="J23" s="190"/>
      <c r="K23" s="208"/>
      <c r="L23" s="188"/>
      <c r="M23" s="16"/>
      <c r="N23" s="16"/>
      <c r="O23" s="16"/>
      <c r="P23" s="16"/>
      <c r="Q23" s="16"/>
      <c r="R23" s="16"/>
      <c r="S23" s="16"/>
      <c r="T23" s="16"/>
      <c r="U23" s="61"/>
      <c r="V23" s="177"/>
      <c r="W23" s="177"/>
      <c r="X23" s="177"/>
      <c r="Y23" s="177"/>
      <c r="Z23" s="177"/>
    </row>
    <row r="24" ht="10.5" customHeight="1">
      <c r="A24" s="204"/>
      <c r="B24" s="188"/>
      <c r="C24" s="222" t="s">
        <v>96</v>
      </c>
      <c r="D24" s="208"/>
      <c r="E24" s="208"/>
      <c r="F24" s="208"/>
      <c r="G24" s="231"/>
      <c r="H24" s="231"/>
      <c r="I24" s="208"/>
      <c r="J24" s="208"/>
      <c r="K24" s="208"/>
      <c r="L24" s="188"/>
      <c r="M24" s="16"/>
      <c r="N24" s="16"/>
      <c r="O24" s="16"/>
      <c r="P24" s="16"/>
      <c r="Q24" s="16"/>
      <c r="R24" s="16"/>
      <c r="S24" s="16"/>
      <c r="T24" s="16"/>
      <c r="U24" s="61"/>
      <c r="V24" s="177"/>
      <c r="W24" s="177"/>
      <c r="X24" s="177"/>
      <c r="Y24" s="177"/>
      <c r="Z24" s="177"/>
    </row>
    <row r="25" ht="10.5" customHeight="1">
      <c r="A25" s="204"/>
      <c r="B25" s="188"/>
      <c r="C25" s="221" t="s">
        <v>97</v>
      </c>
      <c r="D25" s="198" t="s">
        <v>95</v>
      </c>
      <c r="E25" s="208"/>
      <c r="F25" s="208"/>
      <c r="G25" s="231"/>
      <c r="H25" s="231"/>
      <c r="I25" s="208"/>
      <c r="J25" s="208"/>
      <c r="K25" s="208"/>
      <c r="L25" s="188"/>
      <c r="M25" s="16"/>
      <c r="N25" s="16"/>
      <c r="O25" s="16"/>
      <c r="P25" s="16"/>
      <c r="Q25" s="16"/>
      <c r="R25" s="16"/>
      <c r="S25" s="16"/>
      <c r="T25" s="16"/>
      <c r="U25" s="61"/>
      <c r="V25" s="177"/>
      <c r="W25" s="177"/>
      <c r="X25" s="177"/>
      <c r="Y25" s="177"/>
      <c r="Z25" s="177"/>
    </row>
    <row r="26" ht="10.5" customHeight="1">
      <c r="A26" s="204"/>
      <c r="B26" s="188"/>
      <c r="C26" s="222" t="s">
        <v>98</v>
      </c>
      <c r="D26" s="230"/>
      <c r="E26" s="188"/>
      <c r="F26" s="188"/>
      <c r="G26" s="188"/>
      <c r="H26" s="188"/>
      <c r="I26" s="188"/>
      <c r="J26" s="188"/>
      <c r="K26" s="188"/>
      <c r="L26" s="188"/>
      <c r="M26" s="16"/>
      <c r="N26" s="16"/>
      <c r="O26" s="16"/>
      <c r="P26" s="16"/>
      <c r="Q26" s="16"/>
      <c r="R26" s="16"/>
      <c r="S26" s="16"/>
      <c r="T26" s="16"/>
      <c r="U26" s="61"/>
      <c r="V26" s="177"/>
      <c r="W26" s="177"/>
      <c r="X26" s="177"/>
      <c r="Y26" s="177"/>
      <c r="Z26" s="177"/>
    </row>
    <row r="27" ht="10.5" customHeight="1">
      <c r="A27" s="204"/>
      <c r="B27" s="188"/>
      <c r="C27" s="231"/>
      <c r="D27" s="230"/>
      <c r="E27" s="188"/>
      <c r="F27" s="188"/>
      <c r="G27" s="188"/>
      <c r="H27" s="188"/>
      <c r="I27" s="188"/>
      <c r="J27" s="188"/>
      <c r="K27" s="188"/>
      <c r="L27" s="188"/>
      <c r="M27" s="16"/>
      <c r="N27" s="16"/>
      <c r="O27" s="16"/>
      <c r="P27" s="16"/>
      <c r="Q27" s="16"/>
      <c r="R27" s="16"/>
      <c r="S27" s="16"/>
      <c r="T27" s="16"/>
      <c r="U27" s="61"/>
      <c r="V27" s="177"/>
      <c r="W27" s="177"/>
      <c r="X27" s="177"/>
      <c r="Y27" s="177"/>
      <c r="Z27" s="177"/>
    </row>
    <row r="28" ht="22.5" customHeight="1">
      <c r="A28" s="204"/>
      <c r="B28" s="188"/>
      <c r="C28" s="232"/>
      <c r="D28" s="188"/>
      <c r="E28" s="233"/>
      <c r="F28" s="233"/>
      <c r="G28" s="188"/>
      <c r="H28" s="188"/>
      <c r="I28" s="234"/>
      <c r="J28" s="234"/>
      <c r="K28" s="188"/>
      <c r="L28" s="188"/>
      <c r="M28" s="16"/>
      <c r="N28" s="16"/>
      <c r="O28" s="16"/>
      <c r="P28" s="16"/>
      <c r="Q28" s="16"/>
      <c r="R28" s="16"/>
      <c r="S28" s="16"/>
      <c r="T28" s="16"/>
      <c r="U28" s="61"/>
      <c r="V28" s="177"/>
      <c r="W28" s="177"/>
      <c r="X28" s="177"/>
      <c r="Y28" s="177"/>
      <c r="Z28" s="177"/>
    </row>
    <row r="29" ht="15.0" customHeight="1">
      <c r="A29" s="204"/>
      <c r="B29" s="188"/>
      <c r="C29" s="235" t="s">
        <v>99</v>
      </c>
      <c r="D29" s="19"/>
      <c r="E29" s="19"/>
      <c r="F29" s="19"/>
      <c r="G29" s="190"/>
      <c r="H29" s="216"/>
      <c r="I29" s="236" t="s">
        <v>100</v>
      </c>
      <c r="J29" s="188"/>
      <c r="K29" s="188"/>
      <c r="L29" s="188"/>
      <c r="M29" s="16"/>
      <c r="N29" s="16"/>
      <c r="O29" s="16"/>
      <c r="P29" s="16"/>
      <c r="Q29" s="16"/>
      <c r="R29" s="16"/>
      <c r="S29" s="16"/>
      <c r="T29" s="16"/>
      <c r="U29" s="61"/>
      <c r="V29" s="177"/>
      <c r="W29" s="177"/>
      <c r="X29" s="177"/>
      <c r="Y29" s="177"/>
      <c r="Z29" s="177"/>
    </row>
    <row r="30" ht="15.0" customHeight="1">
      <c r="A30" s="204"/>
      <c r="B30" s="188"/>
      <c r="C30" s="237" t="s">
        <v>101</v>
      </c>
      <c r="D30" s="19"/>
      <c r="E30" s="19"/>
      <c r="F30" s="19"/>
      <c r="G30" s="190"/>
      <c r="H30" s="238"/>
      <c r="I30" s="188"/>
      <c r="J30" s="188"/>
      <c r="K30" s="188"/>
      <c r="L30" s="188"/>
      <c r="M30" s="16"/>
      <c r="N30" s="16"/>
      <c r="O30" s="16"/>
      <c r="P30" s="16"/>
      <c r="Q30" s="16"/>
      <c r="R30" s="16"/>
      <c r="S30" s="16"/>
      <c r="T30" s="16"/>
      <c r="U30" s="61"/>
      <c r="V30" s="177"/>
      <c r="W30" s="177"/>
      <c r="X30" s="177"/>
      <c r="Y30" s="177"/>
      <c r="Z30" s="177"/>
    </row>
    <row r="31" ht="15.0" customHeight="1">
      <c r="A31" s="204"/>
      <c r="B31" s="188"/>
      <c r="C31" s="239"/>
      <c r="D31" s="19"/>
      <c r="E31" s="19"/>
      <c r="F31" s="19"/>
      <c r="G31" s="190"/>
      <c r="H31" s="240"/>
      <c r="I31" s="240"/>
      <c r="J31" s="240"/>
      <c r="K31" s="188"/>
      <c r="L31" s="188"/>
      <c r="M31" s="16"/>
      <c r="N31" s="16"/>
      <c r="O31" s="16"/>
      <c r="P31" s="16"/>
      <c r="Q31" s="16"/>
      <c r="R31" s="16"/>
      <c r="S31" s="16"/>
      <c r="T31" s="16"/>
      <c r="U31" s="61"/>
      <c r="V31" s="177"/>
      <c r="W31" s="177"/>
      <c r="X31" s="177"/>
      <c r="Y31" s="177"/>
      <c r="Z31" s="177"/>
    </row>
    <row r="32" ht="15.0" customHeight="1">
      <c r="A32" s="204"/>
      <c r="B32" s="188"/>
      <c r="C32" s="241" t="s">
        <v>102</v>
      </c>
      <c r="D32" s="190"/>
      <c r="E32" s="242" t="s">
        <v>103</v>
      </c>
      <c r="F32" s="243"/>
      <c r="G32" s="244" t="s">
        <v>104</v>
      </c>
      <c r="H32" s="245" t="s">
        <v>105</v>
      </c>
      <c r="I32" s="246"/>
      <c r="J32" s="246"/>
      <c r="K32" s="188"/>
      <c r="L32" s="188"/>
      <c r="M32" s="16"/>
      <c r="N32" s="16"/>
      <c r="O32" s="16"/>
      <c r="P32" s="16"/>
      <c r="Q32" s="16"/>
      <c r="R32" s="16"/>
      <c r="S32" s="16"/>
      <c r="T32" s="16"/>
      <c r="U32" s="61"/>
      <c r="V32" s="177"/>
      <c r="W32" s="177"/>
      <c r="X32" s="177"/>
      <c r="Y32" s="177"/>
      <c r="Z32" s="177"/>
    </row>
    <row r="33" ht="15.0" customHeight="1">
      <c r="A33" s="204"/>
      <c r="B33" s="188"/>
      <c r="C33" s="222" t="s">
        <v>106</v>
      </c>
      <c r="D33" s="247"/>
      <c r="E33" s="248"/>
      <c r="F33" s="249"/>
      <c r="G33" s="222" t="s">
        <v>107</v>
      </c>
      <c r="H33" s="240"/>
      <c r="I33" s="240"/>
      <c r="J33" s="240"/>
      <c r="K33" s="240"/>
      <c r="L33" s="188"/>
      <c r="M33" s="16"/>
      <c r="N33" s="16"/>
      <c r="O33" s="16"/>
      <c r="P33" s="16"/>
      <c r="Q33" s="16"/>
      <c r="R33" s="16"/>
      <c r="S33" s="16"/>
      <c r="T33" s="16"/>
      <c r="U33" s="61"/>
      <c r="V33" s="177"/>
      <c r="W33" s="177"/>
      <c r="X33" s="177"/>
      <c r="Y33" s="177"/>
      <c r="Z33" s="177"/>
    </row>
    <row r="34" ht="12.75" customHeight="1">
      <c r="A34" s="204"/>
      <c r="B34" s="188"/>
      <c r="C34" s="188"/>
      <c r="D34" s="188"/>
      <c r="E34" s="188"/>
      <c r="F34" s="188"/>
      <c r="G34" s="188"/>
      <c r="H34" s="188"/>
      <c r="I34" s="188"/>
      <c r="J34" s="188"/>
      <c r="K34" s="188"/>
      <c r="L34" s="188"/>
      <c r="M34" s="16"/>
      <c r="N34" s="16"/>
      <c r="O34" s="16"/>
      <c r="P34" s="16"/>
      <c r="Q34" s="16"/>
      <c r="R34" s="16"/>
      <c r="S34" s="16"/>
      <c r="T34" s="16"/>
      <c r="U34" s="61"/>
      <c r="V34" s="177"/>
      <c r="W34" s="177"/>
      <c r="X34" s="177"/>
      <c r="Y34" s="177"/>
      <c r="Z34" s="177"/>
    </row>
    <row r="35" ht="13.5" customHeight="1">
      <c r="A35" s="204"/>
      <c r="B35" s="188"/>
      <c r="C35" s="217" t="s">
        <v>108</v>
      </c>
      <c r="D35" s="188"/>
      <c r="E35" s="188"/>
      <c r="F35" s="188"/>
      <c r="G35" s="188"/>
      <c r="H35" s="188"/>
      <c r="I35" s="188"/>
      <c r="J35" s="188"/>
      <c r="K35" s="188"/>
      <c r="L35" s="188"/>
      <c r="M35" s="16"/>
      <c r="N35" s="16"/>
      <c r="O35" s="16"/>
      <c r="P35" s="16"/>
      <c r="Q35" s="16"/>
      <c r="R35" s="16"/>
      <c r="S35" s="16"/>
      <c r="T35" s="16"/>
      <c r="U35" s="61"/>
      <c r="V35" s="177"/>
      <c r="W35" s="177"/>
      <c r="X35" s="177"/>
      <c r="Y35" s="177"/>
      <c r="Z35" s="177"/>
    </row>
    <row r="36" ht="13.5" customHeight="1">
      <c r="A36" s="204"/>
      <c r="B36" s="188"/>
      <c r="C36" s="247"/>
      <c r="D36" s="188"/>
      <c r="E36" s="188"/>
      <c r="F36" s="188"/>
      <c r="G36" s="188"/>
      <c r="H36" s="188"/>
      <c r="I36" s="188"/>
      <c r="J36" s="188"/>
      <c r="K36" s="188"/>
      <c r="L36" s="188"/>
      <c r="M36" s="16"/>
      <c r="N36" s="16"/>
      <c r="O36" s="16"/>
      <c r="P36" s="16"/>
      <c r="Q36" s="16"/>
      <c r="R36" s="16"/>
      <c r="S36" s="16"/>
      <c r="T36" s="16"/>
      <c r="U36" s="61"/>
      <c r="V36" s="177"/>
      <c r="W36" s="177"/>
      <c r="X36" s="177"/>
      <c r="Y36" s="177"/>
      <c r="Z36" s="177"/>
    </row>
    <row r="37" ht="13.5" customHeight="1">
      <c r="A37" s="204"/>
      <c r="B37" s="188"/>
      <c r="C37" s="250"/>
      <c r="D37" s="250"/>
      <c r="E37" s="188"/>
      <c r="F37" s="188"/>
      <c r="G37" s="188"/>
      <c r="H37" s="188"/>
      <c r="I37" s="188"/>
      <c r="J37" s="188"/>
      <c r="K37" s="188"/>
      <c r="L37" s="188"/>
      <c r="M37" s="16"/>
      <c r="N37" s="16"/>
      <c r="O37" s="16"/>
      <c r="P37" s="16"/>
      <c r="Q37" s="16"/>
      <c r="R37" s="16"/>
      <c r="S37" s="16"/>
      <c r="T37" s="16"/>
      <c r="U37" s="61"/>
      <c r="V37" s="177"/>
      <c r="W37" s="177"/>
      <c r="X37" s="177"/>
      <c r="Y37" s="177"/>
      <c r="Z37" s="177"/>
    </row>
    <row r="38" ht="12.75" customHeight="1">
      <c r="A38" s="204"/>
      <c r="B38" s="188"/>
      <c r="C38" s="251" t="s">
        <v>109</v>
      </c>
      <c r="D38" s="190"/>
      <c r="E38" s="252" t="s">
        <v>110</v>
      </c>
      <c r="F38" s="190"/>
      <c r="G38" s="253" t="s">
        <v>111</v>
      </c>
      <c r="H38" s="254"/>
      <c r="I38" s="253" t="s">
        <v>112</v>
      </c>
      <c r="J38" s="255"/>
      <c r="K38" s="190"/>
      <c r="L38" s="188"/>
      <c r="M38" s="16"/>
      <c r="N38" s="16"/>
      <c r="O38" s="16"/>
      <c r="P38" s="16"/>
      <c r="Q38" s="16"/>
      <c r="R38" s="16"/>
      <c r="S38" s="16"/>
      <c r="T38" s="16"/>
      <c r="U38" s="61"/>
      <c r="V38" s="177"/>
      <c r="W38" s="177"/>
      <c r="X38" s="177"/>
      <c r="Y38" s="177"/>
      <c r="Z38" s="177"/>
    </row>
    <row r="39" ht="12.75" customHeight="1">
      <c r="A39" s="204"/>
      <c r="B39" s="188"/>
      <c r="C39" s="256"/>
      <c r="D39" s="257" t="s">
        <v>113</v>
      </c>
      <c r="E39" s="258" t="s">
        <v>114</v>
      </c>
      <c r="F39" s="190"/>
      <c r="G39" s="259" t="s">
        <v>115</v>
      </c>
      <c r="H39" s="260"/>
      <c r="I39" s="259" t="s">
        <v>116</v>
      </c>
      <c r="J39" s="261"/>
      <c r="K39" s="190"/>
      <c r="L39" s="188"/>
      <c r="M39" s="16"/>
      <c r="N39" s="16"/>
      <c r="O39" s="16"/>
      <c r="P39" s="16"/>
      <c r="Q39" s="16"/>
      <c r="R39" s="16"/>
      <c r="S39" s="16"/>
      <c r="T39" s="16"/>
      <c r="U39" s="61"/>
      <c r="V39" s="177"/>
      <c r="W39" s="177"/>
      <c r="X39" s="177"/>
      <c r="Y39" s="177"/>
      <c r="Z39" s="177"/>
    </row>
    <row r="40" ht="10.5" customHeight="1">
      <c r="A40" s="204"/>
      <c r="B40" s="188"/>
      <c r="C40" s="188"/>
      <c r="D40" s="188"/>
      <c r="E40" s="188"/>
      <c r="F40" s="188"/>
      <c r="G40" s="188"/>
      <c r="H40" s="188"/>
      <c r="I40" s="188"/>
      <c r="J40" s="262"/>
      <c r="K40" s="190"/>
      <c r="L40" s="188"/>
      <c r="M40" s="16"/>
      <c r="N40" s="16"/>
      <c r="O40" s="16"/>
      <c r="P40" s="16"/>
      <c r="Q40" s="16"/>
      <c r="R40" s="16"/>
      <c r="S40" s="16"/>
      <c r="T40" s="16"/>
      <c r="U40" s="61"/>
      <c r="V40" s="177"/>
      <c r="W40" s="177"/>
      <c r="X40" s="177"/>
      <c r="Y40" s="177"/>
      <c r="Z40" s="177"/>
    </row>
    <row r="41" ht="24.0" customHeight="1">
      <c r="A41" s="204"/>
      <c r="B41" s="263"/>
      <c r="C41" s="263"/>
      <c r="D41" s="264" t="s">
        <v>117</v>
      </c>
      <c r="E41" s="265" t="s">
        <v>118</v>
      </c>
      <c r="F41" s="190"/>
      <c r="G41" s="266">
        <v>46218.0</v>
      </c>
      <c r="H41" s="267"/>
      <c r="I41" s="268" t="s">
        <v>119</v>
      </c>
      <c r="J41" s="269"/>
      <c r="K41" s="188"/>
      <c r="L41" s="188"/>
      <c r="M41" s="16"/>
      <c r="N41" s="16"/>
      <c r="O41" s="16"/>
      <c r="P41" s="16"/>
      <c r="Q41" s="16"/>
      <c r="R41" s="16"/>
      <c r="S41" s="16"/>
      <c r="T41" s="16"/>
      <c r="U41" s="61"/>
      <c r="V41" s="177"/>
      <c r="W41" s="177"/>
      <c r="X41" s="177"/>
      <c r="Y41" s="177"/>
      <c r="Z41" s="177"/>
    </row>
    <row r="42" ht="8.25" customHeight="1">
      <c r="A42" s="204"/>
      <c r="B42" s="188"/>
      <c r="C42" s="270"/>
      <c r="D42" s="271"/>
      <c r="E42" s="272"/>
      <c r="F42" s="190"/>
      <c r="G42" s="266"/>
      <c r="H42" s="267"/>
      <c r="I42" s="273"/>
      <c r="J42" s="188"/>
      <c r="K42" s="188"/>
      <c r="L42" s="188"/>
      <c r="M42" s="16"/>
      <c r="N42" s="16"/>
      <c r="O42" s="16"/>
      <c r="P42" s="16"/>
      <c r="Q42" s="16"/>
      <c r="R42" s="16"/>
      <c r="S42" s="16"/>
      <c r="T42" s="16"/>
      <c r="U42" s="61"/>
      <c r="V42" s="177"/>
      <c r="W42" s="177"/>
      <c r="X42" s="177"/>
      <c r="Y42" s="177"/>
      <c r="Z42" s="177"/>
    </row>
    <row r="43" ht="10.5" customHeight="1">
      <c r="A43" s="204"/>
      <c r="B43" s="188"/>
      <c r="C43" s="274"/>
      <c r="D43" s="274"/>
      <c r="E43" s="274"/>
      <c r="F43" s="275"/>
      <c r="G43" s="276"/>
      <c r="H43" s="276"/>
      <c r="I43" s="274"/>
      <c r="J43" s="277"/>
      <c r="K43" s="277"/>
      <c r="L43" s="188"/>
      <c r="M43" s="16"/>
      <c r="N43" s="16"/>
      <c r="O43" s="16"/>
      <c r="P43" s="16"/>
      <c r="Q43" s="16"/>
      <c r="R43" s="16"/>
      <c r="S43" s="16"/>
      <c r="T43" s="16"/>
      <c r="U43" s="61"/>
      <c r="V43" s="177"/>
      <c r="W43" s="177"/>
      <c r="X43" s="177"/>
      <c r="Y43" s="177"/>
      <c r="Z43" s="177"/>
    </row>
    <row r="44" ht="10.5" customHeight="1">
      <c r="A44" s="204"/>
      <c r="B44" s="188"/>
      <c r="C44" s="274"/>
      <c r="D44" s="274"/>
      <c r="E44" s="274"/>
      <c r="F44" s="275"/>
      <c r="G44" s="276"/>
      <c r="H44" s="276"/>
      <c r="I44" s="274"/>
      <c r="J44" s="277"/>
      <c r="K44" s="277"/>
      <c r="L44" s="188"/>
      <c r="M44" s="16"/>
      <c r="N44" s="16"/>
      <c r="O44" s="16"/>
      <c r="P44" s="16"/>
      <c r="Q44" s="16"/>
      <c r="R44" s="16"/>
      <c r="S44" s="16"/>
      <c r="T44" s="16"/>
      <c r="U44" s="61"/>
      <c r="V44" s="177"/>
      <c r="W44" s="177"/>
      <c r="X44" s="177"/>
      <c r="Y44" s="177"/>
      <c r="Z44" s="177"/>
    </row>
    <row r="45" ht="15.0" customHeight="1">
      <c r="A45" s="204"/>
      <c r="B45" s="188"/>
      <c r="C45" s="278"/>
      <c r="D45" s="188"/>
      <c r="E45" s="188"/>
      <c r="F45" s="188"/>
      <c r="G45" s="273"/>
      <c r="H45" s="273"/>
      <c r="I45" s="188"/>
      <c r="J45" s="188"/>
      <c r="K45" s="188"/>
      <c r="L45" s="188"/>
      <c r="M45" s="16"/>
      <c r="N45" s="16"/>
      <c r="O45" s="16"/>
      <c r="P45" s="16"/>
      <c r="Q45" s="16"/>
      <c r="R45" s="16"/>
      <c r="S45" s="16"/>
      <c r="T45" s="16"/>
      <c r="U45" s="61"/>
      <c r="V45" s="177"/>
      <c r="W45" s="177"/>
      <c r="X45" s="177"/>
      <c r="Y45" s="177"/>
      <c r="Z45" s="177"/>
    </row>
    <row r="46" ht="17.25" customHeight="1">
      <c r="A46" s="204"/>
      <c r="B46" s="188"/>
      <c r="C46" s="232"/>
      <c r="D46" s="279" t="s">
        <v>120</v>
      </c>
      <c r="E46" s="280" t="s">
        <v>121</v>
      </c>
      <c r="F46" s="190"/>
      <c r="G46" s="279" t="s">
        <v>122</v>
      </c>
      <c r="H46" s="281"/>
      <c r="I46" s="188"/>
      <c r="J46" s="188"/>
      <c r="K46" s="188"/>
      <c r="L46" s="188"/>
      <c r="M46" s="16"/>
      <c r="N46" s="164"/>
      <c r="O46" s="16"/>
      <c r="P46" s="16"/>
      <c r="Q46" s="16"/>
      <c r="R46" s="16"/>
      <c r="S46" s="16"/>
      <c r="T46" s="16"/>
      <c r="U46" s="61"/>
      <c r="V46" s="177"/>
      <c r="W46" s="177"/>
      <c r="X46" s="177"/>
      <c r="Y46" s="177"/>
      <c r="Z46" s="177"/>
    </row>
    <row r="47" ht="17.25" customHeight="1">
      <c r="A47" s="204"/>
      <c r="B47" s="188"/>
      <c r="C47" s="282"/>
      <c r="D47" s="283" t="s">
        <v>123</v>
      </c>
      <c r="E47" s="284" t="s">
        <v>124</v>
      </c>
      <c r="F47" s="190"/>
      <c r="G47" s="283" t="s">
        <v>125</v>
      </c>
      <c r="H47" s="285"/>
      <c r="I47" s="232"/>
      <c r="J47" s="188"/>
      <c r="K47" s="188"/>
      <c r="L47" s="188"/>
      <c r="M47" s="16"/>
      <c r="N47" s="16"/>
      <c r="O47" s="16"/>
      <c r="P47" s="16"/>
      <c r="Q47" s="16"/>
      <c r="R47" s="286"/>
      <c r="S47" s="190"/>
      <c r="T47" s="16"/>
      <c r="U47" s="61"/>
      <c r="V47" s="177"/>
      <c r="W47" s="177"/>
      <c r="X47" s="177"/>
      <c r="Y47" s="177"/>
      <c r="Z47" s="177"/>
    </row>
    <row r="48" ht="17.25" customHeight="1">
      <c r="A48" s="204"/>
      <c r="B48" s="188"/>
      <c r="C48" s="232"/>
      <c r="D48" s="233"/>
      <c r="E48" s="287"/>
      <c r="F48" s="287"/>
      <c r="G48" s="281"/>
      <c r="H48" s="281"/>
      <c r="I48" s="232"/>
      <c r="J48" s="188"/>
      <c r="K48" s="188"/>
      <c r="L48" s="188"/>
      <c r="M48" s="16"/>
      <c r="N48" s="16"/>
      <c r="O48" s="16"/>
      <c r="P48" s="16"/>
      <c r="Q48" s="16"/>
      <c r="R48" s="288"/>
      <c r="S48" s="16"/>
      <c r="T48" s="16"/>
      <c r="U48" s="61"/>
      <c r="V48" s="177"/>
      <c r="W48" s="177"/>
      <c r="X48" s="177"/>
      <c r="Y48" s="177"/>
      <c r="Z48" s="177"/>
    </row>
    <row r="49" ht="17.25" customHeight="1">
      <c r="A49" s="204"/>
      <c r="B49" s="289"/>
      <c r="C49" s="190"/>
      <c r="D49" s="279" t="s">
        <v>126</v>
      </c>
      <c r="E49" s="280" t="s">
        <v>127</v>
      </c>
      <c r="F49" s="190"/>
      <c r="G49" s="279" t="s">
        <v>122</v>
      </c>
      <c r="H49" s="281"/>
      <c r="I49" s="188"/>
      <c r="J49" s="188"/>
      <c r="K49" s="188"/>
      <c r="L49" s="188"/>
      <c r="M49" s="16"/>
      <c r="N49" s="16"/>
      <c r="O49" s="16"/>
      <c r="P49" s="16"/>
      <c r="Q49" s="16"/>
      <c r="R49" s="16"/>
      <c r="S49" s="16"/>
      <c r="T49" s="16"/>
      <c r="U49" s="61"/>
      <c r="V49" s="177"/>
      <c r="W49" s="177"/>
      <c r="X49" s="177"/>
      <c r="Y49" s="177"/>
      <c r="Z49" s="177"/>
    </row>
    <row r="50" ht="15.0" customHeight="1">
      <c r="A50" s="183"/>
      <c r="B50" s="188"/>
      <c r="C50" s="282"/>
      <c r="D50" s="283" t="s">
        <v>128</v>
      </c>
      <c r="E50" s="284" t="s">
        <v>129</v>
      </c>
      <c r="F50" s="190"/>
      <c r="G50" s="283" t="s">
        <v>125</v>
      </c>
      <c r="H50" s="285"/>
      <c r="I50" s="232"/>
      <c r="J50" s="188"/>
      <c r="K50" s="188"/>
      <c r="L50" s="188"/>
      <c r="M50" s="16"/>
      <c r="N50" s="16"/>
      <c r="O50" s="16"/>
      <c r="P50" s="16"/>
      <c r="Q50" s="16"/>
      <c r="R50" s="16"/>
      <c r="S50" s="16"/>
      <c r="T50" s="16"/>
      <c r="U50" s="61"/>
      <c r="V50" s="177"/>
      <c r="W50" s="177"/>
      <c r="X50" s="177"/>
      <c r="Y50" s="177"/>
      <c r="Z50" s="177"/>
    </row>
    <row r="51" ht="15.75" customHeight="1">
      <c r="A51" s="183"/>
      <c r="B51" s="184"/>
      <c r="C51" s="184"/>
      <c r="D51" s="184"/>
      <c r="E51" s="184"/>
      <c r="F51" s="184"/>
      <c r="G51" s="184"/>
      <c r="H51" s="184"/>
      <c r="I51" s="184"/>
      <c r="J51" s="184"/>
      <c r="K51" s="188"/>
      <c r="L51" s="188"/>
      <c r="M51" s="16"/>
      <c r="N51" s="16"/>
      <c r="O51" s="16"/>
      <c r="P51" s="16"/>
      <c r="Q51" s="16"/>
      <c r="R51" s="16"/>
      <c r="S51" s="16"/>
      <c r="T51" s="16"/>
      <c r="U51" s="61"/>
      <c r="V51" s="177"/>
      <c r="W51" s="177"/>
      <c r="X51" s="177"/>
      <c r="Y51" s="177"/>
      <c r="Z51" s="177"/>
    </row>
    <row r="52" ht="14.25" customHeight="1">
      <c r="A52" s="183"/>
      <c r="B52" s="290"/>
      <c r="C52" s="19"/>
      <c r="D52" s="19"/>
      <c r="E52" s="19"/>
      <c r="F52" s="19"/>
      <c r="G52" s="19"/>
      <c r="H52" s="19"/>
      <c r="I52" s="19"/>
      <c r="J52" s="19"/>
      <c r="K52" s="190"/>
      <c r="L52" s="188"/>
      <c r="M52" s="16"/>
      <c r="N52" s="16"/>
      <c r="O52" s="16"/>
      <c r="P52" s="16"/>
      <c r="Q52" s="16"/>
      <c r="R52" s="16"/>
      <c r="S52" s="16"/>
      <c r="T52" s="16"/>
      <c r="U52" s="61"/>
      <c r="V52" s="177"/>
      <c r="W52" s="177"/>
      <c r="X52" s="177"/>
      <c r="Y52" s="177"/>
      <c r="Z52" s="177"/>
    </row>
    <row r="53" ht="16.5" customHeight="1">
      <c r="A53" s="183"/>
      <c r="B53" s="290"/>
      <c r="C53" s="19"/>
      <c r="D53" s="19"/>
      <c r="E53" s="19"/>
      <c r="F53" s="19"/>
      <c r="G53" s="19"/>
      <c r="H53" s="19"/>
      <c r="I53" s="19"/>
      <c r="J53" s="19"/>
      <c r="K53" s="190"/>
      <c r="L53" s="188"/>
      <c r="M53" s="16"/>
      <c r="N53" s="16"/>
      <c r="O53" s="16"/>
      <c r="P53" s="16"/>
      <c r="Q53" s="16"/>
      <c r="R53" s="16"/>
      <c r="S53" s="16"/>
      <c r="T53" s="16"/>
      <c r="U53" s="61"/>
      <c r="V53" s="177"/>
      <c r="W53" s="177"/>
      <c r="X53" s="177"/>
      <c r="Y53" s="177"/>
      <c r="Z53" s="177"/>
    </row>
    <row r="54" ht="16.5" customHeight="1">
      <c r="A54" s="183"/>
      <c r="B54" s="290"/>
      <c r="C54" s="19"/>
      <c r="D54" s="19"/>
      <c r="E54" s="19"/>
      <c r="F54" s="19"/>
      <c r="G54" s="19"/>
      <c r="H54" s="19"/>
      <c r="I54" s="19"/>
      <c r="J54" s="19"/>
      <c r="K54" s="190"/>
      <c r="L54" s="188"/>
      <c r="M54" s="16"/>
      <c r="N54" s="16"/>
      <c r="O54" s="16"/>
      <c r="P54" s="16"/>
      <c r="Q54" s="16"/>
      <c r="R54" s="16"/>
      <c r="S54" s="16"/>
      <c r="T54" s="16"/>
      <c r="U54" s="61"/>
      <c r="V54" s="177"/>
      <c r="W54" s="177"/>
      <c r="X54" s="177"/>
      <c r="Y54" s="177"/>
      <c r="Z54" s="177"/>
    </row>
    <row r="55" ht="16.5" customHeight="1">
      <c r="A55" s="183"/>
      <c r="B55" s="290"/>
      <c r="C55" s="19"/>
      <c r="D55" s="19"/>
      <c r="E55" s="19"/>
      <c r="F55" s="19"/>
      <c r="G55" s="19"/>
      <c r="H55" s="19"/>
      <c r="I55" s="19"/>
      <c r="J55" s="19"/>
      <c r="K55" s="190"/>
      <c r="L55" s="188"/>
      <c r="M55" s="16"/>
      <c r="N55" s="16"/>
      <c r="O55" s="16"/>
      <c r="P55" s="16"/>
      <c r="Q55" s="16"/>
      <c r="R55" s="16"/>
      <c r="S55" s="16"/>
      <c r="T55" s="16"/>
      <c r="U55" s="61"/>
      <c r="V55" s="177"/>
      <c r="W55" s="177"/>
      <c r="X55" s="177"/>
      <c r="Y55" s="177"/>
      <c r="Z55" s="177"/>
    </row>
    <row r="56" ht="16.5" customHeight="1">
      <c r="A56" s="183"/>
      <c r="B56" s="291"/>
      <c r="C56" s="19"/>
      <c r="D56" s="19"/>
      <c r="E56" s="19"/>
      <c r="F56" s="19"/>
      <c r="G56" s="19"/>
      <c r="H56" s="19"/>
      <c r="I56" s="19"/>
      <c r="J56" s="19"/>
      <c r="K56" s="190"/>
      <c r="L56" s="188"/>
      <c r="M56" s="16"/>
      <c r="N56" s="16"/>
      <c r="O56" s="16"/>
      <c r="P56" s="16"/>
      <c r="Q56" s="16"/>
      <c r="R56" s="16"/>
      <c r="S56" s="16"/>
      <c r="T56" s="16"/>
      <c r="U56" s="61"/>
      <c r="V56" s="177"/>
      <c r="W56" s="177"/>
      <c r="X56" s="177"/>
      <c r="Y56" s="177"/>
      <c r="Z56" s="177"/>
    </row>
    <row r="57" ht="16.5" customHeight="1">
      <c r="A57" s="183"/>
      <c r="B57" s="290"/>
      <c r="C57" s="19"/>
      <c r="D57" s="19"/>
      <c r="E57" s="19"/>
      <c r="F57" s="19"/>
      <c r="G57" s="19"/>
      <c r="H57" s="19"/>
      <c r="I57" s="19"/>
      <c r="J57" s="19"/>
      <c r="K57" s="190"/>
      <c r="L57" s="188"/>
      <c r="M57" s="16"/>
      <c r="N57" s="16"/>
      <c r="O57" s="16"/>
      <c r="P57" s="16"/>
      <c r="Q57" s="16"/>
      <c r="R57" s="16"/>
      <c r="S57" s="16"/>
      <c r="T57" s="16"/>
      <c r="U57" s="61"/>
      <c r="V57" s="177"/>
      <c r="W57" s="177"/>
      <c r="X57" s="177"/>
      <c r="Y57" s="177"/>
      <c r="Z57" s="177"/>
    </row>
    <row r="58" ht="7.5" customHeight="1">
      <c r="A58" s="15"/>
      <c r="B58" s="188"/>
      <c r="C58" s="184"/>
      <c r="D58" s="184"/>
      <c r="E58" s="184"/>
      <c r="F58" s="184"/>
      <c r="G58" s="184"/>
      <c r="H58" s="184"/>
      <c r="I58" s="184"/>
      <c r="J58" s="184"/>
      <c r="K58" s="184"/>
      <c r="L58" s="188"/>
      <c r="M58" s="16"/>
      <c r="N58" s="16"/>
      <c r="O58" s="16"/>
      <c r="P58" s="16"/>
      <c r="Q58" s="16"/>
      <c r="R58" s="16"/>
      <c r="S58" s="16"/>
      <c r="T58" s="16"/>
      <c r="U58" s="61"/>
      <c r="V58" s="177"/>
      <c r="W58" s="177"/>
      <c r="X58" s="177"/>
      <c r="Y58" s="177"/>
      <c r="Z58" s="177"/>
    </row>
    <row r="59" ht="16.5" customHeight="1">
      <c r="A59" s="15"/>
      <c r="B59" s="188"/>
      <c r="C59" s="184"/>
      <c r="D59" s="184"/>
      <c r="E59" s="184"/>
      <c r="F59" s="184"/>
      <c r="G59" s="184"/>
      <c r="H59" s="184"/>
      <c r="I59" s="184"/>
      <c r="J59" s="184"/>
      <c r="K59" s="184"/>
      <c r="L59" s="188"/>
      <c r="M59" s="16"/>
      <c r="N59" s="16"/>
      <c r="O59" s="16"/>
      <c r="P59" s="16"/>
      <c r="Q59" s="16"/>
      <c r="R59" s="16"/>
      <c r="S59" s="16"/>
      <c r="T59" s="16"/>
      <c r="U59" s="61"/>
      <c r="V59" s="177"/>
      <c r="W59" s="177"/>
      <c r="X59" s="177"/>
      <c r="Y59" s="177"/>
      <c r="Z59" s="177"/>
    </row>
    <row r="60" ht="16.5" customHeight="1">
      <c r="A60" s="15"/>
      <c r="B60" s="188"/>
      <c r="C60" s="184"/>
      <c r="D60" s="184"/>
      <c r="E60" s="184"/>
      <c r="F60" s="184"/>
      <c r="G60" s="184"/>
      <c r="H60" s="184"/>
      <c r="I60" s="184"/>
      <c r="J60" s="184"/>
      <c r="K60" s="184"/>
      <c r="L60" s="188"/>
      <c r="M60" s="16"/>
      <c r="N60" s="16"/>
      <c r="O60" s="16"/>
      <c r="P60" s="16"/>
      <c r="Q60" s="16"/>
      <c r="R60" s="16"/>
      <c r="S60" s="16"/>
      <c r="T60" s="16"/>
      <c r="U60" s="61"/>
      <c r="V60" s="177"/>
      <c r="W60" s="177"/>
      <c r="X60" s="177"/>
      <c r="Y60" s="177"/>
      <c r="Z60" s="177"/>
    </row>
    <row r="61" ht="11.25" customHeight="1">
      <c r="A61" s="15"/>
      <c r="B61" s="188"/>
      <c r="C61" s="292"/>
      <c r="D61" s="287"/>
      <c r="E61" s="287"/>
      <c r="F61" s="287"/>
      <c r="G61" s="293"/>
      <c r="H61" s="293"/>
      <c r="I61" s="287"/>
      <c r="J61" s="294"/>
      <c r="K61" s="188"/>
      <c r="L61" s="188"/>
      <c r="M61" s="16"/>
      <c r="N61" s="16"/>
      <c r="O61" s="16"/>
      <c r="P61" s="16"/>
      <c r="Q61" s="16"/>
      <c r="R61" s="16"/>
      <c r="S61" s="16"/>
      <c r="T61" s="16"/>
      <c r="U61" s="61"/>
      <c r="V61" s="177"/>
      <c r="W61" s="177"/>
      <c r="X61" s="177"/>
      <c r="Y61" s="177"/>
      <c r="Z61" s="177"/>
    </row>
    <row r="62" ht="7.5" hidden="1" customHeight="1">
      <c r="A62" s="15"/>
      <c r="B62" s="16"/>
      <c r="C62" s="295"/>
      <c r="D62" s="296"/>
      <c r="E62" s="296"/>
      <c r="F62" s="296"/>
      <c r="G62" s="297"/>
      <c r="H62" s="297"/>
      <c r="I62" s="296"/>
      <c r="J62" s="298"/>
      <c r="K62" s="16"/>
      <c r="L62" s="16"/>
      <c r="M62" s="16"/>
      <c r="N62" s="16"/>
      <c r="O62" s="16"/>
      <c r="P62" s="16"/>
      <c r="Q62" s="16"/>
      <c r="R62" s="16"/>
      <c r="S62" s="16"/>
      <c r="T62" s="16"/>
      <c r="U62" s="61"/>
      <c r="V62" s="177"/>
      <c r="W62" s="177"/>
      <c r="X62" s="177"/>
      <c r="Y62" s="177"/>
      <c r="Z62" s="177"/>
    </row>
    <row r="63" ht="12.75" customHeight="1">
      <c r="A63" s="15"/>
      <c r="B63" s="16"/>
      <c r="C63" s="16"/>
      <c r="D63" s="16"/>
      <c r="E63" s="16"/>
      <c r="F63" s="16"/>
      <c r="G63" s="16"/>
      <c r="H63" s="16"/>
      <c r="I63" s="16"/>
      <c r="J63" s="16"/>
      <c r="K63" s="16"/>
      <c r="L63" s="16"/>
      <c r="M63" s="16"/>
      <c r="N63" s="16"/>
      <c r="O63" s="16"/>
      <c r="P63" s="16"/>
      <c r="Q63" s="16"/>
      <c r="R63" s="16"/>
      <c r="S63" s="16"/>
      <c r="T63" s="16"/>
      <c r="U63" s="61"/>
      <c r="V63" s="177"/>
      <c r="W63" s="177"/>
      <c r="X63" s="177"/>
      <c r="Y63" s="177"/>
      <c r="Z63" s="177"/>
    </row>
    <row r="64" ht="12.75" customHeight="1">
      <c r="A64" s="15"/>
      <c r="B64" s="16"/>
      <c r="C64" s="16"/>
      <c r="D64" s="16"/>
      <c r="E64" s="16"/>
      <c r="F64" s="16"/>
      <c r="G64" s="16"/>
      <c r="H64" s="16"/>
      <c r="I64" s="16"/>
      <c r="J64" s="299"/>
      <c r="K64" s="16"/>
      <c r="L64" s="16"/>
      <c r="M64" s="16"/>
      <c r="N64" s="16"/>
      <c r="O64" s="16"/>
      <c r="P64" s="16"/>
      <c r="Q64" s="16"/>
      <c r="R64" s="16"/>
      <c r="S64" s="16"/>
      <c r="T64" s="16"/>
      <c r="U64" s="61"/>
      <c r="V64" s="177"/>
      <c r="W64" s="177"/>
      <c r="X64" s="177"/>
      <c r="Y64" s="177"/>
      <c r="Z64" s="177"/>
    </row>
    <row r="65" ht="12.75" customHeight="1">
      <c r="A65" s="300"/>
      <c r="B65" s="175"/>
      <c r="C65" s="175"/>
      <c r="D65" s="175"/>
      <c r="E65" s="175"/>
      <c r="F65" s="175"/>
      <c r="G65" s="175"/>
      <c r="H65" s="175"/>
      <c r="I65" s="301"/>
      <c r="J65" s="175"/>
      <c r="K65" s="175"/>
      <c r="L65" s="175"/>
      <c r="M65" s="175"/>
      <c r="N65" s="175"/>
      <c r="O65" s="175"/>
      <c r="P65" s="175"/>
      <c r="Q65" s="175"/>
      <c r="R65" s="175"/>
      <c r="S65" s="175"/>
      <c r="T65" s="175"/>
      <c r="U65" s="176"/>
      <c r="V65" s="177"/>
      <c r="W65" s="177"/>
      <c r="X65" s="177"/>
      <c r="Y65" s="177"/>
      <c r="Z65" s="177"/>
    </row>
    <row r="66" ht="12.7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ht="12.7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ht="12.7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ht="12.7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ht="12.7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ht="12.7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ht="12.7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ht="12.7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ht="12.7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ht="12.7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ht="12.7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ht="12.7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ht="12.7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ht="12.7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ht="12.7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ht="12.7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ht="12.7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ht="12.7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ht="12.7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ht="12.7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ht="12.7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ht="12.7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ht="12.7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ht="12.7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ht="12.7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ht="12.7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ht="12.7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ht="12.7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ht="12.7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ht="12.7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ht="12.7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ht="12.7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ht="12.7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ht="12.7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ht="12.7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ht="12.7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ht="12.7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ht="12.7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ht="12.7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ht="12.7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ht="12.7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ht="12.7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ht="12.7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ht="12.7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ht="12.7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ht="12.7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ht="12.7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ht="12.7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ht="12.7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ht="12.7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ht="12.7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ht="12.7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ht="12.7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ht="12.7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ht="12.7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ht="12.7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ht="12.7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ht="12.7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ht="12.7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ht="12.7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ht="12.7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ht="12.7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ht="12.7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ht="12.7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ht="12.7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ht="12.7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ht="12.7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ht="12.7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ht="12.7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ht="12.7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ht="12.7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ht="12.7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ht="12.7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ht="12.7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ht="12.7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ht="12.7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ht="12.7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ht="12.7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ht="12.7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ht="12.7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ht="12.7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ht="12.7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ht="12.7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ht="12.7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ht="12.7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ht="12.7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ht="12.7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ht="12.7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ht="12.7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ht="12.7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ht="12.7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ht="12.7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ht="12.7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ht="12.7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ht="12.7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ht="12.7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ht="12.7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ht="12.7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ht="12.7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ht="12.7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ht="12.7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ht="12.7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ht="12.7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ht="12.7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ht="12.7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ht="12.7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ht="12.7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ht="12.7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ht="12.7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ht="12.7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ht="12.7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ht="12.7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ht="12.7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ht="12.7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ht="12.7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ht="12.7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ht="12.7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ht="12.7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ht="12.7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ht="12.7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ht="12.7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ht="12.7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ht="12.7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ht="12.7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ht="12.7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ht="12.7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ht="12.7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ht="12.7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ht="12.7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ht="12.7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ht="12.7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ht="12.7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ht="12.7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ht="12.7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ht="12.7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ht="12.7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ht="12.7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ht="12.7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ht="12.7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ht="12.7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ht="12.7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ht="12.7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ht="12.7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ht="12.7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ht="12.7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ht="12.7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ht="12.7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ht="12.7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ht="12.7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ht="12.7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ht="12.7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ht="12.7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ht="12.7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ht="12.7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ht="12.7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ht="12.7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ht="12.7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ht="12.7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ht="12.7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ht="12.7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ht="12.7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ht="12.7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ht="12.7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ht="12.7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ht="12.7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ht="12.7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ht="12.7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ht="12.7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ht="12.7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ht="12.7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ht="12.7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ht="12.7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ht="12.7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ht="12.7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ht="12.7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ht="12.7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ht="12.7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ht="12.7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ht="12.7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ht="12.7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ht="12.7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ht="12.7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ht="12.7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ht="12.7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ht="12.7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ht="12.7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ht="12.7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ht="12.7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ht="12.7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ht="12.7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ht="12.7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ht="12.7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ht="12.7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ht="12.7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ht="12.7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ht="12.7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ht="12.7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ht="12.7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ht="12.7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ht="12.75" customHeight="1">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ht="12.75" customHeight="1">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ht="12.75" customHeight="1">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ht="12.75" customHeight="1">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ht="12.75" customHeight="1">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ht="12.75" customHeight="1">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ht="12.75" customHeight="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ht="12.75" customHeight="1">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ht="12.75" customHeight="1">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ht="12.75" customHeight="1">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ht="12.75" customHeight="1">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ht="12.75" customHeight="1">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ht="12.75" customHeight="1">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ht="12.75" customHeight="1">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ht="12.75" customHeight="1">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ht="12.75" customHeight="1">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ht="12.75" customHeight="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ht="12.75" customHeight="1">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ht="12.75" customHeight="1">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ht="12.75" customHeight="1">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ht="12.75" customHeight="1">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ht="12.75" customHeight="1">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ht="12.75" customHeight="1">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ht="12.75" customHeight="1">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ht="12.75" customHeight="1">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ht="12.75" customHeight="1">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ht="12.75" customHeight="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ht="12.75" customHeight="1">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ht="12.75" customHeight="1">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ht="12.75" customHeight="1">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ht="12.75" customHeight="1">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ht="12.75" customHeight="1">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ht="12.75" customHeight="1">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ht="12.75" customHeight="1">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ht="12.75" customHeight="1">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ht="12.75" customHeight="1">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ht="12.75" customHeight="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ht="12.75" customHeight="1">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ht="12.75" customHeight="1">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ht="12.75" customHeight="1">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ht="12.75" customHeight="1">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ht="12.75" customHeight="1">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ht="12.75" customHeight="1">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ht="12.75" customHeight="1">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ht="12.75" customHeight="1">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ht="12.75" customHeight="1">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ht="12.75" customHeight="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ht="12.75" customHeight="1">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ht="12.75" customHeight="1">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ht="12.75" customHeight="1">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ht="12.75" customHeight="1">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ht="12.75" customHeight="1">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ht="12.75" customHeight="1">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ht="12.75" customHeight="1">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ht="12.75" customHeight="1">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ht="12.75" customHeight="1">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ht="12.75" customHeight="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ht="12.75" customHeight="1">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ht="12.75" customHeight="1">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ht="12.75" customHeight="1">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ht="12.75" customHeight="1">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ht="12.75" customHeight="1">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ht="12.75" customHeight="1">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ht="12.75" customHeight="1">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ht="12.75" customHeight="1">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ht="12.75" customHeight="1">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ht="12.75" customHeight="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ht="12.75" customHeight="1">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ht="12.75" customHeight="1">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ht="12.75" customHeight="1">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ht="12.75" customHeight="1">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ht="12.75" customHeight="1">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ht="12.75" customHeight="1">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ht="12.75" customHeight="1">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ht="12.75" customHeight="1">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ht="12.75" customHeight="1">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ht="12.75" customHeight="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ht="12.75" customHeight="1">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ht="12.75" customHeight="1">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ht="12.75" customHeight="1">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ht="12.75" customHeight="1">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ht="12.75" customHeight="1">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ht="12.75" customHeight="1">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ht="12.75" customHeight="1">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ht="12.75" customHeight="1">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ht="12.75" customHeight="1">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ht="12.75" customHeight="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ht="12.75" customHeight="1">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ht="12.75" customHeight="1">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ht="12.75" customHeight="1">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ht="12.75" customHeight="1">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ht="12.75" customHeight="1">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ht="12.75" customHeight="1">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ht="12.75" customHeight="1">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ht="12.75" customHeight="1">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ht="12.75" customHeight="1">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ht="12.75" customHeight="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ht="12.75" customHeight="1">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ht="12.75" customHeight="1">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ht="12.75" customHeight="1">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ht="12.75" customHeight="1">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ht="12.75" customHeight="1">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ht="12.75" customHeight="1">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ht="12.75" customHeight="1">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ht="12.75" customHeight="1">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ht="12.75" customHeight="1">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ht="12.75" customHeight="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ht="12.75" customHeight="1">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ht="12.75" customHeight="1">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ht="12.75" customHeight="1">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ht="12.75" customHeight="1">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ht="12.75" customHeight="1">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ht="12.75" customHeight="1">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ht="12.75" customHeight="1">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ht="12.75" customHeight="1">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ht="12.75" customHeight="1">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ht="12.75" customHeight="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ht="12.75" customHeight="1">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ht="12.75" customHeight="1">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ht="12.75" customHeight="1">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ht="12.75" customHeight="1">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ht="12.75" customHeight="1">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ht="12.75" customHeight="1">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ht="12.75" customHeight="1">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ht="12.75" customHeight="1">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ht="12.7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2.7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2.7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2.7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2.7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2.7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2.7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2.7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2.7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2.7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2.7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2.7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2.7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2.7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2.7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2.7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2.7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2.7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2.7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2.7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2.7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2.7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2.7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2.7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2.7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2.7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2.7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2.7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2.7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2.7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2.7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2.7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2.7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2.7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2.7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2.7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2.7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2.7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2.7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2.7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2.7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2.7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2.7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2.7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2.7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2.7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2.7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2.7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2.7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2.7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2.7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2.7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2.7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2.7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2.7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2.7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2.7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2.7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2.7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2.7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2.7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2.7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2.7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2.7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2.7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2.7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2.7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2.7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2.7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2.7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2.7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2.7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2.7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2.7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2.7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2.7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2.7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2.7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2.7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2.7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2.7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2.7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2.7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2.7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2.7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2.7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2.7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2.7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2.7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2.7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2.7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2.7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2.7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2.7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2.7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2.7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2.7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2.7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2.7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2.7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2.7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2.7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2.7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2.7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2.7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2.7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2.7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2.7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2.7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2.7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2.7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2.7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2.7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2.7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2.7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2.7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2.7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2.7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2.7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2.7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2.7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2.7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2.7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2.7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2.7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2.7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2.7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2.7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2.7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2.7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2.7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2.7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2.7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2.7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2.7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2.7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2.7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2.7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2.7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2.7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2.7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2.7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2.7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2.7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2.7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2.7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2.7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2.7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2.7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2.7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2.7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2.7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2.7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2.7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2.7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2.7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2.7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2.7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2.7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2.7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2.7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2.7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2.7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2.7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2.7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2.7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2.7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2.7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2.7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2.7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2.7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2.7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2.7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2.7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2.7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2.7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2.7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2.7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2.7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2.7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2.7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2.7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2.7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2.7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2.7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2.7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2.7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2.7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2.7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2.7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2.7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2.7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2.7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2.7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2.7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2.7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2.7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2.7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2.7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2.7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2.7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2.7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2.7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2.7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2.7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2.7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2.7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2.7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2.7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2.7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2.7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2.7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2.7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2.7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2.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2.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2.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2.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2.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2.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2.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2.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2.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2.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2.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2.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2.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2.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2.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2.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2.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2.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2.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2.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2.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2.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2.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2.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2.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2.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2.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2.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2.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2.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2.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2.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2.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2.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2.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2.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2.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2.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2.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2.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2.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2.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2.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2.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2.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2.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2.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2.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2.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2.7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2.7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2.7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2.7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2.7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2.7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2.7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2.7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2.7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2.7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2.7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2.7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2.7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2.7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2.7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2.7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2.7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2.7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2.7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2.7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2.7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2.7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2.7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2.7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2.7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2.7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2.7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2.7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2.7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2.7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2.7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2.7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2.7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2.7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2.7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2.7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2.7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2.7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2.7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2.7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2.7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2.7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2.7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2.7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2.7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2.7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2.7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2.7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2.7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2.7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2.7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2.7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2.7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2.7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2.7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2.7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2.7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2.7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2.7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2.7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2.7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2.7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2.7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2.7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2.7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2.7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2.7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2.7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2.7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2.7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2.7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2.7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2.7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2.7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2.7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2.7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2.7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2.7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2.7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2.7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2.7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2.7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2.7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2.7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2.7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2.7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2.7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2.7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2.7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2.7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2.7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2.7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2.7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2.7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2.7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2.7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2.7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2.7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2.7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2.7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2.7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2.7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2.7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2.7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2.7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2.7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2.7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2.7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2.7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2.7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2.7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2.7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2.7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2.7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2.7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2.7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2.7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2.7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2.7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2.7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2.7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2.7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2.7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2.7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2.7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2.7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2.7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2.7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2.7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2.7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2.7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2.7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2.7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2.7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2.7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2.7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2.7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2.7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2.7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2.7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2.7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2.7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2.7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2.7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2.7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2.7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2.7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2.7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2.7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2.7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2.7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2.7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2.7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2.7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2.7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2.7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2.7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2.7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2.7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2.7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2.7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2.7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2.7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2.7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2.7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2.7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2.7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2.7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2.7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2.7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2.7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2.7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2.7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2.7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2.7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2.7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2.7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2.7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2.7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2.7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2.7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2.7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2.7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2.7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2.7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2.7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2.7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2.7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2.7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2.7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2.7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2.7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2.7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2.7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2.7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2.7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2.7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2.7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2.7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2.7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2.7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2.7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2.7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2.7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2.7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2.7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2.7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2.7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2.7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2.7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2.7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2.7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2.7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2.7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2.7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2.7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2.7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2.7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2.7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2.7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2.7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2.7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2.7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2.7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2.7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2.7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2.7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2.7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2.7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2.7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2.7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2.7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2.7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2.7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2.7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2.7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2.7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2.7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2.7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2.7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2.7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2.7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2.7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2.7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2.7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2.7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2.7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2.7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2.7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2.7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2.7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2.7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2.7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2.7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2.7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2.7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2.7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2.7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2.7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2.7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2.7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2.7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2.7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2.7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2.7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2.7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2.7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2.7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2.7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2.7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2.7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2.7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2.7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2.7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2.7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2.7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2.7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2.7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2.7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2.7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2.7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2.7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2.7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2.7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2.7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2.7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2.7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2.7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2.7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2.7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2.7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2.7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2.7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2.7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2.7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2.7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2.7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2.7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2.7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2.7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2.7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2.7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2.7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2.7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2.7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2.7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2.7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2.7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2.7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2.7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2.7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2.7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2.7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2.7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2.7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2.7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2.7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2.7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2.7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2.7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2.7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2.7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2.7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2.7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2.7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2.7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2.7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2.7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2.7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2.7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2.7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2.7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2.7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2.7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2.7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2.7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2.7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2.7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2.7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2.7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2.7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2.7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2.7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2.7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2.7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2.7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2.7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2.7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39">
    <mergeCell ref="B3:F3"/>
    <mergeCell ref="I3:J3"/>
    <mergeCell ref="B5:B6"/>
    <mergeCell ref="D6:G6"/>
    <mergeCell ref="D7:G7"/>
    <mergeCell ref="D8:G8"/>
    <mergeCell ref="I12:J12"/>
    <mergeCell ref="D13:F13"/>
    <mergeCell ref="D15:F15"/>
    <mergeCell ref="D17:F17"/>
    <mergeCell ref="D19:F19"/>
    <mergeCell ref="D20:E20"/>
    <mergeCell ref="D21:F21"/>
    <mergeCell ref="I23:J23"/>
    <mergeCell ref="J39:K39"/>
    <mergeCell ref="J40:K40"/>
    <mergeCell ref="R47:S47"/>
    <mergeCell ref="C29:G29"/>
    <mergeCell ref="C30:G30"/>
    <mergeCell ref="C31:G31"/>
    <mergeCell ref="C32:D32"/>
    <mergeCell ref="E32:F33"/>
    <mergeCell ref="C38:D38"/>
    <mergeCell ref="J38:K38"/>
    <mergeCell ref="E49:F49"/>
    <mergeCell ref="E50:F50"/>
    <mergeCell ref="B52:K52"/>
    <mergeCell ref="B53:K53"/>
    <mergeCell ref="B54:K54"/>
    <mergeCell ref="B55:K55"/>
    <mergeCell ref="B56:K56"/>
    <mergeCell ref="B57:K57"/>
    <mergeCell ref="E38:F38"/>
    <mergeCell ref="E39:F39"/>
    <mergeCell ref="E41:F41"/>
    <mergeCell ref="E42:F42"/>
    <mergeCell ref="E46:F46"/>
    <mergeCell ref="E47:F47"/>
    <mergeCell ref="B49:C49"/>
  </mergeCells>
  <conditionalFormatting sqref="B41 C6:C10 C13:D14 C15:I15 C16:F17 C18:F22 C24:K24 C26:D27 C32:C33 C42:E44 D23 D25:K25 D33 D41:E41 E14:F14 E32 F43:I44 G13 G17 G23:K23 G32:K33 G42:K42 H12:I12 H14:I14 H41:K41 I16 J17:K19 K21:K22 U19">
    <cfRule type="cellIs" dxfId="0" priority="1" stopIfTrue="1" operator="equal">
      <formula>0</formula>
    </cfRule>
  </conditionalFormatting>
  <conditionalFormatting sqref="E47:F48 E50:F50">
    <cfRule type="cellIs" dxfId="0" priority="2" stopIfTrue="1" operator="equal">
      <formula>"sin referencia"</formula>
    </cfRule>
  </conditionalFormatting>
  <conditionalFormatting sqref="E47:F48 E50:F50">
    <cfRule type="cellIs" dxfId="0" priority="3" stopIfTrue="1" operator="equal">
      <formula>0</formula>
    </cfRule>
  </conditionalFormatting>
  <printOptions/>
  <pageMargins bottom="0.275591" footer="0.0" header="0.0" left="0.19685" right="0.19685" top="0.590551"/>
  <pageSetup scale="75" orientation="portrait"/>
  <headerFooter>
    <oddHeader>&amp;L000000 </oddHeader>
    <oddFooter>&amp;R0000FFCertificado Original Metkal     000000E-MK-26-0153.FRezDi.xlsx</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38"/>
    <col customWidth="1" min="3" max="7" width="14.0"/>
    <col customWidth="1" min="8" max="8" width="11.5"/>
    <col customWidth="1" min="9" max="11" width="14.0"/>
    <col customWidth="1" min="12" max="12" width="2.38"/>
    <col customWidth="1" min="13" max="26" width="9.13"/>
  </cols>
  <sheetData>
    <row r="1" ht="12.75" customHeight="1">
      <c r="A1" s="6"/>
      <c r="B1" s="7"/>
      <c r="C1" s="7"/>
      <c r="D1" s="7"/>
      <c r="E1" s="7"/>
      <c r="F1" s="7"/>
      <c r="G1" s="7"/>
      <c r="H1" s="7"/>
      <c r="I1" s="7"/>
      <c r="J1" s="7"/>
      <c r="K1" s="7"/>
      <c r="L1" s="7"/>
      <c r="M1" s="7"/>
      <c r="N1" s="7"/>
      <c r="O1" s="182"/>
      <c r="P1" s="177"/>
      <c r="Q1" s="177"/>
      <c r="R1" s="177"/>
      <c r="S1" s="177"/>
      <c r="T1" s="177"/>
      <c r="U1" s="177"/>
      <c r="V1" s="177"/>
      <c r="W1" s="177"/>
      <c r="X1" s="177"/>
      <c r="Y1" s="177"/>
      <c r="Z1" s="177"/>
    </row>
    <row r="2" ht="12.75" customHeight="1">
      <c r="A2" s="15"/>
      <c r="B2" s="16"/>
      <c r="C2" s="16"/>
      <c r="D2" s="16"/>
      <c r="E2" s="16"/>
      <c r="F2" s="16"/>
      <c r="G2" s="16"/>
      <c r="H2" s="16"/>
      <c r="I2" s="16"/>
      <c r="J2" s="16"/>
      <c r="K2" s="16"/>
      <c r="L2" s="16"/>
      <c r="M2" s="16"/>
      <c r="N2" s="16"/>
      <c r="O2" s="61"/>
      <c r="P2" s="177"/>
      <c r="Q2" s="177"/>
      <c r="R2" s="177"/>
      <c r="S2" s="177"/>
      <c r="T2" s="177"/>
      <c r="U2" s="177"/>
      <c r="V2" s="177"/>
      <c r="W2" s="177"/>
      <c r="X2" s="177"/>
      <c r="Y2" s="177"/>
      <c r="Z2" s="177"/>
    </row>
    <row r="3" ht="12.75" customHeight="1">
      <c r="A3" s="15"/>
      <c r="B3" s="16"/>
      <c r="C3" s="16"/>
      <c r="D3" s="16"/>
      <c r="E3" s="16"/>
      <c r="F3" s="16"/>
      <c r="G3" s="16"/>
      <c r="H3" s="16"/>
      <c r="I3" s="16"/>
      <c r="J3" s="16"/>
      <c r="K3" s="16"/>
      <c r="L3" s="16"/>
      <c r="M3" s="16"/>
      <c r="N3" s="16"/>
      <c r="O3" s="61"/>
      <c r="P3" s="177"/>
      <c r="Q3" s="177"/>
      <c r="R3" s="177"/>
      <c r="S3" s="177"/>
      <c r="T3" s="177"/>
      <c r="U3" s="177"/>
      <c r="V3" s="177"/>
      <c r="W3" s="177"/>
      <c r="X3" s="177"/>
      <c r="Y3" s="177"/>
      <c r="Z3" s="177"/>
    </row>
    <row r="4" ht="12.75" customHeight="1">
      <c r="A4" s="15"/>
      <c r="B4" s="16"/>
      <c r="C4" s="302"/>
      <c r="D4" s="16"/>
      <c r="E4" s="16"/>
      <c r="F4" s="16"/>
      <c r="G4" s="16"/>
      <c r="H4" s="16"/>
      <c r="I4" s="16"/>
      <c r="J4" s="16"/>
      <c r="K4" s="16"/>
      <c r="L4" s="16"/>
      <c r="M4" s="16"/>
      <c r="N4" s="16"/>
      <c r="O4" s="61"/>
      <c r="P4" s="177"/>
      <c r="Q4" s="177"/>
      <c r="R4" s="177"/>
      <c r="S4" s="177"/>
      <c r="T4" s="177"/>
      <c r="U4" s="177"/>
      <c r="V4" s="177"/>
      <c r="W4" s="177"/>
      <c r="X4" s="177"/>
      <c r="Y4" s="177"/>
      <c r="Z4" s="177"/>
    </row>
    <row r="5" ht="12.75" customHeight="1">
      <c r="A5" s="15"/>
      <c r="B5" s="303"/>
      <c r="C5" s="303"/>
      <c r="D5" s="303"/>
      <c r="E5" s="303"/>
      <c r="F5" s="303"/>
      <c r="G5" s="303"/>
      <c r="H5" s="303"/>
      <c r="I5" s="303"/>
      <c r="J5" s="303"/>
      <c r="K5" s="303"/>
      <c r="L5" s="16"/>
      <c r="M5" s="16"/>
      <c r="N5" s="16"/>
      <c r="O5" s="61"/>
      <c r="P5" s="177"/>
      <c r="Q5" s="177"/>
      <c r="R5" s="177"/>
      <c r="S5" s="177"/>
      <c r="T5" s="177"/>
      <c r="U5" s="177"/>
      <c r="V5" s="177"/>
      <c r="W5" s="177"/>
      <c r="X5" s="177"/>
      <c r="Y5" s="177"/>
      <c r="Z5" s="177"/>
    </row>
    <row r="6" ht="12.75" customHeight="1">
      <c r="A6" s="15"/>
      <c r="B6" s="303"/>
      <c r="C6" s="303"/>
      <c r="D6" s="303"/>
      <c r="E6" s="303"/>
      <c r="F6" s="303"/>
      <c r="G6" s="303"/>
      <c r="H6" s="303"/>
      <c r="I6" s="303"/>
      <c r="J6" s="303"/>
      <c r="K6" s="303"/>
      <c r="L6" s="16"/>
      <c r="M6" s="16"/>
      <c r="N6" s="16"/>
      <c r="O6" s="61"/>
      <c r="P6" s="177"/>
      <c r="Q6" s="177"/>
      <c r="R6" s="177"/>
      <c r="S6" s="177"/>
      <c r="T6" s="177"/>
      <c r="U6" s="177"/>
      <c r="V6" s="177"/>
      <c r="W6" s="177"/>
      <c r="X6" s="177"/>
      <c r="Y6" s="177"/>
      <c r="Z6" s="177"/>
    </row>
    <row r="7" ht="12.75" customHeight="1">
      <c r="A7" s="15"/>
      <c r="B7" s="303"/>
      <c r="C7" s="303"/>
      <c r="D7" s="303"/>
      <c r="E7" s="303"/>
      <c r="F7" s="303"/>
      <c r="G7" s="303"/>
      <c r="H7" s="303"/>
      <c r="I7" s="303"/>
      <c r="J7" s="303"/>
      <c r="K7" s="303"/>
      <c r="L7" s="16"/>
      <c r="M7" s="16"/>
      <c r="N7" s="16"/>
      <c r="O7" s="61"/>
      <c r="P7" s="177"/>
      <c r="Q7" s="177"/>
      <c r="R7" s="177"/>
      <c r="S7" s="177"/>
      <c r="T7" s="177"/>
      <c r="U7" s="177"/>
      <c r="V7" s="177"/>
      <c r="W7" s="177"/>
      <c r="X7" s="177"/>
      <c r="Y7" s="177"/>
      <c r="Z7" s="177"/>
    </row>
    <row r="8" ht="12.75" customHeight="1">
      <c r="A8" s="15"/>
      <c r="B8" s="303"/>
      <c r="C8" s="303"/>
      <c r="D8" s="303"/>
      <c r="E8" s="303"/>
      <c r="F8" s="303"/>
      <c r="G8" s="303"/>
      <c r="H8" s="303"/>
      <c r="I8" s="303"/>
      <c r="J8" s="303"/>
      <c r="K8" s="303"/>
      <c r="L8" s="16"/>
      <c r="M8" s="16"/>
      <c r="N8" s="16"/>
      <c r="O8" s="61"/>
      <c r="P8" s="177"/>
      <c r="Q8" s="177"/>
      <c r="R8" s="177"/>
      <c r="S8" s="177"/>
      <c r="T8" s="177"/>
      <c r="U8" s="177"/>
      <c r="V8" s="177"/>
      <c r="W8" s="177"/>
      <c r="X8" s="177"/>
      <c r="Y8" s="177"/>
      <c r="Z8" s="177"/>
    </row>
    <row r="9" ht="23.25" customHeight="1">
      <c r="A9" s="15"/>
      <c r="B9" s="303"/>
      <c r="C9" s="303"/>
      <c r="D9" s="303"/>
      <c r="E9" s="303"/>
      <c r="F9" s="303"/>
      <c r="G9" s="303"/>
      <c r="H9" s="220" t="s">
        <v>130</v>
      </c>
      <c r="I9" s="190"/>
      <c r="J9" s="304" t="str">
        <f t="array" ref="J9">Certificado!I3</f>
        <v>E-MK-0153/26</v>
      </c>
      <c r="K9" s="190"/>
      <c r="L9" s="16"/>
      <c r="M9" s="16"/>
      <c r="N9" s="16"/>
      <c r="O9" s="61"/>
      <c r="P9" s="177"/>
      <c r="Q9" s="177"/>
      <c r="R9" s="177"/>
      <c r="S9" s="177"/>
      <c r="T9" s="177"/>
      <c r="U9" s="177"/>
      <c r="V9" s="177"/>
      <c r="W9" s="177"/>
      <c r="X9" s="177"/>
      <c r="Y9" s="177"/>
      <c r="Z9" s="177"/>
    </row>
    <row r="10" ht="23.25" customHeight="1">
      <c r="A10" s="15"/>
      <c r="B10" s="303"/>
      <c r="C10" s="305" t="s">
        <v>131</v>
      </c>
      <c r="D10" s="306"/>
      <c r="E10" s="306"/>
      <c r="F10" s="306"/>
      <c r="G10" s="243"/>
      <c r="H10" s="220" t="s">
        <v>132</v>
      </c>
      <c r="I10" s="190"/>
      <c r="J10" s="307">
        <f t="array" ref="J10">Certificado!J5</f>
        <v>46037</v>
      </c>
      <c r="K10" s="190"/>
      <c r="L10" s="16"/>
      <c r="M10" s="16"/>
      <c r="N10" s="16"/>
      <c r="O10" s="61"/>
      <c r="P10" s="177"/>
      <c r="Q10" s="177"/>
      <c r="R10" s="177"/>
      <c r="S10" s="177"/>
      <c r="T10" s="177"/>
      <c r="U10" s="177"/>
      <c r="V10" s="177"/>
      <c r="W10" s="177"/>
      <c r="X10" s="177"/>
      <c r="Y10" s="177"/>
      <c r="Z10" s="177"/>
    </row>
    <row r="11" ht="23.25" customHeight="1">
      <c r="A11" s="15"/>
      <c r="B11" s="303"/>
      <c r="C11" s="248"/>
      <c r="D11" s="308"/>
      <c r="E11" s="308"/>
      <c r="F11" s="308"/>
      <c r="G11" s="249"/>
      <c r="H11" s="220" t="s">
        <v>133</v>
      </c>
      <c r="I11" s="190"/>
      <c r="J11" s="307">
        <f t="array" ref="J11">Certificado!J6</f>
        <v>46037</v>
      </c>
      <c r="K11" s="190"/>
      <c r="L11" s="16"/>
      <c r="M11" s="16"/>
      <c r="N11" s="16"/>
      <c r="O11" s="61"/>
      <c r="P11" s="177"/>
      <c r="Q11" s="177"/>
      <c r="R11" s="177"/>
      <c r="S11" s="177"/>
      <c r="T11" s="177"/>
      <c r="U11" s="177"/>
      <c r="V11" s="177"/>
      <c r="W11" s="177"/>
      <c r="X11" s="177"/>
      <c r="Y11" s="177"/>
      <c r="Z11" s="177"/>
    </row>
    <row r="12" ht="23.25" customHeight="1">
      <c r="A12" s="15"/>
      <c r="B12" s="303"/>
      <c r="C12" s="303"/>
      <c r="D12" s="303"/>
      <c r="E12" s="303"/>
      <c r="F12" s="303"/>
      <c r="G12" s="303"/>
      <c r="H12" s="220" t="s">
        <v>134</v>
      </c>
      <c r="I12" s="190"/>
      <c r="J12" s="212" t="str">
        <f t="array" ref="J12">CONCATENATE(J13," de ",J274)</f>
        <v>2 de 6</v>
      </c>
      <c r="K12" s="190"/>
      <c r="L12" s="16"/>
      <c r="M12" s="16"/>
      <c r="N12" s="16"/>
      <c r="O12" s="61"/>
      <c r="P12" s="177"/>
      <c r="Q12" s="177"/>
      <c r="R12" s="177"/>
      <c r="S12" s="177"/>
      <c r="T12" s="177"/>
      <c r="U12" s="177"/>
      <c r="V12" s="177"/>
      <c r="W12" s="177"/>
      <c r="X12" s="177"/>
      <c r="Y12" s="177"/>
      <c r="Z12" s="177"/>
    </row>
    <row r="13" ht="12.75" customHeight="1">
      <c r="A13" s="15"/>
      <c r="B13" s="303"/>
      <c r="C13" s="309"/>
      <c r="D13" s="309"/>
      <c r="E13" s="309"/>
      <c r="F13" s="309"/>
      <c r="G13" s="309"/>
      <c r="H13" s="310"/>
      <c r="I13" s="311"/>
      <c r="J13" s="312">
        <v>2.0</v>
      </c>
      <c r="K13" s="313">
        <v>7.0</v>
      </c>
      <c r="L13" s="16"/>
      <c r="M13" s="16"/>
      <c r="N13" s="16"/>
      <c r="O13" s="61"/>
      <c r="P13" s="177"/>
      <c r="Q13" s="177"/>
      <c r="R13" s="177"/>
      <c r="S13" s="177"/>
      <c r="T13" s="177"/>
      <c r="U13" s="177"/>
      <c r="V13" s="177"/>
      <c r="W13" s="177"/>
      <c r="X13" s="177"/>
      <c r="Y13" s="177"/>
      <c r="Z13" s="177"/>
    </row>
    <row r="14" ht="15.0" customHeight="1">
      <c r="A14" s="15"/>
      <c r="B14" s="314"/>
      <c r="C14" s="315" t="s">
        <v>135</v>
      </c>
      <c r="D14" s="316" t="str">
        <f t="array" ref="D14">'Cálculos'!B10</f>
        <v>TENSION ELECTRICA CONTINUA </v>
      </c>
      <c r="E14" s="317"/>
      <c r="F14" s="317"/>
      <c r="G14" s="318"/>
      <c r="H14" s="319"/>
      <c r="I14" s="320"/>
      <c r="J14" s="320"/>
      <c r="K14" s="320"/>
      <c r="L14" s="320"/>
      <c r="M14" s="320"/>
      <c r="N14" s="320"/>
      <c r="O14" s="321"/>
      <c r="P14" s="177"/>
      <c r="Q14" s="177"/>
      <c r="R14" s="177"/>
      <c r="S14" s="177"/>
      <c r="T14" s="177"/>
      <c r="U14" s="177"/>
      <c r="V14" s="177"/>
      <c r="W14" s="177"/>
      <c r="X14" s="177"/>
      <c r="Y14" s="177"/>
      <c r="Z14" s="177"/>
    </row>
    <row r="15" ht="13.5" customHeight="1">
      <c r="A15" s="15"/>
      <c r="B15" s="322"/>
      <c r="C15" s="323"/>
      <c r="D15" s="324"/>
      <c r="E15" s="325"/>
      <c r="F15" s="326"/>
      <c r="G15" s="327" t="s">
        <v>136</v>
      </c>
      <c r="H15" s="319"/>
      <c r="I15" s="320"/>
      <c r="J15" s="320"/>
      <c r="K15" s="320"/>
      <c r="L15" s="320"/>
      <c r="M15" s="320"/>
      <c r="N15" s="320"/>
      <c r="O15" s="321"/>
      <c r="P15" s="177"/>
      <c r="Q15" s="177"/>
      <c r="R15" s="177"/>
      <c r="S15" s="177"/>
      <c r="T15" s="177"/>
      <c r="U15" s="177"/>
      <c r="V15" s="177"/>
      <c r="W15" s="177"/>
      <c r="X15" s="177"/>
      <c r="Y15" s="177"/>
      <c r="Z15" s="177"/>
    </row>
    <row r="16" ht="13.5" customHeight="1">
      <c r="A16" s="15"/>
      <c r="B16" s="322"/>
      <c r="C16" s="328" t="s">
        <v>137</v>
      </c>
      <c r="D16" s="329">
        <f t="array" ref="D16">'Cálculos'!C11</f>
        <v>0</v>
      </c>
      <c r="E16" s="330" t="s">
        <v>138</v>
      </c>
      <c r="F16" s="331">
        <f t="array" ref="F16">'Cálculos'!E11</f>
        <v>600</v>
      </c>
      <c r="G16" s="332" t="str">
        <f t="array" ref="G16">'Cálculos'!C13</f>
        <v>mV</v>
      </c>
      <c r="H16" s="319"/>
      <c r="I16" s="320"/>
      <c r="J16" s="320"/>
      <c r="K16" s="320"/>
      <c r="L16" s="320"/>
      <c r="M16" s="320"/>
      <c r="N16" s="320"/>
      <c r="O16" s="321"/>
      <c r="P16" s="177"/>
      <c r="Q16" s="177"/>
      <c r="R16" s="177"/>
      <c r="S16" s="177"/>
      <c r="T16" s="177"/>
      <c r="U16" s="177"/>
      <c r="V16" s="177"/>
      <c r="W16" s="177"/>
      <c r="X16" s="177"/>
      <c r="Y16" s="177"/>
      <c r="Z16" s="177"/>
    </row>
    <row r="17" ht="12.75" customHeight="1">
      <c r="A17" s="15"/>
      <c r="B17" s="322"/>
      <c r="C17" s="323"/>
      <c r="D17" s="333"/>
      <c r="E17" s="334"/>
      <c r="F17" s="335"/>
      <c r="G17" s="336"/>
      <c r="H17" s="319"/>
      <c r="I17" s="320"/>
      <c r="J17" s="320"/>
      <c r="K17" s="320"/>
      <c r="L17" s="320"/>
      <c r="M17" s="320"/>
      <c r="N17" s="320"/>
      <c r="O17" s="321"/>
      <c r="P17" s="177"/>
      <c r="Q17" s="177"/>
      <c r="R17" s="177"/>
      <c r="S17" s="177"/>
      <c r="T17" s="177"/>
      <c r="U17" s="177"/>
      <c r="V17" s="177"/>
      <c r="W17" s="177"/>
      <c r="X17" s="177"/>
      <c r="Y17" s="177"/>
      <c r="Z17" s="177"/>
    </row>
    <row r="18" ht="13.5" customHeight="1">
      <c r="A18" s="15"/>
      <c r="B18" s="322"/>
      <c r="C18" s="337" t="s">
        <v>139</v>
      </c>
      <c r="D18" s="331">
        <f t="array" ref="D18">'Cálculos'!C12</f>
        <v>0.1</v>
      </c>
      <c r="E18" s="338"/>
      <c r="F18" s="339"/>
      <c r="G18" s="340"/>
      <c r="H18" s="319"/>
      <c r="I18" s="320"/>
      <c r="J18" s="320"/>
      <c r="K18" s="320"/>
      <c r="L18" s="320"/>
      <c r="M18" s="320"/>
      <c r="N18" s="320"/>
      <c r="O18" s="321"/>
      <c r="P18" s="177"/>
      <c r="Q18" s="177"/>
      <c r="R18" s="177"/>
      <c r="S18" s="177"/>
      <c r="T18" s="177"/>
      <c r="U18" s="177"/>
      <c r="V18" s="177"/>
      <c r="W18" s="177"/>
      <c r="X18" s="177"/>
      <c r="Y18" s="177"/>
      <c r="Z18" s="177"/>
    </row>
    <row r="19" ht="13.5" customHeight="1">
      <c r="A19" s="15"/>
      <c r="B19" s="322"/>
      <c r="C19" s="83"/>
      <c r="D19" s="335"/>
      <c r="E19" s="341"/>
      <c r="F19" s="342"/>
      <c r="G19" s="343"/>
      <c r="H19" s="319"/>
      <c r="I19" s="320"/>
      <c r="J19" s="320"/>
      <c r="K19" s="320"/>
      <c r="L19" s="320"/>
      <c r="M19" s="320"/>
      <c r="N19" s="320"/>
      <c r="O19" s="321"/>
      <c r="P19" s="177"/>
      <c r="Q19" s="177"/>
      <c r="R19" s="177"/>
      <c r="S19" s="177"/>
      <c r="T19" s="177"/>
      <c r="U19" s="177"/>
      <c r="V19" s="177"/>
      <c r="W19" s="177"/>
      <c r="X19" s="177"/>
      <c r="Y19" s="177"/>
      <c r="Z19" s="177"/>
    </row>
    <row r="20" ht="12.75" customHeight="1">
      <c r="A20" s="15"/>
      <c r="B20" s="322"/>
      <c r="C20" s="344" t="s">
        <v>140</v>
      </c>
      <c r="D20" s="345" t="s">
        <v>141</v>
      </c>
      <c r="E20" s="345" t="s">
        <v>142</v>
      </c>
      <c r="F20" s="346" t="s">
        <v>143</v>
      </c>
      <c r="G20" s="347"/>
      <c r="H20" s="319"/>
      <c r="I20" s="320"/>
      <c r="J20" s="320"/>
      <c r="K20" s="320"/>
      <c r="L20" s="320"/>
      <c r="M20" s="320"/>
      <c r="N20" s="320"/>
      <c r="O20" s="321"/>
      <c r="P20" s="177"/>
      <c r="Q20" s="177"/>
      <c r="R20" s="177"/>
      <c r="S20" s="177"/>
      <c r="T20" s="177"/>
      <c r="U20" s="177"/>
      <c r="V20" s="177"/>
      <c r="W20" s="177"/>
      <c r="X20" s="177"/>
      <c r="Y20" s="177"/>
      <c r="Z20" s="177"/>
    </row>
    <row r="21" ht="13.5" customHeight="1">
      <c r="A21" s="15"/>
      <c r="B21" s="322"/>
      <c r="C21" s="348" t="s">
        <v>23</v>
      </c>
      <c r="D21" s="205"/>
      <c r="E21" s="205"/>
      <c r="F21" s="349"/>
      <c r="G21" s="350"/>
      <c r="H21" s="319"/>
      <c r="I21" s="320"/>
      <c r="J21" s="16"/>
      <c r="K21" s="16"/>
      <c r="L21" s="16"/>
      <c r="M21" s="16"/>
      <c r="N21" s="16"/>
      <c r="O21" s="61"/>
      <c r="P21" s="177"/>
      <c r="Q21" s="177"/>
      <c r="R21" s="177"/>
      <c r="S21" s="177"/>
      <c r="T21" s="177"/>
      <c r="U21" s="177"/>
      <c r="V21" s="177"/>
      <c r="W21" s="177"/>
      <c r="X21" s="177"/>
      <c r="Y21" s="177"/>
      <c r="Z21" s="177"/>
    </row>
    <row r="22" ht="13.5" customHeight="1">
      <c r="A22" s="15"/>
      <c r="B22" s="351"/>
      <c r="C22" s="352">
        <f t="array" ref="C22">'Cálculos'!B19</f>
        <v>60</v>
      </c>
      <c r="D22" s="353">
        <f t="array" ref="D22">AVERAGE('Cálculos'!C19:G19)</f>
        <v>60</v>
      </c>
      <c r="E22" s="353">
        <f t="array" ref="E22">D22-C22</f>
        <v>0</v>
      </c>
      <c r="F22" s="354">
        <f t="array" ref="F22">'Cálculos'!O19</f>
        <v>0.05776384567</v>
      </c>
      <c r="G22" s="355"/>
      <c r="H22" s="319"/>
      <c r="I22" s="320"/>
      <c r="J22" s="16"/>
      <c r="K22" s="16"/>
      <c r="L22" s="16"/>
      <c r="M22" s="16"/>
      <c r="N22" s="16"/>
      <c r="O22" s="61"/>
      <c r="P22" s="177"/>
      <c r="Q22" s="177"/>
      <c r="R22" s="177"/>
      <c r="S22" s="177"/>
      <c r="T22" s="177"/>
      <c r="U22" s="177"/>
      <c r="V22" s="177"/>
      <c r="W22" s="177"/>
      <c r="X22" s="177"/>
      <c r="Y22" s="177"/>
      <c r="Z22" s="177"/>
    </row>
    <row r="23" ht="13.5" customHeight="1">
      <c r="A23" s="15"/>
      <c r="B23" s="351"/>
      <c r="C23" s="352">
        <f t="array" ref="C23">'Cálculos'!B20</f>
        <v>150</v>
      </c>
      <c r="D23" s="353">
        <f t="array" ref="D23">AVERAGE('Cálculos'!C20:G20)</f>
        <v>150</v>
      </c>
      <c r="E23" s="353">
        <f t="array" ref="E23">D23-C23</f>
        <v>0</v>
      </c>
      <c r="F23" s="354">
        <f t="array" ref="F23">'Cálculos'!O20</f>
        <v>0.05776384567</v>
      </c>
      <c r="G23" s="355"/>
      <c r="H23" s="319"/>
      <c r="I23" s="320"/>
      <c r="J23" s="16"/>
      <c r="K23" s="16"/>
      <c r="L23" s="16"/>
      <c r="M23" s="16"/>
      <c r="N23" s="16"/>
      <c r="O23" s="61"/>
      <c r="P23" s="177"/>
      <c r="Q23" s="177"/>
      <c r="R23" s="177"/>
      <c r="S23" s="177"/>
      <c r="T23" s="177"/>
      <c r="U23" s="177"/>
      <c r="V23" s="177"/>
      <c r="W23" s="177"/>
      <c r="X23" s="177"/>
      <c r="Y23" s="177"/>
      <c r="Z23" s="177"/>
    </row>
    <row r="24" ht="13.5" customHeight="1">
      <c r="A24" s="15"/>
      <c r="B24" s="351"/>
      <c r="C24" s="352">
        <f t="array" ref="C24">'Cálculos'!B21</f>
        <v>300</v>
      </c>
      <c r="D24" s="353">
        <f t="array" ref="D24">AVERAGE('Cálculos'!C21:G21)</f>
        <v>300</v>
      </c>
      <c r="E24" s="353">
        <f t="array" ref="E24">D24-C24</f>
        <v>0</v>
      </c>
      <c r="F24" s="354">
        <f t="array" ref="F24">'Cálculos'!O21</f>
        <v>0.05776384567</v>
      </c>
      <c r="G24" s="355"/>
      <c r="H24" s="319"/>
      <c r="I24" s="320"/>
      <c r="J24" s="16"/>
      <c r="K24" s="16"/>
      <c r="L24" s="16"/>
      <c r="M24" s="16"/>
      <c r="N24" s="16"/>
      <c r="O24" s="61"/>
      <c r="P24" s="177"/>
      <c r="Q24" s="177"/>
      <c r="R24" s="177"/>
      <c r="S24" s="177"/>
      <c r="T24" s="177"/>
      <c r="U24" s="177"/>
      <c r="V24" s="177"/>
      <c r="W24" s="177"/>
      <c r="X24" s="177"/>
      <c r="Y24" s="177"/>
      <c r="Z24" s="177"/>
    </row>
    <row r="25" ht="13.5" customHeight="1">
      <c r="A25" s="15"/>
      <c r="B25" s="351"/>
      <c r="C25" s="352">
        <f t="array" ref="C25">'Cálculos'!B22</f>
        <v>450</v>
      </c>
      <c r="D25" s="353">
        <f t="array" ref="D25">AVERAGE('Cálculos'!C22:G22)</f>
        <v>450.1</v>
      </c>
      <c r="E25" s="353">
        <f t="array" ref="E25">D25-C25</f>
        <v>0.1</v>
      </c>
      <c r="F25" s="354">
        <f t="array" ref="F25">'Cálculos'!O22</f>
        <v>0.05776384567</v>
      </c>
      <c r="G25" s="355"/>
      <c r="H25" s="319"/>
      <c r="I25" s="320"/>
      <c r="J25" s="16"/>
      <c r="K25" s="16"/>
      <c r="L25" s="16"/>
      <c r="M25" s="16"/>
      <c r="N25" s="16"/>
      <c r="O25" s="61"/>
      <c r="P25" s="177"/>
      <c r="Q25" s="177"/>
      <c r="R25" s="177"/>
      <c r="S25" s="177"/>
      <c r="T25" s="177"/>
      <c r="U25" s="177"/>
      <c r="V25" s="177"/>
      <c r="W25" s="177"/>
      <c r="X25" s="177"/>
      <c r="Y25" s="177"/>
      <c r="Z25" s="177"/>
    </row>
    <row r="26" ht="14.25" customHeight="1">
      <c r="A26" s="15"/>
      <c r="B26" s="351"/>
      <c r="C26" s="356">
        <f t="array" ref="C26">'Cálculos'!B23</f>
        <v>540</v>
      </c>
      <c r="D26" s="357">
        <f t="array" ref="D26">AVERAGE('Cálculos'!C23:G23)</f>
        <v>540.1</v>
      </c>
      <c r="E26" s="357">
        <f t="array" ref="E26">D26-C26</f>
        <v>0.1</v>
      </c>
      <c r="F26" s="358">
        <f t="array" ref="F26">'Cálculos'!O23</f>
        <v>0.05776384567</v>
      </c>
      <c r="G26" s="359"/>
      <c r="H26" s="319"/>
      <c r="I26" s="320"/>
      <c r="J26" s="16"/>
      <c r="K26" s="16"/>
      <c r="L26" s="16"/>
      <c r="M26" s="16"/>
      <c r="N26" s="16"/>
      <c r="O26" s="61"/>
      <c r="P26" s="177"/>
      <c r="Q26" s="177"/>
      <c r="R26" s="177"/>
      <c r="S26" s="177"/>
      <c r="T26" s="177"/>
      <c r="U26" s="177"/>
      <c r="V26" s="177"/>
      <c r="W26" s="177"/>
      <c r="X26" s="177"/>
      <c r="Y26" s="177"/>
      <c r="Z26" s="177"/>
    </row>
    <row r="27" ht="13.5" customHeight="1">
      <c r="A27" s="15"/>
      <c r="B27" s="360"/>
      <c r="C27" s="361"/>
      <c r="D27" s="361"/>
      <c r="E27" s="361"/>
      <c r="F27" s="361"/>
      <c r="G27" s="362"/>
      <c r="H27" s="320"/>
      <c r="I27" s="320"/>
      <c r="J27" s="16"/>
      <c r="K27" s="16"/>
      <c r="L27" s="16"/>
      <c r="M27" s="16"/>
      <c r="N27" s="16"/>
      <c r="O27" s="61"/>
      <c r="P27" s="177"/>
      <c r="Q27" s="177"/>
      <c r="R27" s="177"/>
      <c r="S27" s="177"/>
      <c r="T27" s="177"/>
      <c r="U27" s="177"/>
      <c r="V27" s="177"/>
      <c r="W27" s="177"/>
      <c r="X27" s="177"/>
      <c r="Y27" s="177"/>
      <c r="Z27" s="177"/>
    </row>
    <row r="28" ht="14.25" customHeight="1">
      <c r="A28" s="15"/>
      <c r="B28" s="360"/>
      <c r="C28" s="363"/>
      <c r="D28" s="357"/>
      <c r="E28" s="357"/>
      <c r="F28" s="364"/>
      <c r="G28" s="365"/>
      <c r="H28" s="320"/>
      <c r="I28" s="320"/>
      <c r="J28" s="16"/>
      <c r="K28" s="16"/>
      <c r="L28" s="16"/>
      <c r="M28" s="16"/>
      <c r="N28" s="16"/>
      <c r="O28" s="61"/>
      <c r="P28" s="177"/>
      <c r="Q28" s="177"/>
      <c r="R28" s="177"/>
      <c r="S28" s="177"/>
      <c r="T28" s="177"/>
      <c r="U28" s="177"/>
      <c r="V28" s="177"/>
      <c r="W28" s="177"/>
      <c r="X28" s="177"/>
      <c r="Y28" s="177"/>
      <c r="Z28" s="177"/>
    </row>
    <row r="29" ht="15.0" customHeight="1">
      <c r="A29" s="15"/>
      <c r="B29" s="314"/>
      <c r="C29" s="315" t="s">
        <v>135</v>
      </c>
      <c r="D29" s="316" t="str">
        <f t="array" ref="D29">'Cálculos'!B25</f>
        <v>TENSION ELECTRICA CONTINUA </v>
      </c>
      <c r="E29" s="317"/>
      <c r="F29" s="317"/>
      <c r="G29" s="318"/>
      <c r="H29" s="319"/>
      <c r="I29" s="320"/>
      <c r="J29" s="320"/>
      <c r="K29" s="320"/>
      <c r="L29" s="320"/>
      <c r="M29" s="320"/>
      <c r="N29" s="320"/>
      <c r="O29" s="321"/>
      <c r="P29" s="177"/>
      <c r="Q29" s="177"/>
      <c r="R29" s="177"/>
      <c r="S29" s="177"/>
      <c r="T29" s="177"/>
      <c r="U29" s="177"/>
      <c r="V29" s="177"/>
      <c r="W29" s="177"/>
      <c r="X29" s="177"/>
      <c r="Y29" s="177"/>
      <c r="Z29" s="177"/>
    </row>
    <row r="30" ht="13.5" customHeight="1">
      <c r="A30" s="15"/>
      <c r="B30" s="322"/>
      <c r="C30" s="323"/>
      <c r="D30" s="324"/>
      <c r="E30" s="325"/>
      <c r="F30" s="326"/>
      <c r="G30" s="327" t="s">
        <v>136</v>
      </c>
      <c r="H30" s="319"/>
      <c r="I30" s="320"/>
      <c r="J30" s="320"/>
      <c r="K30" s="320"/>
      <c r="L30" s="320"/>
      <c r="M30" s="320"/>
      <c r="N30" s="320"/>
      <c r="O30" s="321"/>
      <c r="P30" s="177"/>
      <c r="Q30" s="177"/>
      <c r="R30" s="177"/>
      <c r="S30" s="177"/>
      <c r="T30" s="177"/>
      <c r="U30" s="177"/>
      <c r="V30" s="177"/>
      <c r="W30" s="177"/>
      <c r="X30" s="177"/>
      <c r="Y30" s="177"/>
      <c r="Z30" s="177"/>
    </row>
    <row r="31" ht="13.5" customHeight="1">
      <c r="A31" s="15"/>
      <c r="B31" s="322"/>
      <c r="C31" s="328" t="s">
        <v>137</v>
      </c>
      <c r="D31" s="329">
        <f t="array" ref="D31">'Cálculos'!C26</f>
        <v>0</v>
      </c>
      <c r="E31" s="330" t="s">
        <v>138</v>
      </c>
      <c r="F31" s="331">
        <f t="array" ref="F31">'Cálculos'!E26</f>
        <v>6</v>
      </c>
      <c r="G31" s="332" t="str">
        <f t="array" ref="G31">'Cálculos'!C28</f>
        <v>V</v>
      </c>
      <c r="H31" s="319"/>
      <c r="I31" s="320"/>
      <c r="J31" s="320"/>
      <c r="K31" s="320"/>
      <c r="L31" s="320"/>
      <c r="M31" s="320"/>
      <c r="N31" s="320"/>
      <c r="O31" s="321"/>
      <c r="P31" s="177"/>
      <c r="Q31" s="177"/>
      <c r="R31" s="177"/>
      <c r="S31" s="177"/>
      <c r="T31" s="177"/>
      <c r="U31" s="177"/>
      <c r="V31" s="177"/>
      <c r="W31" s="177"/>
      <c r="X31" s="177"/>
      <c r="Y31" s="177"/>
      <c r="Z31" s="177"/>
    </row>
    <row r="32" ht="12.75" customHeight="1">
      <c r="A32" s="15"/>
      <c r="B32" s="322"/>
      <c r="C32" s="323"/>
      <c r="D32" s="333"/>
      <c r="E32" s="334"/>
      <c r="F32" s="335"/>
      <c r="G32" s="336"/>
      <c r="H32" s="319"/>
      <c r="I32" s="320"/>
      <c r="J32" s="320"/>
      <c r="K32" s="320"/>
      <c r="L32" s="320"/>
      <c r="M32" s="320"/>
      <c r="N32" s="320"/>
      <c r="O32" s="321"/>
      <c r="P32" s="177"/>
      <c r="Q32" s="177"/>
      <c r="R32" s="177"/>
      <c r="S32" s="177"/>
      <c r="T32" s="177"/>
      <c r="U32" s="177"/>
      <c r="V32" s="177"/>
      <c r="W32" s="177"/>
      <c r="X32" s="177"/>
      <c r="Y32" s="177"/>
      <c r="Z32" s="177"/>
    </row>
    <row r="33" ht="13.5" customHeight="1">
      <c r="A33" s="15"/>
      <c r="B33" s="322"/>
      <c r="C33" s="337" t="s">
        <v>139</v>
      </c>
      <c r="D33" s="331">
        <f t="array" ref="D33">'Cálculos'!C27</f>
        <v>0.001</v>
      </c>
      <c r="E33" s="338"/>
      <c r="F33" s="339"/>
      <c r="G33" s="340"/>
      <c r="H33" s="319"/>
      <c r="I33" s="320"/>
      <c r="J33" s="320"/>
      <c r="K33" s="320"/>
      <c r="L33" s="320"/>
      <c r="M33" s="320"/>
      <c r="N33" s="320"/>
      <c r="O33" s="321"/>
      <c r="P33" s="177"/>
      <c r="Q33" s="177"/>
      <c r="R33" s="177"/>
      <c r="S33" s="177"/>
      <c r="T33" s="177"/>
      <c r="U33" s="177"/>
      <c r="V33" s="177"/>
      <c r="W33" s="177"/>
      <c r="X33" s="177"/>
      <c r="Y33" s="177"/>
      <c r="Z33" s="177"/>
    </row>
    <row r="34" ht="13.5" customHeight="1">
      <c r="A34" s="15"/>
      <c r="B34" s="322"/>
      <c r="C34" s="83"/>
      <c r="D34" s="335"/>
      <c r="E34" s="341"/>
      <c r="F34" s="342"/>
      <c r="G34" s="343"/>
      <c r="H34" s="319"/>
      <c r="I34" s="320"/>
      <c r="J34" s="320"/>
      <c r="K34" s="320"/>
      <c r="L34" s="320"/>
      <c r="M34" s="320"/>
      <c r="N34" s="320"/>
      <c r="O34" s="321"/>
      <c r="P34" s="177"/>
      <c r="Q34" s="177"/>
      <c r="R34" s="177"/>
      <c r="S34" s="177"/>
      <c r="T34" s="177"/>
      <c r="U34" s="177"/>
      <c r="V34" s="177"/>
      <c r="W34" s="177"/>
      <c r="X34" s="177"/>
      <c r="Y34" s="177"/>
      <c r="Z34" s="177"/>
    </row>
    <row r="35" ht="12.75" customHeight="1">
      <c r="A35" s="15"/>
      <c r="B35" s="322"/>
      <c r="C35" s="344" t="s">
        <v>140</v>
      </c>
      <c r="D35" s="345" t="s">
        <v>141</v>
      </c>
      <c r="E35" s="345" t="s">
        <v>142</v>
      </c>
      <c r="F35" s="346" t="s">
        <v>143</v>
      </c>
      <c r="G35" s="347"/>
      <c r="H35" s="319"/>
      <c r="I35" s="320"/>
      <c r="J35" s="320"/>
      <c r="K35" s="320"/>
      <c r="L35" s="320"/>
      <c r="M35" s="320"/>
      <c r="N35" s="320"/>
      <c r="O35" s="321"/>
      <c r="P35" s="177"/>
      <c r="Q35" s="177"/>
      <c r="R35" s="177"/>
      <c r="S35" s="177"/>
      <c r="T35" s="177"/>
      <c r="U35" s="177"/>
      <c r="V35" s="177"/>
      <c r="W35" s="177"/>
      <c r="X35" s="177"/>
      <c r="Y35" s="177"/>
      <c r="Z35" s="177"/>
    </row>
    <row r="36" ht="13.5" customHeight="1">
      <c r="A36" s="15"/>
      <c r="B36" s="322"/>
      <c r="C36" s="348" t="s">
        <v>23</v>
      </c>
      <c r="D36" s="205"/>
      <c r="E36" s="205"/>
      <c r="F36" s="349"/>
      <c r="G36" s="350"/>
      <c r="H36" s="319"/>
      <c r="I36" s="320"/>
      <c r="J36" s="16"/>
      <c r="K36" s="16"/>
      <c r="L36" s="16"/>
      <c r="M36" s="16"/>
      <c r="N36" s="16"/>
      <c r="O36" s="61"/>
      <c r="P36" s="177"/>
      <c r="Q36" s="177"/>
      <c r="R36" s="177"/>
      <c r="S36" s="177"/>
      <c r="T36" s="177"/>
      <c r="U36" s="177"/>
      <c r="V36" s="177"/>
      <c r="W36" s="177"/>
      <c r="X36" s="177"/>
      <c r="Y36" s="177"/>
      <c r="Z36" s="177"/>
    </row>
    <row r="37" ht="13.5" customHeight="1">
      <c r="A37" s="15"/>
      <c r="B37" s="351"/>
      <c r="C37" s="366">
        <f t="array" ref="C37">'Cálculos'!B34</f>
        <v>0.6</v>
      </c>
      <c r="D37" s="367">
        <f t="array" ref="D37">AVERAGE('Cálculos'!C34:G34)</f>
        <v>0.6</v>
      </c>
      <c r="E37" s="367">
        <f t="array" ref="E37">D37-C37</f>
        <v>0</v>
      </c>
      <c r="F37" s="368">
        <f t="array" ref="F37">'Cálculos'!O34</f>
        <v>0.003950105484</v>
      </c>
      <c r="G37" s="355"/>
      <c r="H37" s="319"/>
      <c r="I37" s="320"/>
      <c r="J37" s="16"/>
      <c r="K37" s="16"/>
      <c r="L37" s="16"/>
      <c r="M37" s="16"/>
      <c r="N37" s="16"/>
      <c r="O37" s="61"/>
      <c r="P37" s="177"/>
      <c r="Q37" s="177"/>
      <c r="R37" s="177"/>
      <c r="S37" s="177"/>
      <c r="T37" s="177"/>
      <c r="U37" s="177"/>
      <c r="V37" s="177"/>
      <c r="W37" s="177"/>
      <c r="X37" s="177"/>
      <c r="Y37" s="177"/>
      <c r="Z37" s="177"/>
    </row>
    <row r="38" ht="13.5" customHeight="1">
      <c r="A38" s="15"/>
      <c r="B38" s="351"/>
      <c r="C38" s="366">
        <f t="array" ref="C38">'Cálculos'!B35</f>
        <v>1.5</v>
      </c>
      <c r="D38" s="367">
        <f t="array" ref="D38">AVERAGE('Cálculos'!C35:G35)</f>
        <v>1.499</v>
      </c>
      <c r="E38" s="367">
        <f t="array" ref="E38">D38-C38</f>
        <v>-0.001</v>
      </c>
      <c r="F38" s="368">
        <f t="array" ref="F38">'Cálculos'!O35</f>
        <v>0.003950105484</v>
      </c>
      <c r="G38" s="355"/>
      <c r="H38" s="319"/>
      <c r="I38" s="320"/>
      <c r="J38" s="16"/>
      <c r="K38" s="16"/>
      <c r="L38" s="16"/>
      <c r="M38" s="16"/>
      <c r="N38" s="16"/>
      <c r="O38" s="61"/>
      <c r="P38" s="177"/>
      <c r="Q38" s="177"/>
      <c r="R38" s="177"/>
      <c r="S38" s="177"/>
      <c r="T38" s="177"/>
      <c r="U38" s="177"/>
      <c r="V38" s="177"/>
      <c r="W38" s="177"/>
      <c r="X38" s="177"/>
      <c r="Y38" s="177"/>
      <c r="Z38" s="177"/>
    </row>
    <row r="39" ht="13.5" customHeight="1">
      <c r="A39" s="15"/>
      <c r="B39" s="351"/>
      <c r="C39" s="366">
        <f t="array" ref="C39">'Cálculos'!B36</f>
        <v>3</v>
      </c>
      <c r="D39" s="367">
        <f t="array" ref="D39">AVERAGE('Cálculos'!C36:G36)</f>
        <v>2.998</v>
      </c>
      <c r="E39" s="367">
        <f t="array" ref="E39">D39-C39</f>
        <v>-0.002</v>
      </c>
      <c r="F39" s="368">
        <f t="array" ref="F39">'Cálculos'!O36</f>
        <v>0.003950105484</v>
      </c>
      <c r="G39" s="355"/>
      <c r="H39" s="319"/>
      <c r="I39" s="320"/>
      <c r="J39" s="16"/>
      <c r="K39" s="16"/>
      <c r="L39" s="16"/>
      <c r="M39" s="16"/>
      <c r="N39" s="16"/>
      <c r="O39" s="61"/>
      <c r="P39" s="177"/>
      <c r="Q39" s="177"/>
      <c r="R39" s="177"/>
      <c r="S39" s="177"/>
      <c r="T39" s="177"/>
      <c r="U39" s="177"/>
      <c r="V39" s="177"/>
      <c r="W39" s="177"/>
      <c r="X39" s="177"/>
      <c r="Y39" s="177"/>
      <c r="Z39" s="177"/>
    </row>
    <row r="40" ht="13.5" customHeight="1">
      <c r="A40" s="15"/>
      <c r="B40" s="351"/>
      <c r="C40" s="366">
        <f t="array" ref="C40">'Cálculos'!B37</f>
        <v>4.5</v>
      </c>
      <c r="D40" s="367">
        <f t="array" ref="D40">AVERAGE('Cálculos'!C37:G37)</f>
        <v>4.497</v>
      </c>
      <c r="E40" s="367">
        <f t="array" ref="E40">D40-C40</f>
        <v>-0.003</v>
      </c>
      <c r="F40" s="368">
        <f t="array" ref="F40">'Cálculos'!O37</f>
        <v>0.003950105484</v>
      </c>
      <c r="G40" s="355"/>
      <c r="H40" s="319"/>
      <c r="I40" s="320"/>
      <c r="J40" s="16"/>
      <c r="K40" s="16"/>
      <c r="L40" s="16"/>
      <c r="M40" s="16"/>
      <c r="N40" s="16"/>
      <c r="O40" s="61"/>
      <c r="P40" s="177"/>
      <c r="Q40" s="177"/>
      <c r="R40" s="177"/>
      <c r="S40" s="177"/>
      <c r="T40" s="177"/>
      <c r="U40" s="177"/>
      <c r="V40" s="177"/>
      <c r="W40" s="177"/>
      <c r="X40" s="177"/>
      <c r="Y40" s="177"/>
      <c r="Z40" s="177"/>
    </row>
    <row r="41" ht="14.25" customHeight="1">
      <c r="A41" s="15"/>
      <c r="B41" s="351"/>
      <c r="C41" s="369">
        <f t="array" ref="C41">'Cálculos'!B38</f>
        <v>5.4</v>
      </c>
      <c r="D41" s="370">
        <f t="array" ref="D41">AVERAGE('Cálculos'!C38:G38)</f>
        <v>5.397</v>
      </c>
      <c r="E41" s="370">
        <f t="array" ref="E41">D41-C41</f>
        <v>-0.003</v>
      </c>
      <c r="F41" s="371">
        <f t="array" ref="F41">'Cálculos'!O38</f>
        <v>0.003950105484</v>
      </c>
      <c r="G41" s="359"/>
      <c r="H41" s="319"/>
      <c r="I41" s="320"/>
      <c r="J41" s="16"/>
      <c r="K41" s="16"/>
      <c r="L41" s="16"/>
      <c r="M41" s="16"/>
      <c r="N41" s="16"/>
      <c r="O41" s="61"/>
      <c r="P41" s="177"/>
      <c r="Q41" s="177"/>
      <c r="R41" s="177"/>
      <c r="S41" s="177"/>
      <c r="T41" s="177"/>
      <c r="U41" s="177"/>
      <c r="V41" s="177"/>
      <c r="W41" s="177"/>
      <c r="X41" s="177"/>
      <c r="Y41" s="177"/>
      <c r="Z41" s="177"/>
    </row>
    <row r="42" ht="13.5" customHeight="1">
      <c r="A42" s="15"/>
      <c r="B42" s="360"/>
      <c r="C42" s="361"/>
      <c r="D42" s="361"/>
      <c r="E42" s="361"/>
      <c r="F42" s="361"/>
      <c r="G42" s="362"/>
      <c r="H42" s="320"/>
      <c r="I42" s="320"/>
      <c r="J42" s="16"/>
      <c r="K42" s="16"/>
      <c r="L42" s="16"/>
      <c r="M42" s="16"/>
      <c r="N42" s="16"/>
      <c r="O42" s="61"/>
      <c r="P42" s="177"/>
      <c r="Q42" s="177"/>
      <c r="R42" s="177"/>
      <c r="S42" s="177"/>
      <c r="T42" s="177"/>
      <c r="U42" s="177"/>
      <c r="V42" s="177"/>
      <c r="W42" s="177"/>
      <c r="X42" s="177"/>
      <c r="Y42" s="177"/>
      <c r="Z42" s="177"/>
    </row>
    <row r="43" ht="14.25" customHeight="1">
      <c r="A43" s="15"/>
      <c r="B43" s="360"/>
      <c r="C43" s="364"/>
      <c r="D43" s="364"/>
      <c r="E43" s="364"/>
      <c r="F43" s="364"/>
      <c r="G43" s="365"/>
      <c r="H43" s="320"/>
      <c r="I43" s="320"/>
      <c r="J43" s="16"/>
      <c r="K43" s="16"/>
      <c r="L43" s="16"/>
      <c r="M43" s="16"/>
      <c r="N43" s="16"/>
      <c r="O43" s="61"/>
      <c r="P43" s="177"/>
      <c r="Q43" s="177"/>
      <c r="R43" s="177"/>
      <c r="S43" s="177"/>
      <c r="T43" s="177"/>
      <c r="U43" s="177"/>
      <c r="V43" s="177"/>
      <c r="W43" s="177"/>
      <c r="X43" s="177"/>
      <c r="Y43" s="177"/>
      <c r="Z43" s="177"/>
    </row>
    <row r="44" ht="18.75" customHeight="1">
      <c r="A44" s="15"/>
      <c r="B44" s="351"/>
      <c r="C44" s="315" t="s">
        <v>135</v>
      </c>
      <c r="D44" s="372" t="str">
        <f t="array" ref="D44">'Cálculos'!B40</f>
        <v>TENSION ELECTRICA CONTINUA </v>
      </c>
      <c r="E44" s="317"/>
      <c r="F44" s="317"/>
      <c r="G44" s="318"/>
      <c r="H44" s="319"/>
      <c r="I44" s="320"/>
      <c r="J44" s="320"/>
      <c r="K44" s="320"/>
      <c r="L44" s="16"/>
      <c r="M44" s="16"/>
      <c r="N44" s="16"/>
      <c r="O44" s="61"/>
      <c r="P44" s="177"/>
      <c r="Q44" s="177"/>
      <c r="R44" s="177"/>
      <c r="S44" s="177"/>
      <c r="T44" s="177"/>
      <c r="U44" s="177"/>
      <c r="V44" s="177"/>
      <c r="W44" s="177"/>
      <c r="X44" s="177"/>
      <c r="Y44" s="177"/>
      <c r="Z44" s="177"/>
    </row>
    <row r="45" ht="13.5" customHeight="1">
      <c r="A45" s="15"/>
      <c r="B45" s="351"/>
      <c r="C45" s="323"/>
      <c r="D45" s="324"/>
      <c r="E45" s="325"/>
      <c r="F45" s="326"/>
      <c r="G45" s="327" t="s">
        <v>136</v>
      </c>
      <c r="H45" s="319"/>
      <c r="I45" s="320"/>
      <c r="J45" s="320"/>
      <c r="K45" s="320"/>
      <c r="L45" s="16"/>
      <c r="M45" s="16"/>
      <c r="N45" s="16"/>
      <c r="O45" s="61"/>
      <c r="P45" s="177"/>
      <c r="Q45" s="177"/>
      <c r="R45" s="177"/>
      <c r="S45" s="177"/>
      <c r="T45" s="177"/>
      <c r="U45" s="177"/>
      <c r="V45" s="177"/>
      <c r="W45" s="177"/>
      <c r="X45" s="177"/>
      <c r="Y45" s="177"/>
      <c r="Z45" s="177"/>
    </row>
    <row r="46" ht="13.5" customHeight="1">
      <c r="A46" s="15"/>
      <c r="B46" s="351"/>
      <c r="C46" s="328" t="s">
        <v>137</v>
      </c>
      <c r="D46" s="329">
        <f t="array" ref="D46">'Cálculos'!C41</f>
        <v>0</v>
      </c>
      <c r="E46" s="330" t="s">
        <v>138</v>
      </c>
      <c r="F46" s="331">
        <f t="array" ref="F46">'Cálculos'!E41</f>
        <v>60</v>
      </c>
      <c r="G46" s="332" t="str">
        <f t="array" ref="G46">'Cálculos'!C43</f>
        <v>V</v>
      </c>
      <c r="H46" s="319"/>
      <c r="I46" s="320"/>
      <c r="J46" s="320"/>
      <c r="K46" s="320"/>
      <c r="L46" s="16"/>
      <c r="M46" s="16"/>
      <c r="N46" s="16"/>
      <c r="O46" s="61"/>
      <c r="P46" s="177"/>
      <c r="Q46" s="177"/>
      <c r="R46" s="177"/>
      <c r="S46" s="177"/>
      <c r="T46" s="177"/>
      <c r="U46" s="177"/>
      <c r="V46" s="177"/>
      <c r="W46" s="177"/>
      <c r="X46" s="177"/>
      <c r="Y46" s="177"/>
      <c r="Z46" s="177"/>
    </row>
    <row r="47" ht="12.75" customHeight="1">
      <c r="A47" s="15"/>
      <c r="B47" s="351"/>
      <c r="C47" s="323"/>
      <c r="D47" s="333"/>
      <c r="E47" s="334"/>
      <c r="F47" s="335"/>
      <c r="G47" s="336"/>
      <c r="H47" s="319"/>
      <c r="I47" s="320"/>
      <c r="J47" s="320"/>
      <c r="K47" s="320"/>
      <c r="L47" s="16"/>
      <c r="M47" s="16"/>
      <c r="N47" s="16"/>
      <c r="O47" s="61"/>
      <c r="P47" s="177"/>
      <c r="Q47" s="177"/>
      <c r="R47" s="177"/>
      <c r="S47" s="177"/>
      <c r="T47" s="177"/>
      <c r="U47" s="177"/>
      <c r="V47" s="177"/>
      <c r="W47" s="177"/>
      <c r="X47" s="177"/>
      <c r="Y47" s="177"/>
      <c r="Z47" s="177"/>
    </row>
    <row r="48" ht="13.5" customHeight="1">
      <c r="A48" s="15"/>
      <c r="B48" s="351"/>
      <c r="C48" s="337" t="s">
        <v>139</v>
      </c>
      <c r="D48" s="331">
        <f t="array" ref="D48">'Cálculos'!C42</f>
        <v>0.01</v>
      </c>
      <c r="E48" s="338"/>
      <c r="F48" s="339"/>
      <c r="G48" s="340"/>
      <c r="H48" s="319"/>
      <c r="I48" s="320"/>
      <c r="J48" s="320"/>
      <c r="K48" s="320"/>
      <c r="L48" s="16"/>
      <c r="M48" s="16"/>
      <c r="N48" s="16"/>
      <c r="O48" s="61"/>
      <c r="P48" s="177"/>
      <c r="Q48" s="177"/>
      <c r="R48" s="177"/>
      <c r="S48" s="177"/>
      <c r="T48" s="177"/>
      <c r="U48" s="177"/>
      <c r="V48" s="177"/>
      <c r="W48" s="177"/>
      <c r="X48" s="177"/>
      <c r="Y48" s="177"/>
      <c r="Z48" s="177"/>
    </row>
    <row r="49" ht="13.5" customHeight="1">
      <c r="A49" s="15"/>
      <c r="B49" s="351"/>
      <c r="C49" s="83"/>
      <c r="D49" s="335"/>
      <c r="E49" s="341"/>
      <c r="F49" s="342"/>
      <c r="G49" s="343"/>
      <c r="H49" s="319"/>
      <c r="I49" s="320"/>
      <c r="J49" s="320"/>
      <c r="K49" s="320"/>
      <c r="L49" s="16"/>
      <c r="M49" s="16"/>
      <c r="N49" s="16"/>
      <c r="O49" s="61"/>
      <c r="P49" s="177"/>
      <c r="Q49" s="177"/>
      <c r="R49" s="177"/>
      <c r="S49" s="177"/>
      <c r="T49" s="177"/>
      <c r="U49" s="177"/>
      <c r="V49" s="177"/>
      <c r="W49" s="177"/>
      <c r="X49" s="177"/>
      <c r="Y49" s="177"/>
      <c r="Z49" s="177"/>
    </row>
    <row r="50" ht="12.75" customHeight="1">
      <c r="A50" s="15"/>
      <c r="B50" s="322"/>
      <c r="C50" s="344" t="s">
        <v>140</v>
      </c>
      <c r="D50" s="345" t="s">
        <v>141</v>
      </c>
      <c r="E50" s="345" t="s">
        <v>142</v>
      </c>
      <c r="F50" s="346" t="s">
        <v>143</v>
      </c>
      <c r="G50" s="347"/>
      <c r="H50" s="319"/>
      <c r="I50" s="320"/>
      <c r="J50" s="320"/>
      <c r="K50" s="320"/>
      <c r="L50" s="320"/>
      <c r="M50" s="320"/>
      <c r="N50" s="320"/>
      <c r="O50" s="321"/>
      <c r="P50" s="177"/>
      <c r="Q50" s="177"/>
      <c r="R50" s="177"/>
      <c r="S50" s="177"/>
      <c r="T50" s="177"/>
      <c r="U50" s="177"/>
      <c r="V50" s="177"/>
      <c r="W50" s="177"/>
      <c r="X50" s="177"/>
      <c r="Y50" s="177"/>
      <c r="Z50" s="177"/>
    </row>
    <row r="51" ht="13.5" customHeight="1">
      <c r="A51" s="15"/>
      <c r="B51" s="322"/>
      <c r="C51" s="348" t="s">
        <v>23</v>
      </c>
      <c r="D51" s="205"/>
      <c r="E51" s="205"/>
      <c r="F51" s="349"/>
      <c r="G51" s="350"/>
      <c r="H51" s="319"/>
      <c r="I51" s="320"/>
      <c r="J51" s="16"/>
      <c r="K51" s="16"/>
      <c r="L51" s="16"/>
      <c r="M51" s="16"/>
      <c r="N51" s="16"/>
      <c r="O51" s="61"/>
      <c r="P51" s="177"/>
      <c r="Q51" s="177"/>
      <c r="R51" s="177"/>
      <c r="S51" s="177"/>
      <c r="T51" s="177"/>
      <c r="U51" s="177"/>
      <c r="V51" s="177"/>
      <c r="W51" s="177"/>
      <c r="X51" s="177"/>
      <c r="Y51" s="177"/>
      <c r="Z51" s="177"/>
    </row>
    <row r="52" ht="13.5" customHeight="1">
      <c r="A52" s="15"/>
      <c r="B52" s="351"/>
      <c r="C52" s="373">
        <f t="array" ref="C52">'Cálculos'!B49</f>
        <v>6</v>
      </c>
      <c r="D52" s="374">
        <f t="array" ref="D52">AVERAGE('Cálculos'!C49:G49)</f>
        <v>5.996</v>
      </c>
      <c r="E52" s="374">
        <f t="array" ref="E52">D52-C52</f>
        <v>-0.004</v>
      </c>
      <c r="F52" s="368">
        <f t="array" ref="F52">'Cálculos'!O49</f>
        <v>0.00642935974</v>
      </c>
      <c r="G52" s="355"/>
      <c r="H52" s="319"/>
      <c r="I52" s="320"/>
      <c r="J52" s="16"/>
      <c r="K52" s="16"/>
      <c r="L52" s="16"/>
      <c r="M52" s="16"/>
      <c r="N52" s="16"/>
      <c r="O52" s="61"/>
      <c r="P52" s="177"/>
      <c r="Q52" s="177"/>
      <c r="R52" s="177"/>
      <c r="S52" s="177"/>
      <c r="T52" s="177"/>
      <c r="U52" s="177"/>
      <c r="V52" s="177"/>
      <c r="W52" s="177"/>
      <c r="X52" s="177"/>
      <c r="Y52" s="177"/>
      <c r="Z52" s="177"/>
    </row>
    <row r="53" ht="13.5" customHeight="1">
      <c r="A53" s="15"/>
      <c r="B53" s="351"/>
      <c r="C53" s="373">
        <f t="array" ref="C53">'Cálculos'!B50</f>
        <v>15</v>
      </c>
      <c r="D53" s="374">
        <f t="array" ref="D53">AVERAGE('Cálculos'!C50:G50)</f>
        <v>15</v>
      </c>
      <c r="E53" s="374">
        <f t="array" ref="E53">D53-C53</f>
        <v>0</v>
      </c>
      <c r="F53" s="368">
        <f t="array" ref="F53">'Cálculos'!O50</f>
        <v>0.00642935974</v>
      </c>
      <c r="G53" s="355"/>
      <c r="H53" s="319"/>
      <c r="I53" s="320"/>
      <c r="J53" s="16"/>
      <c r="K53" s="16"/>
      <c r="L53" s="16"/>
      <c r="M53" s="16"/>
      <c r="N53" s="16"/>
      <c r="O53" s="61"/>
      <c r="P53" s="177"/>
      <c r="Q53" s="177"/>
      <c r="R53" s="177"/>
      <c r="S53" s="177"/>
      <c r="T53" s="177"/>
      <c r="U53" s="177"/>
      <c r="V53" s="177"/>
      <c r="W53" s="177"/>
      <c r="X53" s="177"/>
      <c r="Y53" s="177"/>
      <c r="Z53" s="177"/>
    </row>
    <row r="54" ht="13.5" customHeight="1">
      <c r="A54" s="15"/>
      <c r="B54" s="351"/>
      <c r="C54" s="373">
        <f t="array" ref="C54">'Cálculos'!B51</f>
        <v>30</v>
      </c>
      <c r="D54" s="374">
        <f t="array" ref="D54">AVERAGE('Cálculos'!C51:G51)</f>
        <v>29.99</v>
      </c>
      <c r="E54" s="374">
        <f t="array" ref="E54">D54-C54</f>
        <v>-0.01</v>
      </c>
      <c r="F54" s="368">
        <f t="array" ref="F54">'Cálculos'!O51</f>
        <v>0.00642935974</v>
      </c>
      <c r="G54" s="355"/>
      <c r="H54" s="319"/>
      <c r="I54" s="320"/>
      <c r="J54" s="16"/>
      <c r="K54" s="16"/>
      <c r="L54" s="16"/>
      <c r="M54" s="16"/>
      <c r="N54" s="16"/>
      <c r="O54" s="61"/>
      <c r="P54" s="177"/>
      <c r="Q54" s="177"/>
      <c r="R54" s="177"/>
      <c r="S54" s="177"/>
      <c r="T54" s="177"/>
      <c r="U54" s="177"/>
      <c r="V54" s="177"/>
      <c r="W54" s="177"/>
      <c r="X54" s="177"/>
      <c r="Y54" s="177"/>
      <c r="Z54" s="177"/>
    </row>
    <row r="55" ht="13.5" customHeight="1">
      <c r="A55" s="15"/>
      <c r="B55" s="351"/>
      <c r="C55" s="373">
        <f t="array" ref="C55">'Cálculos'!B52</f>
        <v>45</v>
      </c>
      <c r="D55" s="374">
        <f t="array" ref="D55">AVERAGE('Cálculos'!C52:G52)</f>
        <v>44.98</v>
      </c>
      <c r="E55" s="374">
        <f t="array" ref="E55">D55-C55</f>
        <v>-0.02</v>
      </c>
      <c r="F55" s="368">
        <f t="array" ref="F55">'Cálculos'!O52</f>
        <v>0.00642935974</v>
      </c>
      <c r="G55" s="355"/>
      <c r="H55" s="319"/>
      <c r="I55" s="320"/>
      <c r="J55" s="16"/>
      <c r="K55" s="16"/>
      <c r="L55" s="16"/>
      <c r="M55" s="16"/>
      <c r="N55" s="16"/>
      <c r="O55" s="61"/>
      <c r="P55" s="177"/>
      <c r="Q55" s="177"/>
      <c r="R55" s="177"/>
      <c r="S55" s="177"/>
      <c r="T55" s="177"/>
      <c r="U55" s="177"/>
      <c r="V55" s="177"/>
      <c r="W55" s="177"/>
      <c r="X55" s="177"/>
      <c r="Y55" s="177"/>
      <c r="Z55" s="177"/>
    </row>
    <row r="56" ht="14.25" customHeight="1">
      <c r="A56" s="15"/>
      <c r="B56" s="351"/>
      <c r="C56" s="375">
        <f t="array" ref="C56">'Cálculos'!B53</f>
        <v>54</v>
      </c>
      <c r="D56" s="364">
        <f t="array" ref="D56">AVERAGE('Cálculos'!C53:G53)</f>
        <v>53.98</v>
      </c>
      <c r="E56" s="364">
        <f t="array" ref="E56">D56-C56</f>
        <v>-0.02</v>
      </c>
      <c r="F56" s="371">
        <f t="array" ref="F56">'Cálculos'!O53</f>
        <v>0.00642935974</v>
      </c>
      <c r="G56" s="359"/>
      <c r="H56" s="319"/>
      <c r="I56" s="320"/>
      <c r="J56" s="16"/>
      <c r="K56" s="16"/>
      <c r="L56" s="16"/>
      <c r="M56" s="16"/>
      <c r="N56" s="16"/>
      <c r="O56" s="61"/>
      <c r="P56" s="177"/>
      <c r="Q56" s="177"/>
      <c r="R56" s="177"/>
      <c r="S56" s="177"/>
      <c r="T56" s="177"/>
      <c r="U56" s="177"/>
      <c r="V56" s="177"/>
      <c r="W56" s="177"/>
      <c r="X56" s="177"/>
      <c r="Y56" s="177"/>
      <c r="Z56" s="177"/>
    </row>
    <row r="57" ht="13.5" customHeight="1">
      <c r="A57" s="15"/>
      <c r="B57" s="360"/>
      <c r="C57" s="361"/>
      <c r="D57" s="361"/>
      <c r="E57" s="361"/>
      <c r="F57" s="361"/>
      <c r="G57" s="362"/>
      <c r="H57" s="320"/>
      <c r="I57" s="320"/>
      <c r="J57" s="16"/>
      <c r="K57" s="16"/>
      <c r="L57" s="16"/>
      <c r="M57" s="16"/>
      <c r="N57" s="16"/>
      <c r="O57" s="61"/>
      <c r="P57" s="177"/>
      <c r="Q57" s="177"/>
      <c r="R57" s="177"/>
      <c r="S57" s="177"/>
      <c r="T57" s="177"/>
      <c r="U57" s="177"/>
      <c r="V57" s="177"/>
      <c r="W57" s="177"/>
      <c r="X57" s="177"/>
      <c r="Y57" s="177"/>
      <c r="Z57" s="177"/>
    </row>
    <row r="58" ht="13.5" customHeight="1">
      <c r="A58" s="15"/>
      <c r="B58" s="360"/>
      <c r="C58" s="374"/>
      <c r="D58" s="374"/>
      <c r="E58" s="374"/>
      <c r="F58" s="374"/>
      <c r="G58" s="233"/>
      <c r="H58" s="320"/>
      <c r="I58" s="320"/>
      <c r="J58" s="16"/>
      <c r="K58" s="16"/>
      <c r="L58" s="16"/>
      <c r="M58" s="16"/>
      <c r="N58" s="16"/>
      <c r="O58" s="61"/>
      <c r="P58" s="177"/>
      <c r="Q58" s="177"/>
      <c r="R58" s="177"/>
      <c r="S58" s="177"/>
      <c r="T58" s="177"/>
      <c r="U58" s="177"/>
      <c r="V58" s="177"/>
      <c r="W58" s="177"/>
      <c r="X58" s="177"/>
      <c r="Y58" s="177"/>
      <c r="Z58" s="177"/>
    </row>
    <row r="59" ht="13.5" customHeight="1">
      <c r="A59" s="15"/>
      <c r="B59" s="360"/>
      <c r="C59" s="374"/>
      <c r="D59" s="374"/>
      <c r="E59" s="374"/>
      <c r="F59" s="374"/>
      <c r="G59" s="233"/>
      <c r="H59" s="320"/>
      <c r="I59" s="320"/>
      <c r="J59" s="16"/>
      <c r="K59" s="16"/>
      <c r="L59" s="16"/>
      <c r="M59" s="16"/>
      <c r="N59" s="16"/>
      <c r="O59" s="61"/>
      <c r="P59" s="177"/>
      <c r="Q59" s="177"/>
      <c r="R59" s="177"/>
      <c r="S59" s="177"/>
      <c r="T59" s="177"/>
      <c r="U59" s="177"/>
      <c r="V59" s="177"/>
      <c r="W59" s="177"/>
      <c r="X59" s="177"/>
      <c r="Y59" s="177"/>
      <c r="Z59" s="177"/>
    </row>
    <row r="60" ht="13.5" customHeight="1">
      <c r="A60" s="15"/>
      <c r="B60" s="360"/>
      <c r="C60" s="374"/>
      <c r="D60" s="374"/>
      <c r="E60" s="374"/>
      <c r="F60" s="374"/>
      <c r="G60" s="233"/>
      <c r="H60" s="320"/>
      <c r="I60" s="320"/>
      <c r="J60" s="16"/>
      <c r="K60" s="16"/>
      <c r="L60" s="16"/>
      <c r="M60" s="16"/>
      <c r="N60" s="16"/>
      <c r="O60" s="61"/>
      <c r="P60" s="177"/>
      <c r="Q60" s="177"/>
      <c r="R60" s="177"/>
      <c r="S60" s="177"/>
      <c r="T60" s="177"/>
      <c r="U60" s="177"/>
      <c r="V60" s="177"/>
      <c r="W60" s="177"/>
      <c r="X60" s="177"/>
      <c r="Y60" s="177"/>
      <c r="Z60" s="177"/>
    </row>
    <row r="61" ht="13.5" customHeight="1">
      <c r="A61" s="15"/>
      <c r="B61" s="360"/>
      <c r="C61" s="374"/>
      <c r="D61" s="374"/>
      <c r="E61" s="374"/>
      <c r="F61" s="374"/>
      <c r="G61" s="233"/>
      <c r="H61" s="320"/>
      <c r="I61" s="320"/>
      <c r="J61" s="16"/>
      <c r="K61" s="16"/>
      <c r="L61" s="16"/>
      <c r="M61" s="16"/>
      <c r="N61" s="16"/>
      <c r="O61" s="61"/>
      <c r="P61" s="177"/>
      <c r="Q61" s="177"/>
      <c r="R61" s="177"/>
      <c r="S61" s="177"/>
      <c r="T61" s="177"/>
      <c r="U61" s="177"/>
      <c r="V61" s="177"/>
      <c r="W61" s="177"/>
      <c r="X61" s="177"/>
      <c r="Y61" s="177"/>
      <c r="Z61" s="177"/>
    </row>
    <row r="62" ht="13.5" customHeight="1">
      <c r="A62" s="15"/>
      <c r="B62" s="360"/>
      <c r="C62" s="374"/>
      <c r="D62" s="374"/>
      <c r="E62" s="374"/>
      <c r="F62" s="374"/>
      <c r="G62" s="233"/>
      <c r="H62" s="320"/>
      <c r="I62" s="320"/>
      <c r="J62" s="16"/>
      <c r="K62" s="16"/>
      <c r="L62" s="16"/>
      <c r="M62" s="16"/>
      <c r="N62" s="16"/>
      <c r="O62" s="61"/>
      <c r="P62" s="177"/>
      <c r="Q62" s="177"/>
      <c r="R62" s="177"/>
      <c r="S62" s="177"/>
      <c r="T62" s="177"/>
      <c r="U62" s="177"/>
      <c r="V62" s="177"/>
      <c r="W62" s="177"/>
      <c r="X62" s="177"/>
      <c r="Y62" s="177"/>
      <c r="Z62" s="177"/>
    </row>
    <row r="63" ht="13.5" customHeight="1">
      <c r="A63" s="15"/>
      <c r="B63" s="360"/>
      <c r="C63" s="374"/>
      <c r="D63" s="374"/>
      <c r="E63" s="374"/>
      <c r="F63" s="374"/>
      <c r="G63" s="233"/>
      <c r="H63" s="320"/>
      <c r="I63" s="320"/>
      <c r="J63" s="16"/>
      <c r="K63" s="16"/>
      <c r="L63" s="16"/>
      <c r="M63" s="16"/>
      <c r="N63" s="16"/>
      <c r="O63" s="61"/>
      <c r="P63" s="177"/>
      <c r="Q63" s="177"/>
      <c r="R63" s="177"/>
      <c r="S63" s="177"/>
      <c r="T63" s="177"/>
      <c r="U63" s="177"/>
      <c r="V63" s="177"/>
      <c r="W63" s="177"/>
      <c r="X63" s="177"/>
      <c r="Y63" s="177"/>
      <c r="Z63" s="177"/>
    </row>
    <row r="64" ht="13.5" customHeight="1">
      <c r="A64" s="15"/>
      <c r="B64" s="360"/>
      <c r="C64" s="374"/>
      <c r="D64" s="374"/>
      <c r="E64" s="374"/>
      <c r="F64" s="374"/>
      <c r="G64" s="233"/>
      <c r="H64" s="320"/>
      <c r="I64" s="320"/>
      <c r="J64" s="16"/>
      <c r="K64" s="16"/>
      <c r="L64" s="16"/>
      <c r="M64" s="16"/>
      <c r="N64" s="16"/>
      <c r="O64" s="61"/>
      <c r="P64" s="177"/>
      <c r="Q64" s="177"/>
      <c r="R64" s="177"/>
      <c r="S64" s="177"/>
      <c r="T64" s="177"/>
      <c r="U64" s="177"/>
      <c r="V64" s="177"/>
      <c r="W64" s="177"/>
      <c r="X64" s="177"/>
      <c r="Y64" s="177"/>
      <c r="Z64" s="177"/>
    </row>
    <row r="65" ht="13.5" customHeight="1">
      <c r="A65" s="15"/>
      <c r="B65" s="360"/>
      <c r="C65" s="374"/>
      <c r="D65" s="374"/>
      <c r="E65" s="374"/>
      <c r="F65" s="374"/>
      <c r="G65" s="233"/>
      <c r="H65" s="320"/>
      <c r="I65" s="320"/>
      <c r="J65" s="16"/>
      <c r="K65" s="16"/>
      <c r="L65" s="16"/>
      <c r="M65" s="16"/>
      <c r="N65" s="16"/>
      <c r="O65" s="61"/>
      <c r="P65" s="177"/>
      <c r="Q65" s="177"/>
      <c r="R65" s="177"/>
      <c r="S65" s="177"/>
      <c r="T65" s="177"/>
      <c r="U65" s="177"/>
      <c r="V65" s="177"/>
      <c r="W65" s="177"/>
      <c r="X65" s="177"/>
      <c r="Y65" s="177"/>
      <c r="Z65" s="177"/>
    </row>
    <row r="66" ht="12.75" customHeight="1">
      <c r="A66" s="15"/>
      <c r="B66" s="16"/>
      <c r="C66" s="16"/>
      <c r="D66" s="16"/>
      <c r="E66" s="16"/>
      <c r="F66" s="16"/>
      <c r="G66" s="16"/>
      <c r="H66" s="16"/>
      <c r="I66" s="16"/>
      <c r="J66" s="16"/>
      <c r="K66" s="16"/>
      <c r="L66" s="16"/>
      <c r="M66" s="16"/>
      <c r="N66" s="16"/>
      <c r="O66" s="61"/>
      <c r="P66" s="177"/>
      <c r="Q66" s="177"/>
      <c r="R66" s="177"/>
      <c r="S66" s="177"/>
      <c r="T66" s="177"/>
      <c r="U66" s="177"/>
      <c r="V66" s="177"/>
      <c r="W66" s="177"/>
      <c r="X66" s="177"/>
      <c r="Y66" s="177"/>
      <c r="Z66" s="177"/>
    </row>
    <row r="67" ht="12.75" customHeight="1">
      <c r="A67" s="15"/>
      <c r="B67" s="16"/>
      <c r="C67" s="302"/>
      <c r="D67" s="16"/>
      <c r="E67" s="16"/>
      <c r="F67" s="16"/>
      <c r="G67" s="16"/>
      <c r="H67" s="16"/>
      <c r="I67" s="16"/>
      <c r="J67" s="16"/>
      <c r="K67" s="16"/>
      <c r="L67" s="16"/>
      <c r="M67" s="16"/>
      <c r="N67" s="16"/>
      <c r="O67" s="61"/>
      <c r="P67" s="177"/>
      <c r="Q67" s="177"/>
      <c r="R67" s="177"/>
      <c r="S67" s="177"/>
      <c r="T67" s="177"/>
      <c r="U67" s="177"/>
      <c r="V67" s="177"/>
      <c r="W67" s="177"/>
      <c r="X67" s="177"/>
      <c r="Y67" s="177"/>
      <c r="Z67" s="177"/>
    </row>
    <row r="68" ht="12.75" customHeight="1">
      <c r="A68" s="15"/>
      <c r="B68" s="16"/>
      <c r="C68" s="302"/>
      <c r="D68" s="16"/>
      <c r="E68" s="16"/>
      <c r="F68" s="16"/>
      <c r="G68" s="16"/>
      <c r="H68" s="16"/>
      <c r="I68" s="16"/>
      <c r="J68" s="16"/>
      <c r="K68" s="16"/>
      <c r="L68" s="16"/>
      <c r="M68" s="16"/>
      <c r="N68" s="16"/>
      <c r="O68" s="61"/>
      <c r="P68" s="177"/>
      <c r="Q68" s="177"/>
      <c r="R68" s="177"/>
      <c r="S68" s="177"/>
      <c r="T68" s="177"/>
      <c r="U68" s="177"/>
      <c r="V68" s="177"/>
      <c r="W68" s="177"/>
      <c r="X68" s="177"/>
      <c r="Y68" s="177"/>
      <c r="Z68" s="177"/>
    </row>
    <row r="69" ht="12.75" customHeight="1">
      <c r="A69" s="15"/>
      <c r="B69" s="16"/>
      <c r="C69" s="302"/>
      <c r="D69" s="16"/>
      <c r="E69" s="16"/>
      <c r="F69" s="16"/>
      <c r="G69" s="16"/>
      <c r="H69" s="16"/>
      <c r="I69" s="16"/>
      <c r="J69" s="16"/>
      <c r="K69" s="16"/>
      <c r="L69" s="16"/>
      <c r="M69" s="16"/>
      <c r="N69" s="16"/>
      <c r="O69" s="61"/>
      <c r="P69" s="177"/>
      <c r="Q69" s="177"/>
      <c r="R69" s="177"/>
      <c r="S69" s="177"/>
      <c r="T69" s="177"/>
      <c r="U69" s="177"/>
      <c r="V69" s="177"/>
      <c r="W69" s="177"/>
      <c r="X69" s="177"/>
      <c r="Y69" s="177"/>
      <c r="Z69" s="177"/>
    </row>
    <row r="70" ht="12.75" customHeight="1">
      <c r="A70" s="15"/>
      <c r="B70" s="303"/>
      <c r="C70" s="303"/>
      <c r="D70" s="303"/>
      <c r="E70" s="303"/>
      <c r="F70" s="303"/>
      <c r="G70" s="303"/>
      <c r="H70" s="303"/>
      <c r="I70" s="303"/>
      <c r="J70" s="303"/>
      <c r="K70" s="303"/>
      <c r="L70" s="16"/>
      <c r="M70" s="16"/>
      <c r="N70" s="16"/>
      <c r="O70" s="61"/>
      <c r="P70" s="177"/>
      <c r="Q70" s="177"/>
      <c r="R70" s="177"/>
      <c r="S70" s="177"/>
      <c r="T70" s="177"/>
      <c r="U70" s="177"/>
      <c r="V70" s="177"/>
      <c r="W70" s="177"/>
      <c r="X70" s="177"/>
      <c r="Y70" s="177"/>
      <c r="Z70" s="177"/>
    </row>
    <row r="71" ht="12.75" customHeight="1">
      <c r="A71" s="15"/>
      <c r="B71" s="303"/>
      <c r="C71" s="303"/>
      <c r="D71" s="303"/>
      <c r="E71" s="303"/>
      <c r="F71" s="303"/>
      <c r="G71" s="303"/>
      <c r="H71" s="303"/>
      <c r="I71" s="303"/>
      <c r="J71" s="303"/>
      <c r="K71" s="303"/>
      <c r="L71" s="16"/>
      <c r="M71" s="16"/>
      <c r="N71" s="16"/>
      <c r="O71" s="61"/>
      <c r="P71" s="177"/>
      <c r="Q71" s="177"/>
      <c r="R71" s="177"/>
      <c r="S71" s="177"/>
      <c r="T71" s="177"/>
      <c r="U71" s="177"/>
      <c r="V71" s="177"/>
      <c r="W71" s="177"/>
      <c r="X71" s="177"/>
      <c r="Y71" s="177"/>
      <c r="Z71" s="177"/>
    </row>
    <row r="72" ht="12.75" customHeight="1">
      <c r="A72" s="15"/>
      <c r="B72" s="303"/>
      <c r="C72" s="303"/>
      <c r="D72" s="303"/>
      <c r="E72" s="303"/>
      <c r="F72" s="303"/>
      <c r="G72" s="303"/>
      <c r="H72" s="303"/>
      <c r="I72" s="303"/>
      <c r="J72" s="303"/>
      <c r="K72" s="303"/>
      <c r="L72" s="16"/>
      <c r="M72" s="16"/>
      <c r="N72" s="16"/>
      <c r="O72" s="61"/>
      <c r="P72" s="177"/>
      <c r="Q72" s="177"/>
      <c r="R72" s="177"/>
      <c r="S72" s="177"/>
      <c r="T72" s="177"/>
      <c r="U72" s="177"/>
      <c r="V72" s="177"/>
      <c r="W72" s="177"/>
      <c r="X72" s="177"/>
      <c r="Y72" s="177"/>
      <c r="Z72" s="177"/>
    </row>
    <row r="73" ht="12.75" customHeight="1">
      <c r="A73" s="15"/>
      <c r="B73" s="303"/>
      <c r="C73" s="303"/>
      <c r="D73" s="303"/>
      <c r="E73" s="303"/>
      <c r="F73" s="303"/>
      <c r="G73" s="303"/>
      <c r="H73" s="303"/>
      <c r="I73" s="303"/>
      <c r="J73" s="303"/>
      <c r="K73" s="303"/>
      <c r="L73" s="16"/>
      <c r="M73" s="16"/>
      <c r="N73" s="16"/>
      <c r="O73" s="61"/>
      <c r="P73" s="177"/>
      <c r="Q73" s="177"/>
      <c r="R73" s="177"/>
      <c r="S73" s="177"/>
      <c r="T73" s="177"/>
      <c r="U73" s="177"/>
      <c r="V73" s="177"/>
      <c r="W73" s="177"/>
      <c r="X73" s="177"/>
      <c r="Y73" s="177"/>
      <c r="Z73" s="177"/>
    </row>
    <row r="74" ht="23.25" customHeight="1">
      <c r="A74" s="15"/>
      <c r="B74" s="303"/>
      <c r="C74" s="303"/>
      <c r="D74" s="303"/>
      <c r="E74" s="303"/>
      <c r="F74" s="303"/>
      <c r="G74" s="303"/>
      <c r="H74" s="220" t="s">
        <v>144</v>
      </c>
      <c r="I74" s="190"/>
      <c r="J74" s="304" t="str">
        <f t="array" ref="J74">J$9</f>
        <v>E-MK-0153/26</v>
      </c>
      <c r="K74" s="190"/>
      <c r="L74" s="16"/>
      <c r="M74" s="16"/>
      <c r="N74" s="16"/>
      <c r="O74" s="61"/>
      <c r="P74" s="177"/>
      <c r="Q74" s="177"/>
      <c r="R74" s="177"/>
      <c r="S74" s="177"/>
      <c r="T74" s="177"/>
      <c r="U74" s="177"/>
      <c r="V74" s="177"/>
      <c r="W74" s="177"/>
      <c r="X74" s="177"/>
      <c r="Y74" s="177"/>
      <c r="Z74" s="177"/>
    </row>
    <row r="75" ht="23.25" customHeight="1">
      <c r="A75" s="15"/>
      <c r="B75" s="303"/>
      <c r="C75" s="305" t="s">
        <v>131</v>
      </c>
      <c r="D75" s="306"/>
      <c r="E75" s="306"/>
      <c r="F75" s="306"/>
      <c r="G75" s="243"/>
      <c r="H75" s="220" t="s">
        <v>145</v>
      </c>
      <c r="I75" s="190"/>
      <c r="J75" s="307">
        <f t="array" ref="J75">J$10</f>
        <v>46037</v>
      </c>
      <c r="K75" s="190"/>
      <c r="L75" s="16"/>
      <c r="M75" s="16"/>
      <c r="N75" s="16"/>
      <c r="O75" s="61"/>
      <c r="P75" s="177"/>
      <c r="Q75" s="177"/>
      <c r="R75" s="177"/>
      <c r="S75" s="177"/>
      <c r="T75" s="177"/>
      <c r="U75" s="177"/>
      <c r="V75" s="177"/>
      <c r="W75" s="177"/>
      <c r="X75" s="177"/>
      <c r="Y75" s="177"/>
      <c r="Z75" s="177"/>
    </row>
    <row r="76" ht="23.25" customHeight="1">
      <c r="A76" s="15"/>
      <c r="B76" s="303"/>
      <c r="C76" s="248"/>
      <c r="D76" s="308"/>
      <c r="E76" s="308"/>
      <c r="F76" s="308"/>
      <c r="G76" s="249"/>
      <c r="H76" s="220" t="s">
        <v>146</v>
      </c>
      <c r="I76" s="190"/>
      <c r="J76" s="307">
        <f t="array" ref="J76">J$11</f>
        <v>46037</v>
      </c>
      <c r="K76" s="190"/>
      <c r="L76" s="16"/>
      <c r="M76" s="16"/>
      <c r="N76" s="16"/>
      <c r="O76" s="61"/>
      <c r="P76" s="177"/>
      <c r="Q76" s="177"/>
      <c r="R76" s="177"/>
      <c r="S76" s="177"/>
      <c r="T76" s="177"/>
      <c r="U76" s="177"/>
      <c r="V76" s="177"/>
      <c r="W76" s="177"/>
      <c r="X76" s="177"/>
      <c r="Y76" s="177"/>
      <c r="Z76" s="177"/>
    </row>
    <row r="77" ht="23.25" customHeight="1">
      <c r="A77" s="15"/>
      <c r="B77" s="303"/>
      <c r="C77" s="303"/>
      <c r="D77" s="303"/>
      <c r="E77" s="303"/>
      <c r="F77" s="303"/>
      <c r="G77" s="303"/>
      <c r="H77" s="220" t="s">
        <v>147</v>
      </c>
      <c r="I77" s="190"/>
      <c r="J77" s="212" t="str">
        <f t="array" ref="J77">CONCATENATE(J78," de ",J274)</f>
        <v>3 de 6</v>
      </c>
      <c r="K77" s="190"/>
      <c r="L77" s="16"/>
      <c r="M77" s="16"/>
      <c r="N77" s="16"/>
      <c r="O77" s="61"/>
      <c r="P77" s="177"/>
      <c r="Q77" s="177"/>
      <c r="R77" s="177"/>
      <c r="S77" s="177"/>
      <c r="T77" s="177"/>
      <c r="U77" s="177"/>
      <c r="V77" s="177"/>
      <c r="W77" s="177"/>
      <c r="X77" s="177"/>
      <c r="Y77" s="177"/>
      <c r="Z77" s="177"/>
    </row>
    <row r="78" ht="12.75" customHeight="1">
      <c r="A78" s="15"/>
      <c r="B78" s="360"/>
      <c r="C78" s="363"/>
      <c r="D78" s="357"/>
      <c r="E78" s="357"/>
      <c r="F78" s="364"/>
      <c r="G78" s="365"/>
      <c r="H78" s="320"/>
      <c r="I78" s="320"/>
      <c r="J78" s="312">
        <f t="array" ref="J78">J13+1</f>
        <v>3</v>
      </c>
      <c r="K78" s="313">
        <f t="array" ref="K78">K13</f>
        <v>7</v>
      </c>
      <c r="L78" s="16"/>
      <c r="M78" s="16"/>
      <c r="N78" s="16"/>
      <c r="O78" s="61"/>
      <c r="P78" s="177"/>
      <c r="Q78" s="177"/>
      <c r="R78" s="177"/>
      <c r="S78" s="177"/>
      <c r="T78" s="177"/>
      <c r="U78" s="177"/>
      <c r="V78" s="177"/>
      <c r="W78" s="177"/>
      <c r="X78" s="177"/>
      <c r="Y78" s="177"/>
      <c r="Z78" s="177"/>
    </row>
    <row r="79" ht="15.0" customHeight="1">
      <c r="A79" s="15"/>
      <c r="B79" s="314"/>
      <c r="C79" s="315" t="s">
        <v>135</v>
      </c>
      <c r="D79" s="316" t="str">
        <f t="array" ref="D79">'Cálculos'!B55</f>
        <v>TENSION ELECTRICA CONTINUA </v>
      </c>
      <c r="E79" s="317"/>
      <c r="F79" s="317"/>
      <c r="G79" s="318"/>
      <c r="H79" s="319"/>
      <c r="I79" s="320"/>
      <c r="J79" s="320"/>
      <c r="K79" s="320"/>
      <c r="L79" s="320"/>
      <c r="M79" s="320"/>
      <c r="N79" s="320"/>
      <c r="O79" s="321"/>
      <c r="P79" s="177"/>
      <c r="Q79" s="177"/>
      <c r="R79" s="177"/>
      <c r="S79" s="177"/>
      <c r="T79" s="177"/>
      <c r="U79" s="177"/>
      <c r="V79" s="177"/>
      <c r="W79" s="177"/>
      <c r="X79" s="177"/>
      <c r="Y79" s="177"/>
      <c r="Z79" s="177"/>
    </row>
    <row r="80" ht="13.5" customHeight="1">
      <c r="A80" s="15"/>
      <c r="B80" s="322"/>
      <c r="C80" s="323"/>
      <c r="D80" s="324"/>
      <c r="E80" s="325"/>
      <c r="F80" s="326"/>
      <c r="G80" s="327" t="s">
        <v>136</v>
      </c>
      <c r="H80" s="319"/>
      <c r="I80" s="320"/>
      <c r="J80" s="320"/>
      <c r="K80" s="320"/>
      <c r="L80" s="320"/>
      <c r="M80" s="320"/>
      <c r="N80" s="320"/>
      <c r="O80" s="321"/>
      <c r="P80" s="177"/>
      <c r="Q80" s="177"/>
      <c r="R80" s="177"/>
      <c r="S80" s="177"/>
      <c r="T80" s="177"/>
      <c r="U80" s="177"/>
      <c r="V80" s="177"/>
      <c r="W80" s="177"/>
      <c r="X80" s="177"/>
      <c r="Y80" s="177"/>
      <c r="Z80" s="177"/>
    </row>
    <row r="81" ht="13.5" customHeight="1">
      <c r="A81" s="15"/>
      <c r="B81" s="322"/>
      <c r="C81" s="328" t="s">
        <v>137</v>
      </c>
      <c r="D81" s="329">
        <f t="array" ref="D81">'Cálculos'!C56</f>
        <v>0</v>
      </c>
      <c r="E81" s="330" t="s">
        <v>138</v>
      </c>
      <c r="F81" s="331">
        <f t="array" ref="F81">'Cálculos'!E56</f>
        <v>600</v>
      </c>
      <c r="G81" s="332" t="str">
        <f t="array" ref="G81">'Cálculos'!C58</f>
        <v>V</v>
      </c>
      <c r="H81" s="319"/>
      <c r="I81" s="320"/>
      <c r="J81" s="320"/>
      <c r="K81" s="320"/>
      <c r="L81" s="320"/>
      <c r="M81" s="320"/>
      <c r="N81" s="320"/>
      <c r="O81" s="321"/>
      <c r="P81" s="177"/>
      <c r="Q81" s="177"/>
      <c r="R81" s="177"/>
      <c r="S81" s="177"/>
      <c r="T81" s="177"/>
      <c r="U81" s="177"/>
      <c r="V81" s="177"/>
      <c r="W81" s="177"/>
      <c r="X81" s="177"/>
      <c r="Y81" s="177"/>
      <c r="Z81" s="177"/>
    </row>
    <row r="82" ht="12.75" customHeight="1">
      <c r="A82" s="15"/>
      <c r="B82" s="322"/>
      <c r="C82" s="323"/>
      <c r="D82" s="333"/>
      <c r="E82" s="334"/>
      <c r="F82" s="335"/>
      <c r="G82" s="336"/>
      <c r="H82" s="319"/>
      <c r="I82" s="320"/>
      <c r="J82" s="320"/>
      <c r="K82" s="320"/>
      <c r="L82" s="320"/>
      <c r="M82" s="320"/>
      <c r="N82" s="320"/>
      <c r="O82" s="321"/>
      <c r="P82" s="177"/>
      <c r="Q82" s="177"/>
      <c r="R82" s="177"/>
      <c r="S82" s="177"/>
      <c r="T82" s="177"/>
      <c r="U82" s="177"/>
      <c r="V82" s="177"/>
      <c r="W82" s="177"/>
      <c r="X82" s="177"/>
      <c r="Y82" s="177"/>
      <c r="Z82" s="177"/>
    </row>
    <row r="83" ht="13.5" customHeight="1">
      <c r="A83" s="15"/>
      <c r="B83" s="322"/>
      <c r="C83" s="337" t="s">
        <v>139</v>
      </c>
      <c r="D83" s="331">
        <f t="array" ref="D83">'Cálculos'!C57</f>
        <v>0.1</v>
      </c>
      <c r="E83" s="338"/>
      <c r="F83" s="339"/>
      <c r="G83" s="340"/>
      <c r="H83" s="319"/>
      <c r="I83" s="320"/>
      <c r="J83" s="320"/>
      <c r="K83" s="320"/>
      <c r="L83" s="320"/>
      <c r="M83" s="320"/>
      <c r="N83" s="320"/>
      <c r="O83" s="321"/>
      <c r="P83" s="177"/>
      <c r="Q83" s="177"/>
      <c r="R83" s="177"/>
      <c r="S83" s="177"/>
      <c r="T83" s="177"/>
      <c r="U83" s="177"/>
      <c r="V83" s="177"/>
      <c r="W83" s="177"/>
      <c r="X83" s="177"/>
      <c r="Y83" s="177"/>
      <c r="Z83" s="177"/>
    </row>
    <row r="84" ht="13.5" customHeight="1">
      <c r="A84" s="15"/>
      <c r="B84" s="322"/>
      <c r="C84" s="83"/>
      <c r="D84" s="335"/>
      <c r="E84" s="341"/>
      <c r="F84" s="342"/>
      <c r="G84" s="343"/>
      <c r="H84" s="319"/>
      <c r="I84" s="320"/>
      <c r="J84" s="320"/>
      <c r="K84" s="320"/>
      <c r="L84" s="320"/>
      <c r="M84" s="320"/>
      <c r="N84" s="320"/>
      <c r="O84" s="321"/>
      <c r="P84" s="177"/>
      <c r="Q84" s="177"/>
      <c r="R84" s="177"/>
      <c r="S84" s="177"/>
      <c r="T84" s="177"/>
      <c r="U84" s="177"/>
      <c r="V84" s="177"/>
      <c r="W84" s="177"/>
      <c r="X84" s="177"/>
      <c r="Y84" s="177"/>
      <c r="Z84" s="177"/>
    </row>
    <row r="85" ht="12.75" customHeight="1">
      <c r="A85" s="15"/>
      <c r="B85" s="322"/>
      <c r="C85" s="344" t="s">
        <v>140</v>
      </c>
      <c r="D85" s="345" t="s">
        <v>141</v>
      </c>
      <c r="E85" s="345" t="s">
        <v>142</v>
      </c>
      <c r="F85" s="346" t="s">
        <v>143</v>
      </c>
      <c r="G85" s="347"/>
      <c r="H85" s="319"/>
      <c r="I85" s="320"/>
      <c r="J85" s="320"/>
      <c r="K85" s="320"/>
      <c r="L85" s="320"/>
      <c r="M85" s="320"/>
      <c r="N85" s="320"/>
      <c r="O85" s="321"/>
      <c r="P85" s="177"/>
      <c r="Q85" s="177"/>
      <c r="R85" s="177"/>
      <c r="S85" s="177"/>
      <c r="T85" s="177"/>
      <c r="U85" s="177"/>
      <c r="V85" s="177"/>
      <c r="W85" s="177"/>
      <c r="X85" s="177"/>
      <c r="Y85" s="177"/>
      <c r="Z85" s="177"/>
    </row>
    <row r="86" ht="13.5" customHeight="1">
      <c r="A86" s="15"/>
      <c r="B86" s="322"/>
      <c r="C86" s="348" t="s">
        <v>23</v>
      </c>
      <c r="D86" s="205"/>
      <c r="E86" s="205"/>
      <c r="F86" s="349"/>
      <c r="G86" s="350"/>
      <c r="H86" s="319"/>
      <c r="I86" s="320"/>
      <c r="J86" s="16"/>
      <c r="K86" s="16"/>
      <c r="L86" s="16"/>
      <c r="M86" s="16"/>
      <c r="N86" s="16"/>
      <c r="O86" s="61"/>
      <c r="P86" s="177"/>
      <c r="Q86" s="177"/>
      <c r="R86" s="177"/>
      <c r="S86" s="177"/>
      <c r="T86" s="177"/>
      <c r="U86" s="177"/>
      <c r="V86" s="177"/>
      <c r="W86" s="177"/>
      <c r="X86" s="177"/>
      <c r="Y86" s="177"/>
      <c r="Z86" s="177"/>
    </row>
    <row r="87" ht="13.5" customHeight="1">
      <c r="A87" s="15"/>
      <c r="B87" s="351"/>
      <c r="C87" s="352">
        <f t="array" ref="C87">'Cálculos'!B64</f>
        <v>60</v>
      </c>
      <c r="D87" s="353">
        <f t="array" ref="D87">AVERAGE('Cálculos'!C64:G64)</f>
        <v>59.97</v>
      </c>
      <c r="E87" s="353">
        <f t="array" ref="E87">D87-C87</f>
        <v>-0.03</v>
      </c>
      <c r="F87" s="354">
        <f t="array" ref="F87">'Cálculos'!O64</f>
        <v>0.05781914331</v>
      </c>
      <c r="G87" s="355"/>
      <c r="H87" s="319"/>
      <c r="I87" s="320"/>
      <c r="J87" s="16"/>
      <c r="K87" s="16"/>
      <c r="L87" s="16"/>
      <c r="M87" s="16"/>
      <c r="N87" s="16"/>
      <c r="O87" s="61"/>
      <c r="P87" s="177"/>
      <c r="Q87" s="177"/>
      <c r="R87" s="177"/>
      <c r="S87" s="177"/>
      <c r="T87" s="177"/>
      <c r="U87" s="177"/>
      <c r="V87" s="177"/>
      <c r="W87" s="177"/>
      <c r="X87" s="177"/>
      <c r="Y87" s="177"/>
      <c r="Z87" s="177"/>
    </row>
    <row r="88" ht="13.5" customHeight="1">
      <c r="A88" s="15"/>
      <c r="B88" s="351"/>
      <c r="C88" s="352">
        <f t="array" ref="C88">'Cálculos'!B65</f>
        <v>150</v>
      </c>
      <c r="D88" s="353">
        <f t="array" ref="D88">AVERAGE('Cálculos'!C65:G65)</f>
        <v>149.9</v>
      </c>
      <c r="E88" s="353">
        <f t="array" ref="E88">D88-C88</f>
        <v>-0.1</v>
      </c>
      <c r="F88" s="354">
        <f t="array" ref="F88">'Cálculos'!O65</f>
        <v>0.05829808459</v>
      </c>
      <c r="G88" s="355"/>
      <c r="H88" s="319"/>
      <c r="I88" s="320"/>
      <c r="J88" s="16"/>
      <c r="K88" s="16"/>
      <c r="L88" s="16"/>
      <c r="M88" s="16"/>
      <c r="N88" s="16"/>
      <c r="O88" s="61"/>
      <c r="P88" s="177"/>
      <c r="Q88" s="177"/>
      <c r="R88" s="177"/>
      <c r="S88" s="177"/>
      <c r="T88" s="177"/>
      <c r="U88" s="177"/>
      <c r="V88" s="177"/>
      <c r="W88" s="177"/>
      <c r="X88" s="177"/>
      <c r="Y88" s="177"/>
      <c r="Z88" s="177"/>
    </row>
    <row r="89" ht="13.5" customHeight="1">
      <c r="A89" s="15"/>
      <c r="B89" s="351"/>
      <c r="C89" s="352">
        <f t="array" ref="C89">'Cálculos'!B66</f>
        <v>300</v>
      </c>
      <c r="D89" s="353">
        <f t="array" ref="D89">AVERAGE('Cálculos'!C66:G66)</f>
        <v>299.8</v>
      </c>
      <c r="E89" s="353">
        <f t="array" ref="E89">D89-C89</f>
        <v>-0.2</v>
      </c>
      <c r="F89" s="354">
        <f t="array" ref="F89">'Cálculos'!O66</f>
        <v>0.05829808459</v>
      </c>
      <c r="G89" s="355"/>
      <c r="H89" s="319"/>
      <c r="I89" s="320"/>
      <c r="J89" s="16"/>
      <c r="K89" s="16"/>
      <c r="L89" s="16"/>
      <c r="M89" s="16"/>
      <c r="N89" s="16"/>
      <c r="O89" s="61"/>
      <c r="P89" s="177"/>
      <c r="Q89" s="177"/>
      <c r="R89" s="177"/>
      <c r="S89" s="177"/>
      <c r="T89" s="177"/>
      <c r="U89" s="177"/>
      <c r="V89" s="177"/>
      <c r="W89" s="177"/>
      <c r="X89" s="177"/>
      <c r="Y89" s="177"/>
      <c r="Z89" s="177"/>
    </row>
    <row r="90" ht="13.5" customHeight="1">
      <c r="A90" s="15"/>
      <c r="B90" s="351"/>
      <c r="C90" s="352">
        <f t="array" ref="C90">'Cálculos'!B67</f>
        <v>450</v>
      </c>
      <c r="D90" s="353">
        <f t="array" ref="D90">AVERAGE('Cálculos'!C67:G67)</f>
        <v>449.7</v>
      </c>
      <c r="E90" s="353">
        <f t="array" ref="E90">D90-C90</f>
        <v>-0.3</v>
      </c>
      <c r="F90" s="354">
        <f t="array" ref="F90">'Cálculos'!O67</f>
        <v>0.05829808459</v>
      </c>
      <c r="G90" s="355"/>
      <c r="H90" s="319"/>
      <c r="I90" s="320"/>
      <c r="J90" s="16"/>
      <c r="K90" s="16"/>
      <c r="L90" s="16"/>
      <c r="M90" s="16"/>
      <c r="N90" s="16"/>
      <c r="O90" s="61"/>
      <c r="P90" s="177"/>
      <c r="Q90" s="177"/>
      <c r="R90" s="177"/>
      <c r="S90" s="177"/>
      <c r="T90" s="177"/>
      <c r="U90" s="177"/>
      <c r="V90" s="177"/>
      <c r="W90" s="177"/>
      <c r="X90" s="177"/>
      <c r="Y90" s="177"/>
      <c r="Z90" s="177"/>
    </row>
    <row r="91" ht="14.25" customHeight="1">
      <c r="A91" s="15"/>
      <c r="B91" s="351"/>
      <c r="C91" s="356">
        <f t="array" ref="C91">'Cálculos'!B68</f>
        <v>540</v>
      </c>
      <c r="D91" s="357">
        <f t="array" ref="D91">AVERAGE('Cálculos'!C68:G68)</f>
        <v>539.7</v>
      </c>
      <c r="E91" s="357">
        <f t="array" ref="E91">D91-C91</f>
        <v>-0.3</v>
      </c>
      <c r="F91" s="358">
        <f t="array" ref="F91">'Cálculos'!O68</f>
        <v>0.05829808459</v>
      </c>
      <c r="G91" s="359"/>
      <c r="H91" s="319"/>
      <c r="I91" s="320"/>
      <c r="J91" s="16"/>
      <c r="K91" s="16"/>
      <c r="L91" s="16"/>
      <c r="M91" s="16"/>
      <c r="N91" s="16"/>
      <c r="O91" s="61"/>
      <c r="P91" s="177"/>
      <c r="Q91" s="177"/>
      <c r="R91" s="177"/>
      <c r="S91" s="177"/>
      <c r="T91" s="177"/>
      <c r="U91" s="177"/>
      <c r="V91" s="177"/>
      <c r="W91" s="177"/>
      <c r="X91" s="177"/>
      <c r="Y91" s="177"/>
      <c r="Z91" s="177"/>
    </row>
    <row r="92" ht="13.5" customHeight="1">
      <c r="A92" s="15"/>
      <c r="B92" s="360"/>
      <c r="C92" s="361"/>
      <c r="D92" s="361"/>
      <c r="E92" s="361"/>
      <c r="F92" s="361"/>
      <c r="G92" s="362"/>
      <c r="H92" s="320"/>
      <c r="I92" s="320"/>
      <c r="J92" s="16"/>
      <c r="K92" s="16"/>
      <c r="L92" s="16"/>
      <c r="M92" s="16"/>
      <c r="N92" s="16"/>
      <c r="O92" s="61"/>
      <c r="P92" s="177"/>
      <c r="Q92" s="177"/>
      <c r="R92" s="177"/>
      <c r="S92" s="177"/>
      <c r="T92" s="177"/>
      <c r="U92" s="177"/>
      <c r="V92" s="177"/>
      <c r="W92" s="177"/>
      <c r="X92" s="177"/>
      <c r="Y92" s="177"/>
      <c r="Z92" s="177"/>
    </row>
    <row r="93" ht="14.25" customHeight="1">
      <c r="A93" s="15"/>
      <c r="B93" s="360"/>
      <c r="C93" s="363"/>
      <c r="D93" s="357"/>
      <c r="E93" s="357"/>
      <c r="F93" s="364"/>
      <c r="G93" s="365"/>
      <c r="H93" s="320"/>
      <c r="I93" s="320"/>
      <c r="J93" s="16"/>
      <c r="K93" s="16"/>
      <c r="L93" s="16"/>
      <c r="M93" s="16"/>
      <c r="N93" s="16"/>
      <c r="O93" s="61"/>
      <c r="P93" s="177"/>
      <c r="Q93" s="177"/>
      <c r="R93" s="177"/>
      <c r="S93" s="177"/>
      <c r="T93" s="177"/>
      <c r="U93" s="177"/>
      <c r="V93" s="177"/>
      <c r="W93" s="177"/>
      <c r="X93" s="177"/>
      <c r="Y93" s="177"/>
      <c r="Z93" s="177"/>
    </row>
    <row r="94" ht="15.0" customHeight="1">
      <c r="A94" s="15"/>
      <c r="B94" s="351"/>
      <c r="C94" s="315" t="s">
        <v>135</v>
      </c>
      <c r="D94" s="316" t="str">
        <f t="array" ref="D94">'Cálculos'!B70</f>
        <v>TENSION ELECTRICA ALTERNA (60 Hz)</v>
      </c>
      <c r="E94" s="317"/>
      <c r="F94" s="317"/>
      <c r="G94" s="318"/>
      <c r="H94" s="319"/>
      <c r="I94" s="320"/>
      <c r="J94" s="320"/>
      <c r="K94" s="320"/>
      <c r="L94" s="16"/>
      <c r="M94" s="16"/>
      <c r="N94" s="16"/>
      <c r="O94" s="61"/>
      <c r="P94" s="177"/>
      <c r="Q94" s="177"/>
      <c r="R94" s="177"/>
      <c r="S94" s="177"/>
      <c r="T94" s="177"/>
      <c r="U94" s="177"/>
      <c r="V94" s="177"/>
      <c r="W94" s="177"/>
      <c r="X94" s="177"/>
      <c r="Y94" s="177"/>
      <c r="Z94" s="177"/>
    </row>
    <row r="95" ht="13.5" customHeight="1">
      <c r="A95" s="15"/>
      <c r="B95" s="351"/>
      <c r="C95" s="323"/>
      <c r="D95" s="324"/>
      <c r="E95" s="325"/>
      <c r="F95" s="326"/>
      <c r="G95" s="327" t="s">
        <v>136</v>
      </c>
      <c r="H95" s="319"/>
      <c r="I95" s="320"/>
      <c r="J95" s="320"/>
      <c r="K95" s="320"/>
      <c r="L95" s="16"/>
      <c r="M95" s="16"/>
      <c r="N95" s="16"/>
      <c r="O95" s="61"/>
      <c r="P95" s="177"/>
      <c r="Q95" s="177"/>
      <c r="R95" s="177"/>
      <c r="S95" s="177"/>
      <c r="T95" s="177"/>
      <c r="U95" s="177"/>
      <c r="V95" s="177"/>
      <c r="W95" s="177"/>
      <c r="X95" s="177"/>
      <c r="Y95" s="177"/>
      <c r="Z95" s="177"/>
    </row>
    <row r="96" ht="13.5" customHeight="1">
      <c r="A96" s="15"/>
      <c r="B96" s="351"/>
      <c r="C96" s="328" t="s">
        <v>137</v>
      </c>
      <c r="D96" s="329">
        <f t="array" ref="D96">'Cálculos'!C71</f>
        <v>0</v>
      </c>
      <c r="E96" s="330" t="s">
        <v>138</v>
      </c>
      <c r="F96" s="331">
        <f t="array" ref="F96">'Cálculos'!E71</f>
        <v>600</v>
      </c>
      <c r="G96" s="332" t="str">
        <f t="array" ref="G96">'Cálculos'!C73</f>
        <v>mV</v>
      </c>
      <c r="H96" s="319"/>
      <c r="I96" s="320"/>
      <c r="J96" s="320"/>
      <c r="K96" s="320"/>
      <c r="L96" s="16"/>
      <c r="M96" s="16"/>
      <c r="N96" s="16"/>
      <c r="O96" s="61"/>
      <c r="P96" s="177"/>
      <c r="Q96" s="177"/>
      <c r="R96" s="177"/>
      <c r="S96" s="177"/>
      <c r="T96" s="177"/>
      <c r="U96" s="177"/>
      <c r="V96" s="177"/>
      <c r="W96" s="177"/>
      <c r="X96" s="177"/>
      <c r="Y96" s="177"/>
      <c r="Z96" s="177"/>
    </row>
    <row r="97" ht="12.75" customHeight="1">
      <c r="A97" s="15"/>
      <c r="B97" s="351"/>
      <c r="C97" s="323"/>
      <c r="D97" s="333"/>
      <c r="E97" s="334"/>
      <c r="F97" s="335"/>
      <c r="G97" s="336"/>
      <c r="H97" s="319"/>
      <c r="I97" s="320"/>
      <c r="J97" s="320"/>
      <c r="K97" s="320"/>
      <c r="L97" s="16"/>
      <c r="M97" s="16"/>
      <c r="N97" s="16"/>
      <c r="O97" s="61"/>
      <c r="P97" s="177"/>
      <c r="Q97" s="177"/>
      <c r="R97" s="177"/>
      <c r="S97" s="177"/>
      <c r="T97" s="177"/>
      <c r="U97" s="177"/>
      <c r="V97" s="177"/>
      <c r="W97" s="177"/>
      <c r="X97" s="177"/>
      <c r="Y97" s="177"/>
      <c r="Z97" s="177"/>
    </row>
    <row r="98" ht="13.5" customHeight="1">
      <c r="A98" s="15"/>
      <c r="B98" s="351"/>
      <c r="C98" s="337" t="s">
        <v>139</v>
      </c>
      <c r="D98" s="331">
        <f t="array" ref="D98">'Cálculos'!C72</f>
        <v>0.1</v>
      </c>
      <c r="E98" s="338"/>
      <c r="F98" s="339"/>
      <c r="G98" s="340"/>
      <c r="H98" s="319"/>
      <c r="I98" s="320"/>
      <c r="J98" s="320"/>
      <c r="K98" s="320"/>
      <c r="L98" s="16"/>
      <c r="M98" s="16"/>
      <c r="N98" s="16"/>
      <c r="O98" s="61"/>
      <c r="P98" s="177"/>
      <c r="Q98" s="177"/>
      <c r="R98" s="177"/>
      <c r="S98" s="177"/>
      <c r="T98" s="177"/>
      <c r="U98" s="177"/>
      <c r="V98" s="177"/>
      <c r="W98" s="177"/>
      <c r="X98" s="177"/>
      <c r="Y98" s="177"/>
      <c r="Z98" s="177"/>
    </row>
    <row r="99" ht="13.5" customHeight="1">
      <c r="A99" s="15"/>
      <c r="B99" s="351"/>
      <c r="C99" s="83"/>
      <c r="D99" s="335"/>
      <c r="E99" s="341"/>
      <c r="F99" s="342"/>
      <c r="G99" s="343"/>
      <c r="H99" s="319"/>
      <c r="I99" s="320"/>
      <c r="J99" s="320"/>
      <c r="K99" s="320"/>
      <c r="L99" s="16"/>
      <c r="M99" s="16"/>
      <c r="N99" s="16"/>
      <c r="O99" s="61"/>
      <c r="P99" s="177"/>
      <c r="Q99" s="177"/>
      <c r="R99" s="177"/>
      <c r="S99" s="177"/>
      <c r="T99" s="177"/>
      <c r="U99" s="177"/>
      <c r="V99" s="177"/>
      <c r="W99" s="177"/>
      <c r="X99" s="177"/>
      <c r="Y99" s="177"/>
      <c r="Z99" s="177"/>
    </row>
    <row r="100" ht="12.75" customHeight="1">
      <c r="A100" s="15"/>
      <c r="B100" s="322"/>
      <c r="C100" s="344" t="s">
        <v>140</v>
      </c>
      <c r="D100" s="345" t="s">
        <v>141</v>
      </c>
      <c r="E100" s="345" t="s">
        <v>142</v>
      </c>
      <c r="F100" s="346" t="s">
        <v>143</v>
      </c>
      <c r="G100" s="347"/>
      <c r="H100" s="319"/>
      <c r="I100" s="320"/>
      <c r="J100" s="320"/>
      <c r="K100" s="320"/>
      <c r="L100" s="320"/>
      <c r="M100" s="320"/>
      <c r="N100" s="320"/>
      <c r="O100" s="321"/>
      <c r="P100" s="177"/>
      <c r="Q100" s="177"/>
      <c r="R100" s="177"/>
      <c r="S100" s="177"/>
      <c r="T100" s="177"/>
      <c r="U100" s="177"/>
      <c r="V100" s="177"/>
      <c r="W100" s="177"/>
      <c r="X100" s="177"/>
      <c r="Y100" s="177"/>
      <c r="Z100" s="177"/>
    </row>
    <row r="101" ht="13.5" customHeight="1">
      <c r="A101" s="15"/>
      <c r="B101" s="322"/>
      <c r="C101" s="348" t="s">
        <v>23</v>
      </c>
      <c r="D101" s="205"/>
      <c r="E101" s="205"/>
      <c r="F101" s="349"/>
      <c r="G101" s="350"/>
      <c r="H101" s="319"/>
      <c r="I101" s="320"/>
      <c r="J101" s="16"/>
      <c r="K101" s="16"/>
      <c r="L101" s="16"/>
      <c r="M101" s="16"/>
      <c r="N101" s="16"/>
      <c r="O101" s="61"/>
      <c r="P101" s="177"/>
      <c r="Q101" s="177"/>
      <c r="R101" s="177"/>
      <c r="S101" s="177"/>
      <c r="T101" s="177"/>
      <c r="U101" s="177"/>
      <c r="V101" s="177"/>
      <c r="W101" s="177"/>
      <c r="X101" s="177"/>
      <c r="Y101" s="177"/>
      <c r="Z101" s="177"/>
    </row>
    <row r="102" ht="13.5" customHeight="1">
      <c r="A102" s="15"/>
      <c r="B102" s="351"/>
      <c r="C102" s="352">
        <f t="array" ref="C102">'Cálculos'!B79</f>
        <v>60</v>
      </c>
      <c r="D102" s="353">
        <f t="array" ref="D102">AVERAGE('Cálculos'!C79:G79)</f>
        <v>59.9</v>
      </c>
      <c r="E102" s="353">
        <f t="array" ref="E102">D102-C102</f>
        <v>-0.1</v>
      </c>
      <c r="F102" s="367">
        <f t="array" ref="F102">'Cálculos'!O79</f>
        <v>0.0584693652</v>
      </c>
      <c r="G102" s="355"/>
      <c r="H102" s="319"/>
      <c r="I102" s="320"/>
      <c r="J102" s="16"/>
      <c r="K102" s="16"/>
      <c r="L102" s="16"/>
      <c r="M102" s="16"/>
      <c r="N102" s="16"/>
      <c r="O102" s="61"/>
      <c r="P102" s="177"/>
      <c r="Q102" s="177"/>
      <c r="R102" s="177"/>
      <c r="S102" s="177"/>
      <c r="T102" s="177"/>
      <c r="U102" s="177"/>
      <c r="V102" s="177"/>
      <c r="W102" s="177"/>
      <c r="X102" s="177"/>
      <c r="Y102" s="177"/>
      <c r="Z102" s="177"/>
    </row>
    <row r="103" ht="13.5" customHeight="1">
      <c r="A103" s="15"/>
      <c r="B103" s="351"/>
      <c r="C103" s="352">
        <f t="array" ref="C103">'Cálculos'!B80</f>
        <v>150</v>
      </c>
      <c r="D103" s="353">
        <f t="array" ref="D103">AVERAGE('Cálculos'!C80:G80)</f>
        <v>149.8</v>
      </c>
      <c r="E103" s="353">
        <f t="array" ref="E103">D103-C103</f>
        <v>-0.2</v>
      </c>
      <c r="F103" s="367">
        <f t="array" ref="F103">'Cálculos'!O80</f>
        <v>0.0584693652</v>
      </c>
      <c r="G103" s="355"/>
      <c r="H103" s="319"/>
      <c r="I103" s="320"/>
      <c r="J103" s="16"/>
      <c r="K103" s="16"/>
      <c r="L103" s="16"/>
      <c r="M103" s="16"/>
      <c r="N103" s="16"/>
      <c r="O103" s="61"/>
      <c r="P103" s="177"/>
      <c r="Q103" s="177"/>
      <c r="R103" s="177"/>
      <c r="S103" s="177"/>
      <c r="T103" s="177"/>
      <c r="U103" s="177"/>
      <c r="V103" s="177"/>
      <c r="W103" s="177"/>
      <c r="X103" s="177"/>
      <c r="Y103" s="177"/>
      <c r="Z103" s="177"/>
    </row>
    <row r="104" ht="13.5" customHeight="1">
      <c r="A104" s="15"/>
      <c r="B104" s="351"/>
      <c r="C104" s="352">
        <f t="array" ref="C104">'Cálculos'!B81</f>
        <v>300</v>
      </c>
      <c r="D104" s="353">
        <f t="array" ref="D104">AVERAGE('Cálculos'!C81:G81)</f>
        <v>300</v>
      </c>
      <c r="E104" s="353">
        <f t="array" ref="E104">D104-C104</f>
        <v>0</v>
      </c>
      <c r="F104" s="367">
        <f t="array" ref="F104">'Cálculos'!O81</f>
        <v>0.0584693652</v>
      </c>
      <c r="G104" s="355"/>
      <c r="H104" s="319"/>
      <c r="I104" s="320"/>
      <c r="J104" s="16"/>
      <c r="K104" s="16"/>
      <c r="L104" s="16"/>
      <c r="M104" s="16"/>
      <c r="N104" s="16"/>
      <c r="O104" s="61"/>
      <c r="P104" s="177"/>
      <c r="Q104" s="177"/>
      <c r="R104" s="177"/>
      <c r="S104" s="177"/>
      <c r="T104" s="177"/>
      <c r="U104" s="177"/>
      <c r="V104" s="177"/>
      <c r="W104" s="177"/>
      <c r="X104" s="177"/>
      <c r="Y104" s="177"/>
      <c r="Z104" s="177"/>
    </row>
    <row r="105" ht="13.5" customHeight="1">
      <c r="A105" s="15"/>
      <c r="B105" s="351"/>
      <c r="C105" s="352">
        <f t="array" ref="C105">'Cálculos'!B82</f>
        <v>450</v>
      </c>
      <c r="D105" s="353">
        <f t="array" ref="D105">AVERAGE('Cálculos'!C82:G82)</f>
        <v>450</v>
      </c>
      <c r="E105" s="353">
        <f t="array" ref="E105">D105-C105</f>
        <v>0</v>
      </c>
      <c r="F105" s="367">
        <f t="array" ref="F105">'Cálculos'!O82</f>
        <v>0.0584693652</v>
      </c>
      <c r="G105" s="355"/>
      <c r="H105" s="319"/>
      <c r="I105" s="320"/>
      <c r="J105" s="16"/>
      <c r="K105" s="16"/>
      <c r="L105" s="16"/>
      <c r="M105" s="16"/>
      <c r="N105" s="16"/>
      <c r="O105" s="61"/>
      <c r="P105" s="177"/>
      <c r="Q105" s="177"/>
      <c r="R105" s="177"/>
      <c r="S105" s="177"/>
      <c r="T105" s="177"/>
      <c r="U105" s="177"/>
      <c r="V105" s="177"/>
      <c r="W105" s="177"/>
      <c r="X105" s="177"/>
      <c r="Y105" s="177"/>
      <c r="Z105" s="177"/>
    </row>
    <row r="106" ht="14.25" customHeight="1">
      <c r="A106" s="15"/>
      <c r="B106" s="351"/>
      <c r="C106" s="356">
        <f t="array" ref="C106">'Cálculos'!B83</f>
        <v>540</v>
      </c>
      <c r="D106" s="357">
        <f t="array" ref="D106">AVERAGE('Cálculos'!C83:G83)</f>
        <v>540.1</v>
      </c>
      <c r="E106" s="357">
        <f t="array" ref="E106">D106-C106</f>
        <v>0.1</v>
      </c>
      <c r="F106" s="370">
        <f t="array" ref="F106">'Cálculos'!O83</f>
        <v>0.0584693652</v>
      </c>
      <c r="G106" s="359"/>
      <c r="H106" s="319"/>
      <c r="I106" s="320"/>
      <c r="J106" s="16"/>
      <c r="K106" s="16"/>
      <c r="L106" s="16"/>
      <c r="M106" s="16"/>
      <c r="N106" s="16"/>
      <c r="O106" s="61"/>
      <c r="P106" s="177"/>
      <c r="Q106" s="177"/>
      <c r="R106" s="177"/>
      <c r="S106" s="177"/>
      <c r="T106" s="177"/>
      <c r="U106" s="177"/>
      <c r="V106" s="177"/>
      <c r="W106" s="177"/>
      <c r="X106" s="177"/>
      <c r="Y106" s="177"/>
      <c r="Z106" s="177"/>
    </row>
    <row r="107" ht="13.5" customHeight="1">
      <c r="A107" s="15"/>
      <c r="B107" s="360"/>
      <c r="C107" s="361"/>
      <c r="D107" s="361"/>
      <c r="E107" s="361"/>
      <c r="F107" s="361"/>
      <c r="G107" s="362"/>
      <c r="H107" s="320"/>
      <c r="I107" s="320"/>
      <c r="J107" s="16"/>
      <c r="K107" s="16"/>
      <c r="L107" s="16"/>
      <c r="M107" s="16"/>
      <c r="N107" s="16"/>
      <c r="O107" s="61"/>
      <c r="P107" s="177"/>
      <c r="Q107" s="177"/>
      <c r="R107" s="177"/>
      <c r="S107" s="177"/>
      <c r="T107" s="177"/>
      <c r="U107" s="177"/>
      <c r="V107" s="177"/>
      <c r="W107" s="177"/>
      <c r="X107" s="177"/>
      <c r="Y107" s="177"/>
      <c r="Z107" s="177"/>
    </row>
    <row r="108" ht="14.25" customHeight="1">
      <c r="A108" s="15"/>
      <c r="B108" s="360"/>
      <c r="C108" s="364"/>
      <c r="D108" s="364"/>
      <c r="E108" s="364"/>
      <c r="F108" s="364"/>
      <c r="G108" s="365"/>
      <c r="H108" s="320"/>
      <c r="I108" s="320"/>
      <c r="J108" s="16"/>
      <c r="K108" s="16"/>
      <c r="L108" s="16"/>
      <c r="M108" s="16"/>
      <c r="N108" s="16"/>
      <c r="O108" s="61"/>
      <c r="P108" s="177"/>
      <c r="Q108" s="177"/>
      <c r="R108" s="177"/>
      <c r="S108" s="177"/>
      <c r="T108" s="177"/>
      <c r="U108" s="177"/>
      <c r="V108" s="177"/>
      <c r="W108" s="177"/>
      <c r="X108" s="177"/>
      <c r="Y108" s="177"/>
      <c r="Z108" s="177"/>
    </row>
    <row r="109" ht="15.0" customHeight="1">
      <c r="A109" s="15"/>
      <c r="B109" s="351"/>
      <c r="C109" s="315" t="s">
        <v>135</v>
      </c>
      <c r="D109" s="316" t="str">
        <f t="array" ref="D109">'Cálculos'!B85</f>
        <v>TENSION ELECTRICA ALTERNA (60 Hz)</v>
      </c>
      <c r="E109" s="317"/>
      <c r="F109" s="317"/>
      <c r="G109" s="318"/>
      <c r="H109" s="319"/>
      <c r="I109" s="320"/>
      <c r="J109" s="320"/>
      <c r="K109" s="320"/>
      <c r="L109" s="16"/>
      <c r="M109" s="16"/>
      <c r="N109" s="16"/>
      <c r="O109" s="61"/>
      <c r="P109" s="177"/>
      <c r="Q109" s="177"/>
      <c r="R109" s="177"/>
      <c r="S109" s="177"/>
      <c r="T109" s="177"/>
      <c r="U109" s="177"/>
      <c r="V109" s="177"/>
      <c r="W109" s="177"/>
      <c r="X109" s="177"/>
      <c r="Y109" s="177"/>
      <c r="Z109" s="177"/>
    </row>
    <row r="110" ht="13.5" customHeight="1">
      <c r="A110" s="15"/>
      <c r="B110" s="351"/>
      <c r="C110" s="323"/>
      <c r="D110" s="324"/>
      <c r="E110" s="325"/>
      <c r="F110" s="326"/>
      <c r="G110" s="327" t="s">
        <v>136</v>
      </c>
      <c r="H110" s="319"/>
      <c r="I110" s="320"/>
      <c r="J110" s="320"/>
      <c r="K110" s="320"/>
      <c r="L110" s="16"/>
      <c r="M110" s="16"/>
      <c r="N110" s="16"/>
      <c r="O110" s="61"/>
      <c r="P110" s="177"/>
      <c r="Q110" s="177"/>
      <c r="R110" s="177"/>
      <c r="S110" s="177"/>
      <c r="T110" s="177"/>
      <c r="U110" s="177"/>
      <c r="V110" s="177"/>
      <c r="W110" s="177"/>
      <c r="X110" s="177"/>
      <c r="Y110" s="177"/>
      <c r="Z110" s="177"/>
    </row>
    <row r="111" ht="13.5" customHeight="1">
      <c r="A111" s="15"/>
      <c r="B111" s="351"/>
      <c r="C111" s="328" t="s">
        <v>137</v>
      </c>
      <c r="D111" s="329">
        <f t="array" ref="D111">'Cálculos'!C86</f>
        <v>0</v>
      </c>
      <c r="E111" s="330" t="s">
        <v>138</v>
      </c>
      <c r="F111" s="331">
        <f t="array" ref="F111">'Cálculos'!E86</f>
        <v>6</v>
      </c>
      <c r="G111" s="332" t="str">
        <f t="array" ref="G111">'Cálculos'!C88</f>
        <v>V</v>
      </c>
      <c r="H111" s="319"/>
      <c r="I111" s="320"/>
      <c r="J111" s="320"/>
      <c r="K111" s="320"/>
      <c r="L111" s="16"/>
      <c r="M111" s="16"/>
      <c r="N111" s="16"/>
      <c r="O111" s="61"/>
      <c r="P111" s="177"/>
      <c r="Q111" s="177"/>
      <c r="R111" s="177"/>
      <c r="S111" s="177"/>
      <c r="T111" s="177"/>
      <c r="U111" s="177"/>
      <c r="V111" s="177"/>
      <c r="W111" s="177"/>
      <c r="X111" s="177"/>
      <c r="Y111" s="177"/>
      <c r="Z111" s="177"/>
    </row>
    <row r="112" ht="12.75" customHeight="1">
      <c r="A112" s="15"/>
      <c r="B112" s="351"/>
      <c r="C112" s="323"/>
      <c r="D112" s="333"/>
      <c r="E112" s="334"/>
      <c r="F112" s="335"/>
      <c r="G112" s="336"/>
      <c r="H112" s="319"/>
      <c r="I112" s="320"/>
      <c r="J112" s="320"/>
      <c r="K112" s="320"/>
      <c r="L112" s="16"/>
      <c r="M112" s="16"/>
      <c r="N112" s="16"/>
      <c r="O112" s="61"/>
      <c r="P112" s="177"/>
      <c r="Q112" s="177"/>
      <c r="R112" s="177"/>
      <c r="S112" s="177"/>
      <c r="T112" s="177"/>
      <c r="U112" s="177"/>
      <c r="V112" s="177"/>
      <c r="W112" s="177"/>
      <c r="X112" s="177"/>
      <c r="Y112" s="177"/>
      <c r="Z112" s="177"/>
    </row>
    <row r="113" ht="13.5" customHeight="1">
      <c r="A113" s="15"/>
      <c r="B113" s="351"/>
      <c r="C113" s="337" t="s">
        <v>139</v>
      </c>
      <c r="D113" s="331">
        <f t="array" ref="D113">'Cálculos'!C87</f>
        <v>0.001</v>
      </c>
      <c r="E113" s="338"/>
      <c r="F113" s="339"/>
      <c r="G113" s="340"/>
      <c r="H113" s="319"/>
      <c r="I113" s="320"/>
      <c r="J113" s="320"/>
      <c r="K113" s="320"/>
      <c r="L113" s="16"/>
      <c r="M113" s="16"/>
      <c r="N113" s="16"/>
      <c r="O113" s="61"/>
      <c r="P113" s="177"/>
      <c r="Q113" s="177"/>
      <c r="R113" s="177"/>
      <c r="S113" s="177"/>
      <c r="T113" s="177"/>
      <c r="U113" s="177"/>
      <c r="V113" s="177"/>
      <c r="W113" s="177"/>
      <c r="X113" s="177"/>
      <c r="Y113" s="177"/>
      <c r="Z113" s="177"/>
    </row>
    <row r="114" ht="13.5" customHeight="1">
      <c r="A114" s="15"/>
      <c r="B114" s="351"/>
      <c r="C114" s="83"/>
      <c r="D114" s="335"/>
      <c r="E114" s="341"/>
      <c r="F114" s="342"/>
      <c r="G114" s="343"/>
      <c r="H114" s="319"/>
      <c r="I114" s="320"/>
      <c r="J114" s="320"/>
      <c r="K114" s="320"/>
      <c r="L114" s="16"/>
      <c r="M114" s="16"/>
      <c r="N114" s="16"/>
      <c r="O114" s="61"/>
      <c r="P114" s="177"/>
      <c r="Q114" s="177"/>
      <c r="R114" s="177"/>
      <c r="S114" s="177"/>
      <c r="T114" s="177"/>
      <c r="U114" s="177"/>
      <c r="V114" s="177"/>
      <c r="W114" s="177"/>
      <c r="X114" s="177"/>
      <c r="Y114" s="177"/>
      <c r="Z114" s="177"/>
    </row>
    <row r="115" ht="12.75" customHeight="1">
      <c r="A115" s="15"/>
      <c r="B115" s="322"/>
      <c r="C115" s="344" t="s">
        <v>140</v>
      </c>
      <c r="D115" s="345" t="s">
        <v>141</v>
      </c>
      <c r="E115" s="345" t="s">
        <v>142</v>
      </c>
      <c r="F115" s="346" t="s">
        <v>143</v>
      </c>
      <c r="G115" s="347"/>
      <c r="H115" s="319"/>
      <c r="I115" s="320"/>
      <c r="J115" s="320"/>
      <c r="K115" s="320"/>
      <c r="L115" s="320"/>
      <c r="M115" s="320"/>
      <c r="N115" s="320"/>
      <c r="O115" s="321"/>
      <c r="P115" s="177"/>
      <c r="Q115" s="177"/>
      <c r="R115" s="177"/>
      <c r="S115" s="177"/>
      <c r="T115" s="177"/>
      <c r="U115" s="177"/>
      <c r="V115" s="177"/>
      <c r="W115" s="177"/>
      <c r="X115" s="177"/>
      <c r="Y115" s="177"/>
      <c r="Z115" s="177"/>
    </row>
    <row r="116" ht="13.5" customHeight="1">
      <c r="A116" s="15"/>
      <c r="B116" s="322"/>
      <c r="C116" s="348" t="s">
        <v>23</v>
      </c>
      <c r="D116" s="205"/>
      <c r="E116" s="205"/>
      <c r="F116" s="349"/>
      <c r="G116" s="350"/>
      <c r="H116" s="319"/>
      <c r="I116" s="320"/>
      <c r="J116" s="16"/>
      <c r="K116" s="16"/>
      <c r="L116" s="16"/>
      <c r="M116" s="16"/>
      <c r="N116" s="16"/>
      <c r="O116" s="61"/>
      <c r="P116" s="177"/>
      <c r="Q116" s="177"/>
      <c r="R116" s="177"/>
      <c r="S116" s="177"/>
      <c r="T116" s="177"/>
      <c r="U116" s="177"/>
      <c r="V116" s="177"/>
      <c r="W116" s="177"/>
      <c r="X116" s="177"/>
      <c r="Y116" s="177"/>
      <c r="Z116" s="177"/>
    </row>
    <row r="117" ht="13.5" customHeight="1">
      <c r="A117" s="15"/>
      <c r="B117" s="351"/>
      <c r="C117" s="366">
        <f t="array" ref="C117">'Cálculos'!B94</f>
        <v>0.6</v>
      </c>
      <c r="D117" s="367">
        <f t="array" ref="D117">AVERAGE('Cálculos'!C94:G94)</f>
        <v>0.5984</v>
      </c>
      <c r="E117" s="367">
        <f t="array" ref="E117">D117-C117</f>
        <v>-0.0016</v>
      </c>
      <c r="F117" s="368">
        <f t="array" ref="F117">'Cálculos'!O94</f>
        <v>0.004421136384</v>
      </c>
      <c r="G117" s="355"/>
      <c r="H117" s="319"/>
      <c r="I117" s="320"/>
      <c r="J117" s="16"/>
      <c r="K117" s="16"/>
      <c r="L117" s="16"/>
      <c r="M117" s="16"/>
      <c r="N117" s="16"/>
      <c r="O117" s="61"/>
      <c r="P117" s="177"/>
      <c r="Q117" s="177"/>
      <c r="R117" s="177"/>
      <c r="S117" s="177"/>
      <c r="T117" s="177"/>
      <c r="U117" s="177"/>
      <c r="V117" s="177"/>
      <c r="W117" s="177"/>
      <c r="X117" s="177"/>
      <c r="Y117" s="177"/>
      <c r="Z117" s="177"/>
    </row>
    <row r="118" ht="13.5" customHeight="1">
      <c r="A118" s="15"/>
      <c r="B118" s="351"/>
      <c r="C118" s="366">
        <f t="array" ref="C118">'Cálculos'!B95</f>
        <v>1.5</v>
      </c>
      <c r="D118" s="367">
        <f t="array" ref="D118">AVERAGE('Cálculos'!C95:G95)</f>
        <v>1.4968</v>
      </c>
      <c r="E118" s="367">
        <f t="array" ref="E118">D118-C118</f>
        <v>-0.0032</v>
      </c>
      <c r="F118" s="368">
        <f t="array" ref="F118">'Cálculos'!O95</f>
        <v>0.008594877075</v>
      </c>
      <c r="G118" s="355"/>
      <c r="H118" s="319"/>
      <c r="I118" s="320"/>
      <c r="J118" s="16"/>
      <c r="K118" s="16"/>
      <c r="L118" s="16"/>
      <c r="M118" s="16"/>
      <c r="N118" s="16"/>
      <c r="O118" s="61"/>
      <c r="P118" s="177"/>
      <c r="Q118" s="177"/>
      <c r="R118" s="177"/>
      <c r="S118" s="177"/>
      <c r="T118" s="177"/>
      <c r="U118" s="177"/>
      <c r="V118" s="177"/>
      <c r="W118" s="177"/>
      <c r="X118" s="177"/>
      <c r="Y118" s="177"/>
      <c r="Z118" s="177"/>
    </row>
    <row r="119" ht="13.5" customHeight="1">
      <c r="A119" s="15"/>
      <c r="B119" s="351"/>
      <c r="C119" s="366">
        <f t="array" ref="C119">'Cálculos'!B96</f>
        <v>3</v>
      </c>
      <c r="D119" s="367">
        <f t="array" ref="D119">AVERAGE('Cálculos'!C96:G96)</f>
        <v>2.9978</v>
      </c>
      <c r="E119" s="367">
        <f t="array" ref="E119">D119-C119</f>
        <v>-0.0022</v>
      </c>
      <c r="F119" s="368">
        <f t="array" ref="F119">'Cálculos'!O96</f>
        <v>0.008594877075</v>
      </c>
      <c r="G119" s="355"/>
      <c r="H119" s="319"/>
      <c r="I119" s="320"/>
      <c r="J119" s="16"/>
      <c r="K119" s="16"/>
      <c r="L119" s="16"/>
      <c r="M119" s="16"/>
      <c r="N119" s="16"/>
      <c r="O119" s="61"/>
      <c r="P119" s="177"/>
      <c r="Q119" s="177"/>
      <c r="R119" s="177"/>
      <c r="S119" s="177"/>
      <c r="T119" s="177"/>
      <c r="U119" s="177"/>
      <c r="V119" s="177"/>
      <c r="W119" s="177"/>
      <c r="X119" s="177"/>
      <c r="Y119" s="177"/>
      <c r="Z119" s="177"/>
    </row>
    <row r="120" ht="13.5" customHeight="1">
      <c r="A120" s="15"/>
      <c r="B120" s="351"/>
      <c r="C120" s="366">
        <f t="array" ref="C120">'Cálculos'!B97</f>
        <v>4.5</v>
      </c>
      <c r="D120" s="367">
        <f t="array" ref="D120">AVERAGE('Cálculos'!C97:G97)</f>
        <v>4.4952</v>
      </c>
      <c r="E120" s="367">
        <f t="array" ref="E120">D120-C120</f>
        <v>-0.0048</v>
      </c>
      <c r="F120" s="368">
        <f t="array" ref="F120">'Cálculos'!O97</f>
        <v>0.008594877075</v>
      </c>
      <c r="G120" s="355"/>
      <c r="H120" s="319"/>
      <c r="I120" s="320"/>
      <c r="J120" s="16"/>
      <c r="K120" s="16"/>
      <c r="L120" s="16"/>
      <c r="M120" s="16"/>
      <c r="N120" s="16"/>
      <c r="O120" s="61"/>
      <c r="P120" s="177"/>
      <c r="Q120" s="177"/>
      <c r="R120" s="177"/>
      <c r="S120" s="177"/>
      <c r="T120" s="177"/>
      <c r="U120" s="177"/>
      <c r="V120" s="177"/>
      <c r="W120" s="177"/>
      <c r="X120" s="177"/>
      <c r="Y120" s="177"/>
      <c r="Z120" s="177"/>
    </row>
    <row r="121" ht="14.25" customHeight="1">
      <c r="A121" s="15"/>
      <c r="B121" s="351"/>
      <c r="C121" s="369">
        <f t="array" ref="C121">'Cálculos'!B98</f>
        <v>5.4</v>
      </c>
      <c r="D121" s="370">
        <f t="array" ref="D121">AVERAGE('Cálculos'!C98:G98)</f>
        <v>5.3956</v>
      </c>
      <c r="E121" s="370">
        <f t="array" ref="E121">D121-C121</f>
        <v>-0.0044</v>
      </c>
      <c r="F121" s="371">
        <f t="array" ref="F121">'Cálculos'!O98</f>
        <v>0.00933886937</v>
      </c>
      <c r="G121" s="359"/>
      <c r="H121" s="319"/>
      <c r="I121" s="320"/>
      <c r="J121" s="16"/>
      <c r="K121" s="16"/>
      <c r="L121" s="16"/>
      <c r="M121" s="16"/>
      <c r="N121" s="16"/>
      <c r="O121" s="61"/>
      <c r="P121" s="177"/>
      <c r="Q121" s="177"/>
      <c r="R121" s="177"/>
      <c r="S121" s="177"/>
      <c r="T121" s="177"/>
      <c r="U121" s="177"/>
      <c r="V121" s="177"/>
      <c r="W121" s="177"/>
      <c r="X121" s="177"/>
      <c r="Y121" s="177"/>
      <c r="Z121" s="177"/>
    </row>
    <row r="122" ht="13.5" customHeight="1">
      <c r="A122" s="15"/>
      <c r="B122" s="360"/>
      <c r="C122" s="361"/>
      <c r="D122" s="361"/>
      <c r="E122" s="361"/>
      <c r="F122" s="361"/>
      <c r="G122" s="362"/>
      <c r="H122" s="320"/>
      <c r="I122" s="320"/>
      <c r="J122" s="16"/>
      <c r="K122" s="16"/>
      <c r="L122" s="16"/>
      <c r="M122" s="16"/>
      <c r="N122" s="16"/>
      <c r="O122" s="61"/>
      <c r="P122" s="177"/>
      <c r="Q122" s="177"/>
      <c r="R122" s="177"/>
      <c r="S122" s="177"/>
      <c r="T122" s="177"/>
      <c r="U122" s="177"/>
      <c r="V122" s="177"/>
      <c r="W122" s="177"/>
      <c r="X122" s="177"/>
      <c r="Y122" s="177"/>
      <c r="Z122" s="177"/>
    </row>
    <row r="123" ht="13.5" customHeight="1">
      <c r="A123" s="15"/>
      <c r="B123" s="360"/>
      <c r="C123" s="374"/>
      <c r="D123" s="374"/>
      <c r="E123" s="374"/>
      <c r="F123" s="374"/>
      <c r="G123" s="233"/>
      <c r="H123" s="320"/>
      <c r="I123" s="320"/>
      <c r="J123" s="16"/>
      <c r="K123" s="16"/>
      <c r="L123" s="16"/>
      <c r="M123" s="16"/>
      <c r="N123" s="16"/>
      <c r="O123" s="61"/>
      <c r="P123" s="177"/>
      <c r="Q123" s="177"/>
      <c r="R123" s="177"/>
      <c r="S123" s="177"/>
      <c r="T123" s="177"/>
      <c r="U123" s="177"/>
      <c r="V123" s="177"/>
      <c r="W123" s="177"/>
      <c r="X123" s="177"/>
      <c r="Y123" s="177"/>
      <c r="Z123" s="177"/>
    </row>
    <row r="124" ht="13.5" customHeight="1">
      <c r="A124" s="15"/>
      <c r="B124" s="360"/>
      <c r="C124" s="374"/>
      <c r="D124" s="374"/>
      <c r="E124" s="374"/>
      <c r="F124" s="374"/>
      <c r="G124" s="233"/>
      <c r="H124" s="320"/>
      <c r="I124" s="320"/>
      <c r="J124" s="16"/>
      <c r="K124" s="16"/>
      <c r="L124" s="16"/>
      <c r="M124" s="16"/>
      <c r="N124" s="16"/>
      <c r="O124" s="61"/>
      <c r="P124" s="177"/>
      <c r="Q124" s="177"/>
      <c r="R124" s="177"/>
      <c r="S124" s="177"/>
      <c r="T124" s="177"/>
      <c r="U124" s="177"/>
      <c r="V124" s="177"/>
      <c r="W124" s="177"/>
      <c r="X124" s="177"/>
      <c r="Y124" s="177"/>
      <c r="Z124" s="177"/>
    </row>
    <row r="125" ht="13.5" customHeight="1">
      <c r="A125" s="15"/>
      <c r="B125" s="360"/>
      <c r="C125" s="374"/>
      <c r="D125" s="374"/>
      <c r="E125" s="374"/>
      <c r="F125" s="374"/>
      <c r="G125" s="233"/>
      <c r="H125" s="320"/>
      <c r="I125" s="320"/>
      <c r="J125" s="16"/>
      <c r="K125" s="16"/>
      <c r="L125" s="16"/>
      <c r="M125" s="16"/>
      <c r="N125" s="16"/>
      <c r="O125" s="61"/>
      <c r="P125" s="177"/>
      <c r="Q125" s="177"/>
      <c r="R125" s="177"/>
      <c r="S125" s="177"/>
      <c r="T125" s="177"/>
      <c r="U125" s="177"/>
      <c r="V125" s="177"/>
      <c r="W125" s="177"/>
      <c r="X125" s="177"/>
      <c r="Y125" s="177"/>
      <c r="Z125" s="177"/>
    </row>
    <row r="126" ht="13.5" customHeight="1">
      <c r="A126" s="15"/>
      <c r="B126" s="360"/>
      <c r="C126" s="374"/>
      <c r="D126" s="374"/>
      <c r="E126" s="374"/>
      <c r="F126" s="374"/>
      <c r="G126" s="233"/>
      <c r="H126" s="320"/>
      <c r="I126" s="320"/>
      <c r="J126" s="16"/>
      <c r="K126" s="16"/>
      <c r="L126" s="16"/>
      <c r="M126" s="16"/>
      <c r="N126" s="16"/>
      <c r="O126" s="61"/>
      <c r="P126" s="177"/>
      <c r="Q126" s="177"/>
      <c r="R126" s="177"/>
      <c r="S126" s="177"/>
      <c r="T126" s="177"/>
      <c r="U126" s="177"/>
      <c r="V126" s="177"/>
      <c r="W126" s="177"/>
      <c r="X126" s="177"/>
      <c r="Y126" s="177"/>
      <c r="Z126" s="177"/>
    </row>
    <row r="127" ht="13.5" customHeight="1">
      <c r="A127" s="15"/>
      <c r="B127" s="360"/>
      <c r="C127" s="374"/>
      <c r="D127" s="374"/>
      <c r="E127" s="374"/>
      <c r="F127" s="374"/>
      <c r="G127" s="233"/>
      <c r="H127" s="320"/>
      <c r="I127" s="320"/>
      <c r="J127" s="16"/>
      <c r="K127" s="16"/>
      <c r="L127" s="16"/>
      <c r="M127" s="16"/>
      <c r="N127" s="16"/>
      <c r="O127" s="61"/>
      <c r="P127" s="177"/>
      <c r="Q127" s="177"/>
      <c r="R127" s="177"/>
      <c r="S127" s="177"/>
      <c r="T127" s="177"/>
      <c r="U127" s="177"/>
      <c r="V127" s="177"/>
      <c r="W127" s="177"/>
      <c r="X127" s="177"/>
      <c r="Y127" s="177"/>
      <c r="Z127" s="177"/>
    </row>
    <row r="128" ht="13.5" customHeight="1">
      <c r="A128" s="15"/>
      <c r="B128" s="360"/>
      <c r="C128" s="374"/>
      <c r="D128" s="374"/>
      <c r="E128" s="374"/>
      <c r="F128" s="374"/>
      <c r="G128" s="233"/>
      <c r="H128" s="320"/>
      <c r="I128" s="320"/>
      <c r="J128" s="16"/>
      <c r="K128" s="16"/>
      <c r="L128" s="16"/>
      <c r="M128" s="16"/>
      <c r="N128" s="16"/>
      <c r="O128" s="61"/>
      <c r="P128" s="177"/>
      <c r="Q128" s="177"/>
      <c r="R128" s="177"/>
      <c r="S128" s="177"/>
      <c r="T128" s="177"/>
      <c r="U128" s="177"/>
      <c r="V128" s="177"/>
      <c r="W128" s="177"/>
      <c r="X128" s="177"/>
      <c r="Y128" s="177"/>
      <c r="Z128" s="177"/>
    </row>
    <row r="129" ht="13.5" customHeight="1">
      <c r="A129" s="15"/>
      <c r="B129" s="360"/>
      <c r="C129" s="374"/>
      <c r="D129" s="374"/>
      <c r="E129" s="374"/>
      <c r="F129" s="374"/>
      <c r="G129" s="233"/>
      <c r="H129" s="320"/>
      <c r="I129" s="320"/>
      <c r="J129" s="16"/>
      <c r="K129" s="16"/>
      <c r="L129" s="16"/>
      <c r="M129" s="16"/>
      <c r="N129" s="16"/>
      <c r="O129" s="61"/>
      <c r="P129" s="177"/>
      <c r="Q129" s="177"/>
      <c r="R129" s="177"/>
      <c r="S129" s="177"/>
      <c r="T129" s="177"/>
      <c r="U129" s="177"/>
      <c r="V129" s="177"/>
      <c r="W129" s="177"/>
      <c r="X129" s="177"/>
      <c r="Y129" s="177"/>
      <c r="Z129" s="177"/>
    </row>
    <row r="130" ht="12.75" customHeight="1">
      <c r="A130" s="15"/>
      <c r="B130" s="16"/>
      <c r="C130" s="16"/>
      <c r="D130" s="16"/>
      <c r="E130" s="16"/>
      <c r="F130" s="16"/>
      <c r="G130" s="16"/>
      <c r="H130" s="16"/>
      <c r="I130" s="16"/>
      <c r="J130" s="16"/>
      <c r="K130" s="16"/>
      <c r="L130" s="16"/>
      <c r="M130" s="16"/>
      <c r="N130" s="16"/>
      <c r="O130" s="61"/>
      <c r="P130" s="177"/>
      <c r="Q130" s="177"/>
      <c r="R130" s="177"/>
      <c r="S130" s="177"/>
      <c r="T130" s="177"/>
      <c r="U130" s="177"/>
      <c r="V130" s="177"/>
      <c r="W130" s="177"/>
      <c r="X130" s="177"/>
      <c r="Y130" s="177"/>
      <c r="Z130" s="177"/>
    </row>
    <row r="131" ht="12.75" customHeight="1">
      <c r="A131" s="15"/>
      <c r="B131" s="16"/>
      <c r="C131" s="302"/>
      <c r="D131" s="16"/>
      <c r="E131" s="16"/>
      <c r="F131" s="16"/>
      <c r="G131" s="16"/>
      <c r="H131" s="16"/>
      <c r="I131" s="16"/>
      <c r="J131" s="16"/>
      <c r="K131" s="16"/>
      <c r="L131" s="16"/>
      <c r="M131" s="16"/>
      <c r="N131" s="16"/>
      <c r="O131" s="61"/>
      <c r="P131" s="177"/>
      <c r="Q131" s="177"/>
      <c r="R131" s="177"/>
      <c r="S131" s="177"/>
      <c r="T131" s="177"/>
      <c r="U131" s="177"/>
      <c r="V131" s="177"/>
      <c r="W131" s="177"/>
      <c r="X131" s="177"/>
      <c r="Y131" s="177"/>
      <c r="Z131" s="177"/>
    </row>
    <row r="132" ht="12.75" customHeight="1">
      <c r="A132" s="15"/>
      <c r="B132" s="303"/>
      <c r="C132" s="303"/>
      <c r="D132" s="303"/>
      <c r="E132" s="303"/>
      <c r="F132" s="303"/>
      <c r="G132" s="303"/>
      <c r="H132" s="303"/>
      <c r="I132" s="303"/>
      <c r="J132" s="303"/>
      <c r="K132" s="303"/>
      <c r="L132" s="16"/>
      <c r="M132" s="16"/>
      <c r="N132" s="16"/>
      <c r="O132" s="61"/>
      <c r="P132" s="177"/>
      <c r="Q132" s="177"/>
      <c r="R132" s="177"/>
      <c r="S132" s="177"/>
      <c r="T132" s="177"/>
      <c r="U132" s="177"/>
      <c r="V132" s="177"/>
      <c r="W132" s="177"/>
      <c r="X132" s="177"/>
      <c r="Y132" s="177"/>
      <c r="Z132" s="177"/>
    </row>
    <row r="133" ht="12.75" customHeight="1">
      <c r="A133" s="15"/>
      <c r="B133" s="303"/>
      <c r="C133" s="303"/>
      <c r="D133" s="303"/>
      <c r="E133" s="303"/>
      <c r="F133" s="303"/>
      <c r="G133" s="303"/>
      <c r="H133" s="303"/>
      <c r="I133" s="303"/>
      <c r="J133" s="303"/>
      <c r="K133" s="303"/>
      <c r="L133" s="16"/>
      <c r="M133" s="16"/>
      <c r="N133" s="16"/>
      <c r="O133" s="61"/>
      <c r="P133" s="177"/>
      <c r="Q133" s="177"/>
      <c r="R133" s="177"/>
      <c r="S133" s="177"/>
      <c r="T133" s="177"/>
      <c r="U133" s="177"/>
      <c r="V133" s="177"/>
      <c r="W133" s="177"/>
      <c r="X133" s="177"/>
      <c r="Y133" s="177"/>
      <c r="Z133" s="177"/>
    </row>
    <row r="134" ht="12.75" customHeight="1">
      <c r="A134" s="15"/>
      <c r="B134" s="303"/>
      <c r="C134" s="303"/>
      <c r="D134" s="303"/>
      <c r="E134" s="303"/>
      <c r="F134" s="303"/>
      <c r="G134" s="303"/>
      <c r="H134" s="303"/>
      <c r="I134" s="303"/>
      <c r="J134" s="303"/>
      <c r="K134" s="303"/>
      <c r="L134" s="16"/>
      <c r="M134" s="16"/>
      <c r="N134" s="16"/>
      <c r="O134" s="61"/>
      <c r="P134" s="177"/>
      <c r="Q134" s="177"/>
      <c r="R134" s="177"/>
      <c r="S134" s="177"/>
      <c r="T134" s="177"/>
      <c r="U134" s="177"/>
      <c r="V134" s="177"/>
      <c r="W134" s="177"/>
      <c r="X134" s="177"/>
      <c r="Y134" s="177"/>
      <c r="Z134" s="177"/>
    </row>
    <row r="135" ht="12.75" customHeight="1">
      <c r="A135" s="15"/>
      <c r="B135" s="303"/>
      <c r="C135" s="303"/>
      <c r="D135" s="303"/>
      <c r="E135" s="303"/>
      <c r="F135" s="303"/>
      <c r="G135" s="303"/>
      <c r="H135" s="303"/>
      <c r="I135" s="303"/>
      <c r="J135" s="303"/>
      <c r="K135" s="303"/>
      <c r="L135" s="16"/>
      <c r="M135" s="16"/>
      <c r="N135" s="16"/>
      <c r="O135" s="61"/>
      <c r="P135" s="177"/>
      <c r="Q135" s="177"/>
      <c r="R135" s="177"/>
      <c r="S135" s="177"/>
      <c r="T135" s="177"/>
      <c r="U135" s="177"/>
      <c r="V135" s="177"/>
      <c r="W135" s="177"/>
      <c r="X135" s="177"/>
      <c r="Y135" s="177"/>
      <c r="Z135" s="177"/>
    </row>
    <row r="136" ht="12.75" customHeight="1">
      <c r="A136" s="15"/>
      <c r="B136" s="16"/>
      <c r="C136" s="302"/>
      <c r="D136" s="16"/>
      <c r="E136" s="16"/>
      <c r="F136" s="16"/>
      <c r="G136" s="16"/>
      <c r="H136" s="16"/>
      <c r="I136" s="16"/>
      <c r="J136" s="16"/>
      <c r="K136" s="16"/>
      <c r="L136" s="16"/>
      <c r="M136" s="16"/>
      <c r="N136" s="16"/>
      <c r="O136" s="61"/>
      <c r="P136" s="177"/>
      <c r="Q136" s="177"/>
      <c r="R136" s="177"/>
      <c r="S136" s="177"/>
      <c r="T136" s="177"/>
      <c r="U136" s="177"/>
      <c r="V136" s="177"/>
      <c r="W136" s="177"/>
      <c r="X136" s="177"/>
      <c r="Y136" s="177"/>
      <c r="Z136" s="177"/>
    </row>
    <row r="137" ht="12.75" customHeight="1">
      <c r="A137" s="15"/>
      <c r="B137" s="303"/>
      <c r="C137" s="303"/>
      <c r="D137" s="303"/>
      <c r="E137" s="303"/>
      <c r="F137" s="303"/>
      <c r="G137" s="303"/>
      <c r="H137" s="303"/>
      <c r="I137" s="303"/>
      <c r="J137" s="303"/>
      <c r="K137" s="303"/>
      <c r="L137" s="16"/>
      <c r="M137" s="16"/>
      <c r="N137" s="16"/>
      <c r="O137" s="61"/>
      <c r="P137" s="177"/>
      <c r="Q137" s="177"/>
      <c r="R137" s="177"/>
      <c r="S137" s="177"/>
      <c r="T137" s="177"/>
      <c r="U137" s="177"/>
      <c r="V137" s="177"/>
      <c r="W137" s="177"/>
      <c r="X137" s="177"/>
      <c r="Y137" s="177"/>
      <c r="Z137" s="177"/>
    </row>
    <row r="138" ht="12.75" customHeight="1">
      <c r="A138" s="15"/>
      <c r="B138" s="303"/>
      <c r="C138" s="303"/>
      <c r="D138" s="303"/>
      <c r="E138" s="303"/>
      <c r="F138" s="303"/>
      <c r="G138" s="303"/>
      <c r="H138" s="303"/>
      <c r="I138" s="303"/>
      <c r="J138" s="303"/>
      <c r="K138" s="303"/>
      <c r="L138" s="16"/>
      <c r="M138" s="16"/>
      <c r="N138" s="16"/>
      <c r="O138" s="61"/>
      <c r="P138" s="177"/>
      <c r="Q138" s="177"/>
      <c r="R138" s="177"/>
      <c r="S138" s="177"/>
      <c r="T138" s="177"/>
      <c r="U138" s="177"/>
      <c r="V138" s="177"/>
      <c r="W138" s="177"/>
      <c r="X138" s="177"/>
      <c r="Y138" s="177"/>
      <c r="Z138" s="177"/>
    </row>
    <row r="139" ht="23.25" customHeight="1">
      <c r="A139" s="15"/>
      <c r="B139" s="303"/>
      <c r="C139" s="303"/>
      <c r="D139" s="303"/>
      <c r="E139" s="303"/>
      <c r="F139" s="303"/>
      <c r="G139" s="303"/>
      <c r="H139" s="220" t="s">
        <v>148</v>
      </c>
      <c r="I139" s="190"/>
      <c r="J139" s="304" t="str">
        <f t="array" ref="J139">J$9</f>
        <v>E-MK-0153/26</v>
      </c>
      <c r="K139" s="190"/>
      <c r="L139" s="16"/>
      <c r="M139" s="16"/>
      <c r="N139" s="16"/>
      <c r="O139" s="61"/>
      <c r="P139" s="177"/>
      <c r="Q139" s="177"/>
      <c r="R139" s="177"/>
      <c r="S139" s="177"/>
      <c r="T139" s="177"/>
      <c r="U139" s="177"/>
      <c r="V139" s="177"/>
      <c r="W139" s="177"/>
      <c r="X139" s="177"/>
      <c r="Y139" s="177"/>
      <c r="Z139" s="177"/>
    </row>
    <row r="140" ht="23.25" customHeight="1">
      <c r="A140" s="15"/>
      <c r="B140" s="303"/>
      <c r="C140" s="305" t="s">
        <v>131</v>
      </c>
      <c r="D140" s="306"/>
      <c r="E140" s="306"/>
      <c r="F140" s="306"/>
      <c r="G140" s="243"/>
      <c r="H140" s="220" t="s">
        <v>149</v>
      </c>
      <c r="I140" s="190"/>
      <c r="J140" s="307">
        <f t="array" ref="J140">J$10</f>
        <v>46037</v>
      </c>
      <c r="K140" s="190"/>
      <c r="L140" s="16"/>
      <c r="M140" s="16"/>
      <c r="N140" s="16"/>
      <c r="O140" s="61"/>
      <c r="P140" s="177"/>
      <c r="Q140" s="177"/>
      <c r="R140" s="177"/>
      <c r="S140" s="177"/>
      <c r="T140" s="177"/>
      <c r="U140" s="177"/>
      <c r="V140" s="177"/>
      <c r="W140" s="177"/>
      <c r="X140" s="177"/>
      <c r="Y140" s="177"/>
      <c r="Z140" s="177"/>
    </row>
    <row r="141" ht="23.25" customHeight="1">
      <c r="A141" s="15"/>
      <c r="B141" s="303"/>
      <c r="C141" s="248"/>
      <c r="D141" s="308"/>
      <c r="E141" s="308"/>
      <c r="F141" s="308"/>
      <c r="G141" s="249"/>
      <c r="H141" s="220" t="s">
        <v>150</v>
      </c>
      <c r="I141" s="190"/>
      <c r="J141" s="307">
        <f t="array" ref="J141">J$11</f>
        <v>46037</v>
      </c>
      <c r="K141" s="190"/>
      <c r="L141" s="16"/>
      <c r="M141" s="16"/>
      <c r="N141" s="16"/>
      <c r="O141" s="61"/>
      <c r="P141" s="177"/>
      <c r="Q141" s="177"/>
      <c r="R141" s="177"/>
      <c r="S141" s="177"/>
      <c r="T141" s="177"/>
      <c r="U141" s="177"/>
      <c r="V141" s="177"/>
      <c r="W141" s="177"/>
      <c r="X141" s="177"/>
      <c r="Y141" s="177"/>
      <c r="Z141" s="177"/>
    </row>
    <row r="142" ht="23.25" customHeight="1">
      <c r="A142" s="15"/>
      <c r="B142" s="303"/>
      <c r="C142" s="303"/>
      <c r="D142" s="303"/>
      <c r="E142" s="303"/>
      <c r="F142" s="303"/>
      <c r="G142" s="303"/>
      <c r="H142" s="220" t="s">
        <v>151</v>
      </c>
      <c r="I142" s="190"/>
      <c r="J142" s="212" t="str">
        <f t="array" ref="J142">CONCATENATE(J143," de ",J274)</f>
        <v>4 de 6</v>
      </c>
      <c r="K142" s="190"/>
      <c r="L142" s="16"/>
      <c r="M142" s="16"/>
      <c r="N142" s="16"/>
      <c r="O142" s="61"/>
      <c r="P142" s="177"/>
      <c r="Q142" s="177"/>
      <c r="R142" s="177"/>
      <c r="S142" s="177"/>
      <c r="T142" s="177"/>
      <c r="U142" s="177"/>
      <c r="V142" s="177"/>
      <c r="W142" s="177"/>
      <c r="X142" s="177"/>
      <c r="Y142" s="177"/>
      <c r="Z142" s="177"/>
    </row>
    <row r="143" ht="12.75" customHeight="1">
      <c r="A143" s="15"/>
      <c r="B143" s="360"/>
      <c r="C143" s="364"/>
      <c r="D143" s="364"/>
      <c r="E143" s="364"/>
      <c r="F143" s="364"/>
      <c r="G143" s="365"/>
      <c r="H143" s="320"/>
      <c r="I143" s="320"/>
      <c r="J143" s="312">
        <f t="array" ref="J143">J78+1</f>
        <v>4</v>
      </c>
      <c r="K143" s="313">
        <f t="array" ref="K143">K78</f>
        <v>7</v>
      </c>
      <c r="L143" s="16"/>
      <c r="M143" s="16"/>
      <c r="N143" s="16"/>
      <c r="O143" s="61"/>
      <c r="P143" s="177"/>
      <c r="Q143" s="177"/>
      <c r="R143" s="177"/>
      <c r="S143" s="177"/>
      <c r="T143" s="177"/>
      <c r="U143" s="177"/>
      <c r="V143" s="177"/>
      <c r="W143" s="177"/>
      <c r="X143" s="177"/>
      <c r="Y143" s="177"/>
      <c r="Z143" s="177"/>
    </row>
    <row r="144" ht="15.0" customHeight="1">
      <c r="A144" s="15"/>
      <c r="B144" s="314"/>
      <c r="C144" s="315" t="s">
        <v>135</v>
      </c>
      <c r="D144" s="316" t="str">
        <f t="array" ref="D144">'Cálculos'!B100</f>
        <v>TENSION ELECTRICA ALTERNA (60 Hz)</v>
      </c>
      <c r="E144" s="317"/>
      <c r="F144" s="317"/>
      <c r="G144" s="318"/>
      <c r="H144" s="319"/>
      <c r="I144" s="320"/>
      <c r="J144" s="320"/>
      <c r="K144" s="320"/>
      <c r="L144" s="320"/>
      <c r="M144" s="320"/>
      <c r="N144" s="320"/>
      <c r="O144" s="321"/>
      <c r="P144" s="177"/>
      <c r="Q144" s="177"/>
      <c r="R144" s="177"/>
      <c r="S144" s="177"/>
      <c r="T144" s="177"/>
      <c r="U144" s="177"/>
      <c r="V144" s="177"/>
      <c r="W144" s="177"/>
      <c r="X144" s="177"/>
      <c r="Y144" s="177"/>
      <c r="Z144" s="177"/>
    </row>
    <row r="145" ht="13.5" customHeight="1">
      <c r="A145" s="15"/>
      <c r="B145" s="322"/>
      <c r="C145" s="323"/>
      <c r="D145" s="324"/>
      <c r="E145" s="325"/>
      <c r="F145" s="326"/>
      <c r="G145" s="327" t="s">
        <v>136</v>
      </c>
      <c r="H145" s="319"/>
      <c r="I145" s="320"/>
      <c r="J145" s="320"/>
      <c r="K145" s="320"/>
      <c r="L145" s="320"/>
      <c r="M145" s="320"/>
      <c r="N145" s="320"/>
      <c r="O145" s="321"/>
      <c r="P145" s="177"/>
      <c r="Q145" s="177"/>
      <c r="R145" s="177"/>
      <c r="S145" s="177"/>
      <c r="T145" s="177"/>
      <c r="U145" s="177"/>
      <c r="V145" s="177"/>
      <c r="W145" s="177"/>
      <c r="X145" s="177"/>
      <c r="Y145" s="177"/>
      <c r="Z145" s="177"/>
    </row>
    <row r="146" ht="13.5" customHeight="1">
      <c r="A146" s="15"/>
      <c r="B146" s="322"/>
      <c r="C146" s="328" t="s">
        <v>137</v>
      </c>
      <c r="D146" s="329">
        <f t="array" ref="D146">'Cálculos'!C101</f>
        <v>0</v>
      </c>
      <c r="E146" s="330" t="s">
        <v>138</v>
      </c>
      <c r="F146" s="331">
        <f t="array" ref="F146">'Cálculos'!E101</f>
        <v>60</v>
      </c>
      <c r="G146" s="332" t="str">
        <f t="array" ref="G146">'Cálculos'!C103</f>
        <v>V</v>
      </c>
      <c r="H146" s="319"/>
      <c r="I146" s="320"/>
      <c r="J146" s="320"/>
      <c r="K146" s="320"/>
      <c r="L146" s="320"/>
      <c r="M146" s="320"/>
      <c r="N146" s="320"/>
      <c r="O146" s="321"/>
      <c r="P146" s="177"/>
      <c r="Q146" s="177"/>
      <c r="R146" s="177"/>
      <c r="S146" s="177"/>
      <c r="T146" s="177"/>
      <c r="U146" s="177"/>
      <c r="V146" s="177"/>
      <c r="W146" s="177"/>
      <c r="X146" s="177"/>
      <c r="Y146" s="177"/>
      <c r="Z146" s="177"/>
    </row>
    <row r="147" ht="12.75" customHeight="1">
      <c r="A147" s="15"/>
      <c r="B147" s="322"/>
      <c r="C147" s="323"/>
      <c r="D147" s="333"/>
      <c r="E147" s="334"/>
      <c r="F147" s="335"/>
      <c r="G147" s="336"/>
      <c r="H147" s="319"/>
      <c r="I147" s="320"/>
      <c r="J147" s="320"/>
      <c r="K147" s="320"/>
      <c r="L147" s="320"/>
      <c r="M147" s="320"/>
      <c r="N147" s="320"/>
      <c r="O147" s="321"/>
      <c r="P147" s="177"/>
      <c r="Q147" s="177"/>
      <c r="R147" s="177"/>
      <c r="S147" s="177"/>
      <c r="T147" s="177"/>
      <c r="U147" s="177"/>
      <c r="V147" s="177"/>
      <c r="W147" s="177"/>
      <c r="X147" s="177"/>
      <c r="Y147" s="177"/>
      <c r="Z147" s="177"/>
    </row>
    <row r="148" ht="13.5" customHeight="1">
      <c r="A148" s="15"/>
      <c r="B148" s="322"/>
      <c r="C148" s="337" t="s">
        <v>139</v>
      </c>
      <c r="D148" s="331">
        <f t="array" ref="D148">'Cálculos'!C102</f>
        <v>0.01</v>
      </c>
      <c r="E148" s="338"/>
      <c r="F148" s="339"/>
      <c r="G148" s="340"/>
      <c r="H148" s="319"/>
      <c r="I148" s="320"/>
      <c r="J148" s="320"/>
      <c r="K148" s="320"/>
      <c r="L148" s="320"/>
      <c r="M148" s="320"/>
      <c r="N148" s="320"/>
      <c r="O148" s="321"/>
      <c r="P148" s="177"/>
      <c r="Q148" s="177"/>
      <c r="R148" s="177"/>
      <c r="S148" s="177"/>
      <c r="T148" s="177"/>
      <c r="U148" s="177"/>
      <c r="V148" s="177"/>
      <c r="W148" s="177"/>
      <c r="X148" s="177"/>
      <c r="Y148" s="177"/>
      <c r="Z148" s="177"/>
    </row>
    <row r="149" ht="13.5" customHeight="1">
      <c r="A149" s="15"/>
      <c r="B149" s="322"/>
      <c r="C149" s="83"/>
      <c r="D149" s="335"/>
      <c r="E149" s="341"/>
      <c r="F149" s="342"/>
      <c r="G149" s="343"/>
      <c r="H149" s="319"/>
      <c r="I149" s="320"/>
      <c r="J149" s="320"/>
      <c r="K149" s="320"/>
      <c r="L149" s="320"/>
      <c r="M149" s="320"/>
      <c r="N149" s="320"/>
      <c r="O149" s="321"/>
      <c r="P149" s="177"/>
      <c r="Q149" s="177"/>
      <c r="R149" s="177"/>
      <c r="S149" s="177"/>
      <c r="T149" s="177"/>
      <c r="U149" s="177"/>
      <c r="V149" s="177"/>
      <c r="W149" s="177"/>
      <c r="X149" s="177"/>
      <c r="Y149" s="177"/>
      <c r="Z149" s="177"/>
    </row>
    <row r="150" ht="12.75" customHeight="1">
      <c r="A150" s="15"/>
      <c r="B150" s="322"/>
      <c r="C150" s="344" t="s">
        <v>140</v>
      </c>
      <c r="D150" s="345" t="s">
        <v>141</v>
      </c>
      <c r="E150" s="345" t="s">
        <v>142</v>
      </c>
      <c r="F150" s="346" t="s">
        <v>143</v>
      </c>
      <c r="G150" s="347"/>
      <c r="H150" s="319"/>
      <c r="I150" s="320"/>
      <c r="J150" s="320"/>
      <c r="K150" s="320"/>
      <c r="L150" s="320"/>
      <c r="M150" s="320"/>
      <c r="N150" s="320"/>
      <c r="O150" s="321"/>
      <c r="P150" s="177"/>
      <c r="Q150" s="177"/>
      <c r="R150" s="177"/>
      <c r="S150" s="177"/>
      <c r="T150" s="177"/>
      <c r="U150" s="177"/>
      <c r="V150" s="177"/>
      <c r="W150" s="177"/>
      <c r="X150" s="177"/>
      <c r="Y150" s="177"/>
      <c r="Z150" s="177"/>
    </row>
    <row r="151" ht="13.5" customHeight="1">
      <c r="A151" s="15"/>
      <c r="B151" s="322"/>
      <c r="C151" s="348" t="s">
        <v>23</v>
      </c>
      <c r="D151" s="205"/>
      <c r="E151" s="205"/>
      <c r="F151" s="349"/>
      <c r="G151" s="350"/>
      <c r="H151" s="319"/>
      <c r="I151" s="320"/>
      <c r="J151" s="16"/>
      <c r="K151" s="16"/>
      <c r="L151" s="16"/>
      <c r="M151" s="16"/>
      <c r="N151" s="16"/>
      <c r="O151" s="61"/>
      <c r="P151" s="177"/>
      <c r="Q151" s="177"/>
      <c r="R151" s="177"/>
      <c r="S151" s="177"/>
      <c r="T151" s="177"/>
      <c r="U151" s="177"/>
      <c r="V151" s="177"/>
      <c r="W151" s="177"/>
      <c r="X151" s="177"/>
      <c r="Y151" s="177"/>
      <c r="Z151" s="177"/>
    </row>
    <row r="152" ht="13.5" customHeight="1">
      <c r="A152" s="15"/>
      <c r="B152" s="351"/>
      <c r="C152" s="373">
        <f t="array" ref="C152">'Cálculos'!B109</f>
        <v>6</v>
      </c>
      <c r="D152" s="374">
        <f t="array" ref="D152">AVERAGE('Cálculos'!C109:G109)</f>
        <v>5.998</v>
      </c>
      <c r="E152" s="374">
        <f t="array" ref="E152">D152-C152</f>
        <v>-0.002</v>
      </c>
      <c r="F152" s="367">
        <f t="array" ref="F152">'Cálculos'!O109</f>
        <v>0.01040833</v>
      </c>
      <c r="G152" s="355"/>
      <c r="H152" s="319"/>
      <c r="I152" s="320"/>
      <c r="J152" s="16"/>
      <c r="K152" s="16"/>
      <c r="L152" s="16"/>
      <c r="M152" s="16"/>
      <c r="N152" s="16"/>
      <c r="O152" s="61"/>
      <c r="P152" s="177"/>
      <c r="Q152" s="177"/>
      <c r="R152" s="177"/>
      <c r="S152" s="177"/>
      <c r="T152" s="177"/>
      <c r="U152" s="177"/>
      <c r="V152" s="177"/>
      <c r="W152" s="177"/>
      <c r="X152" s="177"/>
      <c r="Y152" s="177"/>
      <c r="Z152" s="177"/>
    </row>
    <row r="153" ht="13.5" customHeight="1">
      <c r="A153" s="15"/>
      <c r="B153" s="351"/>
      <c r="C153" s="373">
        <f t="array" ref="C153">'Cálculos'!B110</f>
        <v>15</v>
      </c>
      <c r="D153" s="374">
        <f t="array" ref="D153">AVERAGE('Cálculos'!C110:G110)</f>
        <v>15.01</v>
      </c>
      <c r="E153" s="374">
        <f t="array" ref="E153">D153-C153</f>
        <v>0.01</v>
      </c>
      <c r="F153" s="367">
        <f t="array" ref="F153">'Cálculos'!O110</f>
        <v>0.01089342309</v>
      </c>
      <c r="G153" s="355"/>
      <c r="H153" s="319"/>
      <c r="I153" s="320"/>
      <c r="J153" s="16"/>
      <c r="K153" s="16"/>
      <c r="L153" s="16"/>
      <c r="M153" s="16"/>
      <c r="N153" s="16"/>
      <c r="O153" s="61"/>
      <c r="P153" s="177"/>
      <c r="Q153" s="177"/>
      <c r="R153" s="177"/>
      <c r="S153" s="177"/>
      <c r="T153" s="177"/>
      <c r="U153" s="177"/>
      <c r="V153" s="177"/>
      <c r="W153" s="177"/>
      <c r="X153" s="177"/>
      <c r="Y153" s="177"/>
      <c r="Z153" s="177"/>
    </row>
    <row r="154" ht="13.5" customHeight="1">
      <c r="A154" s="15"/>
      <c r="B154" s="351"/>
      <c r="C154" s="373">
        <f t="array" ref="C154">'Cálculos'!B111</f>
        <v>30</v>
      </c>
      <c r="D154" s="374">
        <f t="array" ref="D154">AVERAGE('Cálculos'!C111:G111)</f>
        <v>30.01</v>
      </c>
      <c r="E154" s="374">
        <f t="array" ref="E154">D154-C154</f>
        <v>0.01</v>
      </c>
      <c r="F154" s="367">
        <f t="array" ref="F154">'Cálculos'!O111</f>
        <v>0.01138712724</v>
      </c>
      <c r="G154" s="355"/>
      <c r="H154" s="319"/>
      <c r="I154" s="320"/>
      <c r="J154" s="16"/>
      <c r="K154" s="16"/>
      <c r="L154" s="16"/>
      <c r="M154" s="16"/>
      <c r="N154" s="16"/>
      <c r="O154" s="61"/>
      <c r="P154" s="177"/>
      <c r="Q154" s="177"/>
      <c r="R154" s="177"/>
      <c r="S154" s="177"/>
      <c r="T154" s="177"/>
      <c r="U154" s="177"/>
      <c r="V154" s="177"/>
      <c r="W154" s="177"/>
      <c r="X154" s="177"/>
      <c r="Y154" s="177"/>
      <c r="Z154" s="177"/>
    </row>
    <row r="155" ht="13.5" customHeight="1">
      <c r="A155" s="15"/>
      <c r="B155" s="351"/>
      <c r="C155" s="373">
        <f t="array" ref="C155">'Cálculos'!B112</f>
        <v>45</v>
      </c>
      <c r="D155" s="374">
        <f t="array" ref="D155">AVERAGE('Cálculos'!C112:G112)</f>
        <v>45.01</v>
      </c>
      <c r="E155" s="374">
        <f t="array" ref="E155">D155-C155</f>
        <v>0.01</v>
      </c>
      <c r="F155" s="367">
        <f t="array" ref="F155">'Cálculos'!O112</f>
        <v>0.01138712724</v>
      </c>
      <c r="G155" s="355"/>
      <c r="H155" s="319"/>
      <c r="I155" s="320"/>
      <c r="J155" s="16"/>
      <c r="K155" s="16"/>
      <c r="L155" s="16"/>
      <c r="M155" s="16"/>
      <c r="N155" s="16"/>
      <c r="O155" s="61"/>
      <c r="P155" s="177"/>
      <c r="Q155" s="177"/>
      <c r="R155" s="177"/>
      <c r="S155" s="177"/>
      <c r="T155" s="177"/>
      <c r="U155" s="177"/>
      <c r="V155" s="177"/>
      <c r="W155" s="177"/>
      <c r="X155" s="177"/>
      <c r="Y155" s="177"/>
      <c r="Z155" s="177"/>
    </row>
    <row r="156" ht="14.25" customHeight="1">
      <c r="A156" s="15"/>
      <c r="B156" s="351"/>
      <c r="C156" s="375">
        <f t="array" ref="C156">'Cálculos'!B113</f>
        <v>54</v>
      </c>
      <c r="D156" s="364">
        <f t="array" ref="D156">AVERAGE('Cálculos'!C113:G113)</f>
        <v>54.02</v>
      </c>
      <c r="E156" s="364">
        <f t="array" ref="E156">D156-C156</f>
        <v>0.02</v>
      </c>
      <c r="F156" s="370">
        <f t="array" ref="F156">'Cálculos'!O113</f>
        <v>0.01138712724</v>
      </c>
      <c r="G156" s="359"/>
      <c r="H156" s="319"/>
      <c r="I156" s="320"/>
      <c r="J156" s="16"/>
      <c r="K156" s="16"/>
      <c r="L156" s="16"/>
      <c r="M156" s="16"/>
      <c r="N156" s="16"/>
      <c r="O156" s="61"/>
      <c r="P156" s="177"/>
      <c r="Q156" s="177"/>
      <c r="R156" s="177"/>
      <c r="S156" s="177"/>
      <c r="T156" s="177"/>
      <c r="U156" s="177"/>
      <c r="V156" s="177"/>
      <c r="W156" s="177"/>
      <c r="X156" s="177"/>
      <c r="Y156" s="177"/>
      <c r="Z156" s="177"/>
    </row>
    <row r="157" ht="13.5" customHeight="1">
      <c r="A157" s="15"/>
      <c r="B157" s="360"/>
      <c r="C157" s="361"/>
      <c r="D157" s="361"/>
      <c r="E157" s="361"/>
      <c r="F157" s="361"/>
      <c r="G157" s="362"/>
      <c r="H157" s="320"/>
      <c r="I157" s="320"/>
      <c r="J157" s="16"/>
      <c r="K157" s="16"/>
      <c r="L157" s="16"/>
      <c r="M157" s="16"/>
      <c r="N157" s="16"/>
      <c r="O157" s="61"/>
      <c r="P157" s="177"/>
      <c r="Q157" s="177"/>
      <c r="R157" s="177"/>
      <c r="S157" s="177"/>
      <c r="T157" s="177"/>
      <c r="U157" s="177"/>
      <c r="V157" s="177"/>
      <c r="W157" s="177"/>
      <c r="X157" s="177"/>
      <c r="Y157" s="177"/>
      <c r="Z157" s="177"/>
    </row>
    <row r="158" ht="14.25" customHeight="1">
      <c r="A158" s="15"/>
      <c r="B158" s="360"/>
      <c r="C158" s="364"/>
      <c r="D158" s="364"/>
      <c r="E158" s="364"/>
      <c r="F158" s="364"/>
      <c r="G158" s="365"/>
      <c r="H158" s="320"/>
      <c r="I158" s="320"/>
      <c r="J158" s="16"/>
      <c r="K158" s="16"/>
      <c r="L158" s="16"/>
      <c r="M158" s="16"/>
      <c r="N158" s="16"/>
      <c r="O158" s="61"/>
      <c r="P158" s="177"/>
      <c r="Q158" s="177"/>
      <c r="R158" s="177"/>
      <c r="S158" s="177"/>
      <c r="T158" s="177"/>
      <c r="U158" s="177"/>
      <c r="V158" s="177"/>
      <c r="W158" s="177"/>
      <c r="X158" s="177"/>
      <c r="Y158" s="177"/>
      <c r="Z158" s="177"/>
    </row>
    <row r="159" ht="15.0" customHeight="1">
      <c r="A159" s="15"/>
      <c r="B159" s="351"/>
      <c r="C159" s="315" t="s">
        <v>135</v>
      </c>
      <c r="D159" s="316" t="str">
        <f t="array" ref="D159">'Cálculos'!B115</f>
        <v>TENSION ELECTRICA ALTERNA (60 Hz)</v>
      </c>
      <c r="E159" s="317"/>
      <c r="F159" s="317"/>
      <c r="G159" s="318"/>
      <c r="H159" s="319"/>
      <c r="I159" s="320"/>
      <c r="J159" s="320"/>
      <c r="K159" s="320"/>
      <c r="L159" s="16"/>
      <c r="M159" s="16"/>
      <c r="N159" s="16"/>
      <c r="O159" s="61"/>
      <c r="P159" s="177"/>
      <c r="Q159" s="177"/>
      <c r="R159" s="177"/>
      <c r="S159" s="177"/>
      <c r="T159" s="177"/>
      <c r="U159" s="177"/>
      <c r="V159" s="177"/>
      <c r="W159" s="177"/>
      <c r="X159" s="177"/>
      <c r="Y159" s="177"/>
      <c r="Z159" s="177"/>
    </row>
    <row r="160" ht="13.5" customHeight="1">
      <c r="A160" s="15"/>
      <c r="B160" s="351"/>
      <c r="C160" s="323"/>
      <c r="D160" s="324"/>
      <c r="E160" s="325"/>
      <c r="F160" s="326"/>
      <c r="G160" s="327" t="s">
        <v>136</v>
      </c>
      <c r="H160" s="319"/>
      <c r="I160" s="320"/>
      <c r="J160" s="320"/>
      <c r="K160" s="320"/>
      <c r="L160" s="16"/>
      <c r="M160" s="16"/>
      <c r="N160" s="16"/>
      <c r="O160" s="61"/>
      <c r="P160" s="177"/>
      <c r="Q160" s="177"/>
      <c r="R160" s="177"/>
      <c r="S160" s="177"/>
      <c r="T160" s="177"/>
      <c r="U160" s="177"/>
      <c r="V160" s="177"/>
      <c r="W160" s="177"/>
      <c r="X160" s="177"/>
      <c r="Y160" s="177"/>
      <c r="Z160" s="177"/>
    </row>
    <row r="161" ht="13.5" customHeight="1">
      <c r="A161" s="15"/>
      <c r="B161" s="351"/>
      <c r="C161" s="328" t="s">
        <v>137</v>
      </c>
      <c r="D161" s="329">
        <f t="array" ref="D161">'Cálculos'!C116</f>
        <v>0</v>
      </c>
      <c r="E161" s="330" t="s">
        <v>138</v>
      </c>
      <c r="F161" s="331">
        <f t="array" ref="F161">'Cálculos'!E116</f>
        <v>600</v>
      </c>
      <c r="G161" s="332" t="str">
        <f t="array" ref="G161">'Cálculos'!C118</f>
        <v>V</v>
      </c>
      <c r="H161" s="319"/>
      <c r="I161" s="320"/>
      <c r="J161" s="320"/>
      <c r="K161" s="320"/>
      <c r="L161" s="16"/>
      <c r="M161" s="16"/>
      <c r="N161" s="16"/>
      <c r="O161" s="61"/>
      <c r="P161" s="177"/>
      <c r="Q161" s="177"/>
      <c r="R161" s="177"/>
      <c r="S161" s="177"/>
      <c r="T161" s="177"/>
      <c r="U161" s="177"/>
      <c r="V161" s="177"/>
      <c r="W161" s="177"/>
      <c r="X161" s="177"/>
      <c r="Y161" s="177"/>
      <c r="Z161" s="177"/>
    </row>
    <row r="162" ht="12.75" customHeight="1">
      <c r="A162" s="15"/>
      <c r="B162" s="351"/>
      <c r="C162" s="323"/>
      <c r="D162" s="333"/>
      <c r="E162" s="334"/>
      <c r="F162" s="335"/>
      <c r="G162" s="336"/>
      <c r="H162" s="319"/>
      <c r="I162" s="320"/>
      <c r="J162" s="320"/>
      <c r="K162" s="320"/>
      <c r="L162" s="16"/>
      <c r="M162" s="16"/>
      <c r="N162" s="16"/>
      <c r="O162" s="61"/>
      <c r="P162" s="177"/>
      <c r="Q162" s="177"/>
      <c r="R162" s="177"/>
      <c r="S162" s="177"/>
      <c r="T162" s="177"/>
      <c r="U162" s="177"/>
      <c r="V162" s="177"/>
      <c r="W162" s="177"/>
      <c r="X162" s="177"/>
      <c r="Y162" s="177"/>
      <c r="Z162" s="177"/>
    </row>
    <row r="163" ht="13.5" customHeight="1">
      <c r="A163" s="15"/>
      <c r="B163" s="351"/>
      <c r="C163" s="337" t="s">
        <v>139</v>
      </c>
      <c r="D163" s="331">
        <f t="array" ref="D163">'Cálculos'!C117</f>
        <v>0.1</v>
      </c>
      <c r="E163" s="338"/>
      <c r="F163" s="339"/>
      <c r="G163" s="340"/>
      <c r="H163" s="319"/>
      <c r="I163" s="320"/>
      <c r="J163" s="320"/>
      <c r="K163" s="320"/>
      <c r="L163" s="16"/>
      <c r="M163" s="16"/>
      <c r="N163" s="16"/>
      <c r="O163" s="61"/>
      <c r="P163" s="177"/>
      <c r="Q163" s="177"/>
      <c r="R163" s="177"/>
      <c r="S163" s="177"/>
      <c r="T163" s="177"/>
      <c r="U163" s="177"/>
      <c r="V163" s="177"/>
      <c r="W163" s="177"/>
      <c r="X163" s="177"/>
      <c r="Y163" s="177"/>
      <c r="Z163" s="177"/>
    </row>
    <row r="164" ht="13.5" customHeight="1">
      <c r="A164" s="15"/>
      <c r="B164" s="351"/>
      <c r="C164" s="83"/>
      <c r="D164" s="335"/>
      <c r="E164" s="341"/>
      <c r="F164" s="342"/>
      <c r="G164" s="343"/>
      <c r="H164" s="319"/>
      <c r="I164" s="320"/>
      <c r="J164" s="320"/>
      <c r="K164" s="320"/>
      <c r="L164" s="16"/>
      <c r="M164" s="16"/>
      <c r="N164" s="16"/>
      <c r="O164" s="61"/>
      <c r="P164" s="177"/>
      <c r="Q164" s="177"/>
      <c r="R164" s="177"/>
      <c r="S164" s="177"/>
      <c r="T164" s="177"/>
      <c r="U164" s="177"/>
      <c r="V164" s="177"/>
      <c r="W164" s="177"/>
      <c r="X164" s="177"/>
      <c r="Y164" s="177"/>
      <c r="Z164" s="177"/>
    </row>
    <row r="165" ht="13.5" customHeight="1">
      <c r="A165" s="15"/>
      <c r="B165" s="351"/>
      <c r="C165" s="344" t="s">
        <v>140</v>
      </c>
      <c r="D165" s="345" t="s">
        <v>141</v>
      </c>
      <c r="E165" s="345" t="s">
        <v>142</v>
      </c>
      <c r="F165" s="346" t="s">
        <v>143</v>
      </c>
      <c r="G165" s="347"/>
      <c r="H165" s="319"/>
      <c r="I165" s="320"/>
      <c r="J165" s="320"/>
      <c r="K165" s="320"/>
      <c r="L165" s="16"/>
      <c r="M165" s="16"/>
      <c r="N165" s="16"/>
      <c r="O165" s="61"/>
      <c r="P165" s="177"/>
      <c r="Q165" s="177"/>
      <c r="R165" s="177"/>
      <c r="S165" s="177"/>
      <c r="T165" s="177"/>
      <c r="U165" s="177"/>
      <c r="V165" s="177"/>
      <c r="W165" s="177"/>
      <c r="X165" s="177"/>
      <c r="Y165" s="177"/>
      <c r="Z165" s="177"/>
    </row>
    <row r="166" ht="13.5" customHeight="1">
      <c r="A166" s="15"/>
      <c r="B166" s="351"/>
      <c r="C166" s="348" t="s">
        <v>23</v>
      </c>
      <c r="D166" s="205"/>
      <c r="E166" s="205"/>
      <c r="F166" s="349"/>
      <c r="G166" s="350"/>
      <c r="H166" s="319"/>
      <c r="I166" s="320"/>
      <c r="J166" s="16"/>
      <c r="K166" s="16"/>
      <c r="L166" s="16"/>
      <c r="M166" s="16"/>
      <c r="N166" s="16"/>
      <c r="O166" s="61"/>
      <c r="P166" s="177"/>
      <c r="Q166" s="177"/>
      <c r="R166" s="177"/>
      <c r="S166" s="177"/>
      <c r="T166" s="177"/>
      <c r="U166" s="177"/>
      <c r="V166" s="177"/>
      <c r="W166" s="177"/>
      <c r="X166" s="177"/>
      <c r="Y166" s="177"/>
      <c r="Z166" s="177"/>
    </row>
    <row r="167" ht="13.5" customHeight="1">
      <c r="A167" s="15"/>
      <c r="B167" s="351"/>
      <c r="C167" s="352">
        <f t="array" ref="C167">'Cálculos'!B124</f>
        <v>60</v>
      </c>
      <c r="D167" s="353">
        <f t="array" ref="D167">AVERAGE('Cálculos'!C124:G124)</f>
        <v>59.9</v>
      </c>
      <c r="E167" s="353">
        <f t="array" ref="E167">D167-C167</f>
        <v>-0.1</v>
      </c>
      <c r="F167" s="367">
        <f t="array" ref="F167">'Cálculos'!O124</f>
        <v>0.05856335601</v>
      </c>
      <c r="G167" s="355"/>
      <c r="H167" s="319"/>
      <c r="I167" s="320"/>
      <c r="J167" s="16"/>
      <c r="K167" s="16"/>
      <c r="L167" s="16"/>
      <c r="M167" s="16"/>
      <c r="N167" s="16"/>
      <c r="O167" s="61"/>
      <c r="P167" s="177"/>
      <c r="Q167" s="177"/>
      <c r="R167" s="177"/>
      <c r="S167" s="177"/>
      <c r="T167" s="177"/>
      <c r="U167" s="177"/>
      <c r="V167" s="177"/>
      <c r="W167" s="177"/>
      <c r="X167" s="177"/>
      <c r="Y167" s="177"/>
      <c r="Z167" s="177"/>
    </row>
    <row r="168" ht="13.5" customHeight="1">
      <c r="A168" s="15"/>
      <c r="B168" s="351"/>
      <c r="C168" s="352">
        <f t="array" ref="C168">'Cálculos'!B125</f>
        <v>150</v>
      </c>
      <c r="D168" s="353">
        <f t="array" ref="D168">AVERAGE('Cálculos'!C125:G125)</f>
        <v>149.8</v>
      </c>
      <c r="E168" s="353">
        <f t="array" ref="E168">D168-C168</f>
        <v>-0.2</v>
      </c>
      <c r="F168" s="367">
        <f t="array" ref="F168">'Cálculos'!O125</f>
        <v>0.05788036512</v>
      </c>
      <c r="G168" s="355"/>
      <c r="H168" s="319"/>
      <c r="I168" s="320"/>
      <c r="J168" s="16"/>
      <c r="K168" s="16"/>
      <c r="L168" s="16"/>
      <c r="M168" s="16"/>
      <c r="N168" s="16"/>
      <c r="O168" s="61"/>
      <c r="P168" s="177"/>
      <c r="Q168" s="177"/>
      <c r="R168" s="177"/>
      <c r="S168" s="177"/>
      <c r="T168" s="177"/>
      <c r="U168" s="177"/>
      <c r="V168" s="177"/>
      <c r="W168" s="177"/>
      <c r="X168" s="177"/>
      <c r="Y168" s="177"/>
      <c r="Z168" s="177"/>
    </row>
    <row r="169" ht="13.5" customHeight="1">
      <c r="A169" s="15"/>
      <c r="B169" s="351"/>
      <c r="C169" s="352">
        <f t="array" ref="C169">'Cálculos'!B126</f>
        <v>300</v>
      </c>
      <c r="D169" s="353">
        <f t="array" ref="D169">AVERAGE('Cálculos'!C126:G126)</f>
        <v>299.9</v>
      </c>
      <c r="E169" s="353">
        <f t="array" ref="E169">D169-C169</f>
        <v>-0.1</v>
      </c>
      <c r="F169" s="367">
        <f t="array" ref="F169">'Cálculos'!O126</f>
        <v>0.05856335601</v>
      </c>
      <c r="G169" s="355"/>
      <c r="H169" s="319"/>
      <c r="I169" s="320"/>
      <c r="J169" s="16"/>
      <c r="K169" s="16"/>
      <c r="L169" s="16"/>
      <c r="M169" s="16"/>
      <c r="N169" s="16"/>
      <c r="O169" s="61"/>
      <c r="P169" s="177"/>
      <c r="Q169" s="177"/>
      <c r="R169" s="177"/>
      <c r="S169" s="177"/>
      <c r="T169" s="177"/>
      <c r="U169" s="177"/>
      <c r="V169" s="177"/>
      <c r="W169" s="177"/>
      <c r="X169" s="177"/>
      <c r="Y169" s="177"/>
      <c r="Z169" s="177"/>
    </row>
    <row r="170" ht="13.5" customHeight="1">
      <c r="A170" s="15"/>
      <c r="B170" s="351"/>
      <c r="C170" s="352">
        <f t="array" ref="C170">'Cálculos'!B127</f>
        <v>450</v>
      </c>
      <c r="D170" s="353">
        <f t="array" ref="D170">AVERAGE('Cálculos'!C127:G127)</f>
        <v>450</v>
      </c>
      <c r="E170" s="353">
        <f t="array" ref="E170">D170-C170</f>
        <v>0</v>
      </c>
      <c r="F170" s="367">
        <f t="array" ref="F170">'Cálculos'!O127</f>
        <v>0.0584693652</v>
      </c>
      <c r="G170" s="355"/>
      <c r="H170" s="319"/>
      <c r="I170" s="320"/>
      <c r="J170" s="16"/>
      <c r="K170" s="16"/>
      <c r="L170" s="16"/>
      <c r="M170" s="16"/>
      <c r="N170" s="16"/>
      <c r="O170" s="61"/>
      <c r="P170" s="177"/>
      <c r="Q170" s="177"/>
      <c r="R170" s="177"/>
      <c r="S170" s="177"/>
      <c r="T170" s="177"/>
      <c r="U170" s="177"/>
      <c r="V170" s="177"/>
      <c r="W170" s="177"/>
      <c r="X170" s="177"/>
      <c r="Y170" s="177"/>
      <c r="Z170" s="177"/>
    </row>
    <row r="171" ht="14.25" customHeight="1">
      <c r="A171" s="15"/>
      <c r="B171" s="351"/>
      <c r="C171" s="356">
        <f t="array" ref="C171">'Cálculos'!B128</f>
        <v>540</v>
      </c>
      <c r="D171" s="357">
        <f t="array" ref="D171">AVERAGE('Cálculos'!C128:G128)</f>
        <v>540</v>
      </c>
      <c r="E171" s="357">
        <f t="array" ref="E171">D171-C171</f>
        <v>0</v>
      </c>
      <c r="F171" s="370">
        <f t="array" ref="F171">'Cálculos'!O128</f>
        <v>0.0584693652</v>
      </c>
      <c r="G171" s="359"/>
      <c r="H171" s="319"/>
      <c r="I171" s="320"/>
      <c r="J171" s="16"/>
      <c r="K171" s="16"/>
      <c r="L171" s="16"/>
      <c r="M171" s="16"/>
      <c r="N171" s="16"/>
      <c r="O171" s="61"/>
      <c r="P171" s="177"/>
      <c r="Q171" s="177"/>
      <c r="R171" s="177"/>
      <c r="S171" s="177"/>
      <c r="T171" s="177"/>
      <c r="U171" s="177"/>
      <c r="V171" s="177"/>
      <c r="W171" s="177"/>
      <c r="X171" s="177"/>
      <c r="Y171" s="177"/>
      <c r="Z171" s="177"/>
    </row>
    <row r="172" ht="13.5" customHeight="1">
      <c r="A172" s="15"/>
      <c r="B172" s="360"/>
      <c r="C172" s="361"/>
      <c r="D172" s="361"/>
      <c r="E172" s="361"/>
      <c r="F172" s="361"/>
      <c r="G172" s="362"/>
      <c r="H172" s="320"/>
      <c r="I172" s="320"/>
      <c r="J172" s="16"/>
      <c r="K172" s="16"/>
      <c r="L172" s="16"/>
      <c r="M172" s="16"/>
      <c r="N172" s="16"/>
      <c r="O172" s="61"/>
      <c r="P172" s="177"/>
      <c r="Q172" s="177"/>
      <c r="R172" s="177"/>
      <c r="S172" s="177"/>
      <c r="T172" s="177"/>
      <c r="U172" s="177"/>
      <c r="V172" s="177"/>
      <c r="W172" s="177"/>
      <c r="X172" s="177"/>
      <c r="Y172" s="177"/>
      <c r="Z172" s="177"/>
    </row>
    <row r="173" ht="14.25" customHeight="1">
      <c r="A173" s="15"/>
      <c r="B173" s="360"/>
      <c r="C173" s="364"/>
      <c r="D173" s="364"/>
      <c r="E173" s="364"/>
      <c r="F173" s="364"/>
      <c r="G173" s="365"/>
      <c r="H173" s="320"/>
      <c r="I173" s="320"/>
      <c r="J173" s="16"/>
      <c r="K173" s="16"/>
      <c r="L173" s="16"/>
      <c r="M173" s="16"/>
      <c r="N173" s="16"/>
      <c r="O173" s="61"/>
      <c r="P173" s="177"/>
      <c r="Q173" s="177"/>
      <c r="R173" s="177"/>
      <c r="S173" s="177"/>
      <c r="T173" s="177"/>
      <c r="U173" s="177"/>
      <c r="V173" s="177"/>
      <c r="W173" s="177"/>
      <c r="X173" s="177"/>
      <c r="Y173" s="177"/>
      <c r="Z173" s="177"/>
    </row>
    <row r="174" ht="15.0" customHeight="1">
      <c r="A174" s="15"/>
      <c r="B174" s="351"/>
      <c r="C174" s="315" t="s">
        <v>135</v>
      </c>
      <c r="D174" s="316" t="str">
        <f t="array" ref="D174">'Cálculos'!B131</f>
        <v>CORRIENTE ELECTRICA CONTINUA </v>
      </c>
      <c r="E174" s="317"/>
      <c r="F174" s="317"/>
      <c r="G174" s="318"/>
      <c r="H174" s="319"/>
      <c r="I174" s="320"/>
      <c r="J174" s="320"/>
      <c r="K174" s="320"/>
      <c r="L174" s="16"/>
      <c r="M174" s="16"/>
      <c r="N174" s="16"/>
      <c r="O174" s="61"/>
      <c r="P174" s="177"/>
      <c r="Q174" s="177"/>
      <c r="R174" s="177"/>
      <c r="S174" s="177"/>
      <c r="T174" s="177"/>
      <c r="U174" s="177"/>
      <c r="V174" s="177"/>
      <c r="W174" s="177"/>
      <c r="X174" s="177"/>
      <c r="Y174" s="177"/>
      <c r="Z174" s="177"/>
    </row>
    <row r="175" ht="13.5" customHeight="1">
      <c r="A175" s="15"/>
      <c r="B175" s="351"/>
      <c r="C175" s="323"/>
      <c r="D175" s="324"/>
      <c r="E175" s="325"/>
      <c r="F175" s="326"/>
      <c r="G175" s="327" t="s">
        <v>136</v>
      </c>
      <c r="H175" s="319"/>
      <c r="I175" s="320"/>
      <c r="J175" s="320"/>
      <c r="K175" s="320"/>
      <c r="L175" s="16"/>
      <c r="M175" s="16"/>
      <c r="N175" s="16"/>
      <c r="O175" s="61"/>
      <c r="P175" s="177"/>
      <c r="Q175" s="177"/>
      <c r="R175" s="177"/>
      <c r="S175" s="177"/>
      <c r="T175" s="177"/>
      <c r="U175" s="177"/>
      <c r="V175" s="177"/>
      <c r="W175" s="177"/>
      <c r="X175" s="177"/>
      <c r="Y175" s="177"/>
      <c r="Z175" s="177"/>
    </row>
    <row r="176" ht="13.5" customHeight="1">
      <c r="A176" s="15"/>
      <c r="B176" s="351"/>
      <c r="C176" s="328" t="s">
        <v>137</v>
      </c>
      <c r="D176" s="329">
        <f t="array" ref="D176">'Cálculos'!C132</f>
        <v>0</v>
      </c>
      <c r="E176" s="330" t="s">
        <v>138</v>
      </c>
      <c r="F176" s="331">
        <f t="array" ref="F176">'Cálculos'!E132</f>
        <v>60</v>
      </c>
      <c r="G176" s="332" t="str">
        <f t="array" ref="G176">'Cálculos'!C134</f>
        <v>µA</v>
      </c>
      <c r="H176" s="319"/>
      <c r="I176" s="320"/>
      <c r="J176" s="320"/>
      <c r="K176" s="320"/>
      <c r="L176" s="16"/>
      <c r="M176" s="16"/>
      <c r="N176" s="16"/>
      <c r="O176" s="61"/>
      <c r="P176" s="177"/>
      <c r="Q176" s="177"/>
      <c r="R176" s="177"/>
      <c r="S176" s="177"/>
      <c r="T176" s="177"/>
      <c r="U176" s="177"/>
      <c r="V176" s="177"/>
      <c r="W176" s="177"/>
      <c r="X176" s="177"/>
      <c r="Y176" s="177"/>
      <c r="Z176" s="177"/>
    </row>
    <row r="177" ht="12.75" customHeight="1">
      <c r="A177" s="15"/>
      <c r="B177" s="351"/>
      <c r="C177" s="323"/>
      <c r="D177" s="333"/>
      <c r="E177" s="334"/>
      <c r="F177" s="335"/>
      <c r="G177" s="336"/>
      <c r="H177" s="319"/>
      <c r="I177" s="320"/>
      <c r="J177" s="320"/>
      <c r="K177" s="320"/>
      <c r="L177" s="16"/>
      <c r="M177" s="16"/>
      <c r="N177" s="16"/>
      <c r="O177" s="61"/>
      <c r="P177" s="177"/>
      <c r="Q177" s="177"/>
      <c r="R177" s="177"/>
      <c r="S177" s="177"/>
      <c r="T177" s="177"/>
      <c r="U177" s="177"/>
      <c r="V177" s="177"/>
      <c r="W177" s="177"/>
      <c r="X177" s="177"/>
      <c r="Y177" s="177"/>
      <c r="Z177" s="177"/>
    </row>
    <row r="178" ht="13.5" customHeight="1">
      <c r="A178" s="15"/>
      <c r="B178" s="351"/>
      <c r="C178" s="337" t="s">
        <v>139</v>
      </c>
      <c r="D178" s="331">
        <f t="array" ref="D178">'Cálculos'!C133</f>
        <v>0.1</v>
      </c>
      <c r="E178" s="338"/>
      <c r="F178" s="339"/>
      <c r="G178" s="340"/>
      <c r="H178" s="319"/>
      <c r="I178" s="320"/>
      <c r="J178" s="320"/>
      <c r="K178" s="320"/>
      <c r="L178" s="16"/>
      <c r="M178" s="16"/>
      <c r="N178" s="16"/>
      <c r="O178" s="61"/>
      <c r="P178" s="177"/>
      <c r="Q178" s="177"/>
      <c r="R178" s="177"/>
      <c r="S178" s="177"/>
      <c r="T178" s="177"/>
      <c r="U178" s="177"/>
      <c r="V178" s="177"/>
      <c r="W178" s="177"/>
      <c r="X178" s="177"/>
      <c r="Y178" s="177"/>
      <c r="Z178" s="177"/>
    </row>
    <row r="179" ht="13.5" customHeight="1">
      <c r="A179" s="15"/>
      <c r="B179" s="351"/>
      <c r="C179" s="83"/>
      <c r="D179" s="335"/>
      <c r="E179" s="341"/>
      <c r="F179" s="342"/>
      <c r="G179" s="343"/>
      <c r="H179" s="319"/>
      <c r="I179" s="320"/>
      <c r="J179" s="320"/>
      <c r="K179" s="320"/>
      <c r="L179" s="16"/>
      <c r="M179" s="16"/>
      <c r="N179" s="16"/>
      <c r="O179" s="61"/>
      <c r="P179" s="177"/>
      <c r="Q179" s="177"/>
      <c r="R179" s="177"/>
      <c r="S179" s="177"/>
      <c r="T179" s="177"/>
      <c r="U179" s="177"/>
      <c r="V179" s="177"/>
      <c r="W179" s="177"/>
      <c r="X179" s="177"/>
      <c r="Y179" s="177"/>
      <c r="Z179" s="177"/>
    </row>
    <row r="180" ht="13.5" customHeight="1">
      <c r="A180" s="15"/>
      <c r="B180" s="351"/>
      <c r="C180" s="344" t="s">
        <v>140</v>
      </c>
      <c r="D180" s="345" t="s">
        <v>141</v>
      </c>
      <c r="E180" s="345" t="s">
        <v>142</v>
      </c>
      <c r="F180" s="346" t="s">
        <v>143</v>
      </c>
      <c r="G180" s="347"/>
      <c r="H180" s="319"/>
      <c r="I180" s="320"/>
      <c r="J180" s="320"/>
      <c r="K180" s="320"/>
      <c r="L180" s="16"/>
      <c r="M180" s="16"/>
      <c r="N180" s="16"/>
      <c r="O180" s="61"/>
      <c r="P180" s="177"/>
      <c r="Q180" s="177"/>
      <c r="R180" s="177"/>
      <c r="S180" s="177"/>
      <c r="T180" s="177"/>
      <c r="U180" s="177"/>
      <c r="V180" s="177"/>
      <c r="W180" s="177"/>
      <c r="X180" s="177"/>
      <c r="Y180" s="177"/>
      <c r="Z180" s="177"/>
    </row>
    <row r="181" ht="13.5" customHeight="1">
      <c r="A181" s="15"/>
      <c r="B181" s="351"/>
      <c r="C181" s="348" t="s">
        <v>23</v>
      </c>
      <c r="D181" s="205"/>
      <c r="E181" s="205"/>
      <c r="F181" s="349"/>
      <c r="G181" s="350"/>
      <c r="H181" s="319"/>
      <c r="I181" s="320"/>
      <c r="J181" s="16"/>
      <c r="K181" s="16"/>
      <c r="L181" s="16"/>
      <c r="M181" s="16"/>
      <c r="N181" s="16"/>
      <c r="O181" s="61"/>
      <c r="P181" s="177"/>
      <c r="Q181" s="177"/>
      <c r="R181" s="177"/>
      <c r="S181" s="177"/>
      <c r="T181" s="177"/>
      <c r="U181" s="177"/>
      <c r="V181" s="177"/>
      <c r="W181" s="177"/>
      <c r="X181" s="177"/>
      <c r="Y181" s="177"/>
      <c r="Z181" s="177"/>
    </row>
    <row r="182" ht="13.5" customHeight="1">
      <c r="A182" s="15"/>
      <c r="B182" s="351"/>
      <c r="C182" s="352">
        <f t="array" ref="C182">'Cálculos'!B140</f>
        <v>6</v>
      </c>
      <c r="D182" s="353">
        <f t="array" ref="D182">AVERAGE('Cálculos'!C140:G140)</f>
        <v>6</v>
      </c>
      <c r="E182" s="353">
        <f t="array" ref="E182">D182-C182</f>
        <v>0</v>
      </c>
      <c r="F182" s="354">
        <f t="array" ref="F182">'Cálculos'!O140</f>
        <v>0.06885976087</v>
      </c>
      <c r="G182" s="355"/>
      <c r="H182" s="319"/>
      <c r="I182" s="320"/>
      <c r="J182" s="16"/>
      <c r="K182" s="16"/>
      <c r="L182" s="16"/>
      <c r="M182" s="16"/>
      <c r="N182" s="16"/>
      <c r="O182" s="61"/>
      <c r="P182" s="177"/>
      <c r="Q182" s="177"/>
      <c r="R182" s="177"/>
      <c r="S182" s="177"/>
      <c r="T182" s="177"/>
      <c r="U182" s="177"/>
      <c r="V182" s="177"/>
      <c r="W182" s="177"/>
      <c r="X182" s="177"/>
      <c r="Y182" s="177"/>
      <c r="Z182" s="177"/>
    </row>
    <row r="183" ht="13.5" customHeight="1">
      <c r="A183" s="15"/>
      <c r="B183" s="351"/>
      <c r="C183" s="352">
        <f t="array" ref="C183">'Cálculos'!B141</f>
        <v>15</v>
      </c>
      <c r="D183" s="353">
        <f t="array" ref="D183">AVERAGE('Cálculos'!C141:G141)</f>
        <v>15</v>
      </c>
      <c r="E183" s="353">
        <f t="array" ref="E183">D183-C183</f>
        <v>0</v>
      </c>
      <c r="F183" s="354">
        <f t="array" ref="F183">'Cálculos'!O141</f>
        <v>0.06885976087</v>
      </c>
      <c r="G183" s="355"/>
      <c r="H183" s="319"/>
      <c r="I183" s="320"/>
      <c r="J183" s="16"/>
      <c r="K183" s="16"/>
      <c r="L183" s="16"/>
      <c r="M183" s="16"/>
      <c r="N183" s="16"/>
      <c r="O183" s="61"/>
      <c r="P183" s="177"/>
      <c r="Q183" s="177"/>
      <c r="R183" s="177"/>
      <c r="S183" s="177"/>
      <c r="T183" s="177"/>
      <c r="U183" s="177"/>
      <c r="V183" s="177"/>
      <c r="W183" s="177"/>
      <c r="X183" s="177"/>
      <c r="Y183" s="177"/>
      <c r="Z183" s="177"/>
    </row>
    <row r="184" ht="13.5" customHeight="1">
      <c r="A184" s="15"/>
      <c r="B184" s="351"/>
      <c r="C184" s="352">
        <f t="array" ref="C184">'Cálculos'!B142</f>
        <v>30</v>
      </c>
      <c r="D184" s="353">
        <f t="array" ref="D184">AVERAGE('Cálculos'!C142:G142)</f>
        <v>30</v>
      </c>
      <c r="E184" s="353">
        <f t="array" ref="E184">D184-C184</f>
        <v>0</v>
      </c>
      <c r="F184" s="354">
        <f t="array" ref="F184">'Cálculos'!O142</f>
        <v>0.06885976087</v>
      </c>
      <c r="G184" s="355"/>
      <c r="H184" s="319"/>
      <c r="I184" s="320"/>
      <c r="J184" s="16"/>
      <c r="K184" s="16"/>
      <c r="L184" s="16"/>
      <c r="M184" s="16"/>
      <c r="N184" s="16"/>
      <c r="O184" s="61"/>
      <c r="P184" s="177"/>
      <c r="Q184" s="177"/>
      <c r="R184" s="177"/>
      <c r="S184" s="177"/>
      <c r="T184" s="177"/>
      <c r="U184" s="177"/>
      <c r="V184" s="177"/>
      <c r="W184" s="177"/>
      <c r="X184" s="177"/>
      <c r="Y184" s="177"/>
      <c r="Z184" s="177"/>
    </row>
    <row r="185" ht="13.5" customHeight="1">
      <c r="A185" s="15"/>
      <c r="B185" s="351"/>
      <c r="C185" s="352">
        <f t="array" ref="C185">'Cálculos'!B143</f>
        <v>45</v>
      </c>
      <c r="D185" s="353">
        <f t="array" ref="D185">AVERAGE('Cálculos'!C143:G143)</f>
        <v>45</v>
      </c>
      <c r="E185" s="353">
        <f t="array" ref="E185">D185-C185</f>
        <v>0</v>
      </c>
      <c r="F185" s="354">
        <f t="array" ref="F185">'Cálculos'!O143</f>
        <v>0.06885976087</v>
      </c>
      <c r="G185" s="355"/>
      <c r="H185" s="319"/>
      <c r="I185" s="320"/>
      <c r="J185" s="16"/>
      <c r="K185" s="16"/>
      <c r="L185" s="16"/>
      <c r="M185" s="16"/>
      <c r="N185" s="16"/>
      <c r="O185" s="61"/>
      <c r="P185" s="177"/>
      <c r="Q185" s="177"/>
      <c r="R185" s="177"/>
      <c r="S185" s="177"/>
      <c r="T185" s="177"/>
      <c r="U185" s="177"/>
      <c r="V185" s="177"/>
      <c r="W185" s="177"/>
      <c r="X185" s="177"/>
      <c r="Y185" s="177"/>
      <c r="Z185" s="177"/>
    </row>
    <row r="186" ht="14.25" customHeight="1">
      <c r="A186" s="15"/>
      <c r="B186" s="351"/>
      <c r="C186" s="356">
        <f t="array" ref="C186">'Cálculos'!B144</f>
        <v>60</v>
      </c>
      <c r="D186" s="357">
        <f t="array" ref="D186">AVERAGE('Cálculos'!C144:G144)</f>
        <v>60</v>
      </c>
      <c r="E186" s="357">
        <f t="array" ref="E186">D186-C186</f>
        <v>0</v>
      </c>
      <c r="F186" s="358">
        <f t="array" ref="F186">'Cálculos'!O144</f>
        <v>0.06885976087</v>
      </c>
      <c r="G186" s="359"/>
      <c r="H186" s="319"/>
      <c r="I186" s="320"/>
      <c r="J186" s="16"/>
      <c r="K186" s="16"/>
      <c r="L186" s="16"/>
      <c r="M186" s="16"/>
      <c r="N186" s="16"/>
      <c r="O186" s="61"/>
      <c r="P186" s="177"/>
      <c r="Q186" s="177"/>
      <c r="R186" s="177"/>
      <c r="S186" s="177"/>
      <c r="T186" s="177"/>
      <c r="U186" s="177"/>
      <c r="V186" s="177"/>
      <c r="W186" s="177"/>
      <c r="X186" s="177"/>
      <c r="Y186" s="177"/>
      <c r="Z186" s="177"/>
    </row>
    <row r="187" ht="13.5" customHeight="1">
      <c r="A187" s="15"/>
      <c r="B187" s="360"/>
      <c r="C187" s="361"/>
      <c r="D187" s="361"/>
      <c r="E187" s="361"/>
      <c r="F187" s="361"/>
      <c r="G187" s="362"/>
      <c r="H187" s="320"/>
      <c r="I187" s="320"/>
      <c r="J187" s="16"/>
      <c r="K187" s="16"/>
      <c r="L187" s="16"/>
      <c r="M187" s="16"/>
      <c r="N187" s="16"/>
      <c r="O187" s="61"/>
      <c r="P187" s="177"/>
      <c r="Q187" s="177"/>
      <c r="R187" s="177"/>
      <c r="S187" s="177"/>
      <c r="T187" s="177"/>
      <c r="U187" s="177"/>
      <c r="V187" s="177"/>
      <c r="W187" s="177"/>
      <c r="X187" s="177"/>
      <c r="Y187" s="177"/>
      <c r="Z187" s="177"/>
    </row>
    <row r="188" ht="13.5" customHeight="1">
      <c r="A188" s="15"/>
      <c r="B188" s="360"/>
      <c r="C188" s="374"/>
      <c r="D188" s="374"/>
      <c r="E188" s="374"/>
      <c r="F188" s="374"/>
      <c r="G188" s="233"/>
      <c r="H188" s="320"/>
      <c r="I188" s="320"/>
      <c r="J188" s="16"/>
      <c r="K188" s="16"/>
      <c r="L188" s="16"/>
      <c r="M188" s="16"/>
      <c r="N188" s="16"/>
      <c r="O188" s="61"/>
      <c r="P188" s="177"/>
      <c r="Q188" s="177"/>
      <c r="R188" s="177"/>
      <c r="S188" s="177"/>
      <c r="T188" s="177"/>
      <c r="U188" s="177"/>
      <c r="V188" s="177"/>
      <c r="W188" s="177"/>
      <c r="X188" s="177"/>
      <c r="Y188" s="177"/>
      <c r="Z188" s="177"/>
    </row>
    <row r="189" ht="13.5" customHeight="1">
      <c r="A189" s="15"/>
      <c r="B189" s="360"/>
      <c r="C189" s="374"/>
      <c r="D189" s="374"/>
      <c r="E189" s="374"/>
      <c r="F189" s="374"/>
      <c r="G189" s="233"/>
      <c r="H189" s="320"/>
      <c r="I189" s="320"/>
      <c r="J189" s="16"/>
      <c r="K189" s="16"/>
      <c r="L189" s="16"/>
      <c r="M189" s="16"/>
      <c r="N189" s="16"/>
      <c r="O189" s="61"/>
      <c r="P189" s="177"/>
      <c r="Q189" s="177"/>
      <c r="R189" s="177"/>
      <c r="S189" s="177"/>
      <c r="T189" s="177"/>
      <c r="U189" s="177"/>
      <c r="V189" s="177"/>
      <c r="W189" s="177"/>
      <c r="X189" s="177"/>
      <c r="Y189" s="177"/>
      <c r="Z189" s="177"/>
    </row>
    <row r="190" ht="13.5" customHeight="1">
      <c r="A190" s="15"/>
      <c r="B190" s="360"/>
      <c r="C190" s="374"/>
      <c r="D190" s="374"/>
      <c r="E190" s="374"/>
      <c r="F190" s="374"/>
      <c r="G190" s="233"/>
      <c r="H190" s="320"/>
      <c r="I190" s="320"/>
      <c r="J190" s="16"/>
      <c r="K190" s="16"/>
      <c r="L190" s="16"/>
      <c r="M190" s="16"/>
      <c r="N190" s="16"/>
      <c r="O190" s="61"/>
      <c r="P190" s="177"/>
      <c r="Q190" s="177"/>
      <c r="R190" s="177"/>
      <c r="S190" s="177"/>
      <c r="T190" s="177"/>
      <c r="U190" s="177"/>
      <c r="V190" s="177"/>
      <c r="W190" s="177"/>
      <c r="X190" s="177"/>
      <c r="Y190" s="177"/>
      <c r="Z190" s="177"/>
    </row>
    <row r="191" ht="13.5" customHeight="1">
      <c r="A191" s="15"/>
      <c r="B191" s="360"/>
      <c r="C191" s="374"/>
      <c r="D191" s="374"/>
      <c r="E191" s="374"/>
      <c r="F191" s="374"/>
      <c r="G191" s="233"/>
      <c r="H191" s="320"/>
      <c r="I191" s="320"/>
      <c r="J191" s="16"/>
      <c r="K191" s="16"/>
      <c r="L191" s="16"/>
      <c r="M191" s="16"/>
      <c r="N191" s="16"/>
      <c r="O191" s="61"/>
      <c r="P191" s="177"/>
      <c r="Q191" s="177"/>
      <c r="R191" s="177"/>
      <c r="S191" s="177"/>
      <c r="T191" s="177"/>
      <c r="U191" s="177"/>
      <c r="V191" s="177"/>
      <c r="W191" s="177"/>
      <c r="X191" s="177"/>
      <c r="Y191" s="177"/>
      <c r="Z191" s="177"/>
    </row>
    <row r="192" ht="13.5" customHeight="1">
      <c r="A192" s="15"/>
      <c r="B192" s="360"/>
      <c r="C192" s="374"/>
      <c r="D192" s="374"/>
      <c r="E192" s="374"/>
      <c r="F192" s="374"/>
      <c r="G192" s="233"/>
      <c r="H192" s="320"/>
      <c r="I192" s="320"/>
      <c r="J192" s="16"/>
      <c r="K192" s="16"/>
      <c r="L192" s="16"/>
      <c r="M192" s="16"/>
      <c r="N192" s="16"/>
      <c r="O192" s="61"/>
      <c r="P192" s="177"/>
      <c r="Q192" s="177"/>
      <c r="R192" s="177"/>
      <c r="S192" s="177"/>
      <c r="T192" s="177"/>
      <c r="U192" s="177"/>
      <c r="V192" s="177"/>
      <c r="W192" s="177"/>
      <c r="X192" s="177"/>
      <c r="Y192" s="177"/>
      <c r="Z192" s="177"/>
    </row>
    <row r="193" ht="13.5" customHeight="1">
      <c r="A193" s="15"/>
      <c r="B193" s="360"/>
      <c r="C193" s="374"/>
      <c r="D193" s="374"/>
      <c r="E193" s="374"/>
      <c r="F193" s="374"/>
      <c r="G193" s="233"/>
      <c r="H193" s="320"/>
      <c r="I193" s="320"/>
      <c r="J193" s="16"/>
      <c r="K193" s="16"/>
      <c r="L193" s="16"/>
      <c r="M193" s="16"/>
      <c r="N193" s="16"/>
      <c r="O193" s="61"/>
      <c r="P193" s="177"/>
      <c r="Q193" s="177"/>
      <c r="R193" s="177"/>
      <c r="S193" s="177"/>
      <c r="T193" s="177"/>
      <c r="U193" s="177"/>
      <c r="V193" s="177"/>
      <c r="W193" s="177"/>
      <c r="X193" s="177"/>
      <c r="Y193" s="177"/>
      <c r="Z193" s="177"/>
    </row>
    <row r="194" ht="13.5" customHeight="1">
      <c r="A194" s="15"/>
      <c r="B194" s="360"/>
      <c r="C194" s="374"/>
      <c r="D194" s="374"/>
      <c r="E194" s="374"/>
      <c r="F194" s="374"/>
      <c r="G194" s="233"/>
      <c r="H194" s="320"/>
      <c r="I194" s="320"/>
      <c r="J194" s="16"/>
      <c r="K194" s="16"/>
      <c r="L194" s="16"/>
      <c r="M194" s="16"/>
      <c r="N194" s="16"/>
      <c r="O194" s="61"/>
      <c r="P194" s="177"/>
      <c r="Q194" s="177"/>
      <c r="R194" s="177"/>
      <c r="S194" s="177"/>
      <c r="T194" s="177"/>
      <c r="U194" s="177"/>
      <c r="V194" s="177"/>
      <c r="W194" s="177"/>
      <c r="X194" s="177"/>
      <c r="Y194" s="177"/>
      <c r="Z194" s="177"/>
    </row>
    <row r="195" ht="13.5" customHeight="1">
      <c r="A195" s="15"/>
      <c r="B195" s="360"/>
      <c r="C195" s="374"/>
      <c r="D195" s="374"/>
      <c r="E195" s="374"/>
      <c r="F195" s="374"/>
      <c r="G195" s="233"/>
      <c r="H195" s="320"/>
      <c r="I195" s="320"/>
      <c r="J195" s="16"/>
      <c r="K195" s="16"/>
      <c r="L195" s="16"/>
      <c r="M195" s="16"/>
      <c r="N195" s="16"/>
      <c r="O195" s="61"/>
      <c r="P195" s="177"/>
      <c r="Q195" s="177"/>
      <c r="R195" s="177"/>
      <c r="S195" s="177"/>
      <c r="T195" s="177"/>
      <c r="U195" s="177"/>
      <c r="V195" s="177"/>
      <c r="W195" s="177"/>
      <c r="X195" s="177"/>
      <c r="Y195" s="177"/>
      <c r="Z195" s="177"/>
    </row>
    <row r="196" ht="13.5" customHeight="1">
      <c r="A196" s="15"/>
      <c r="B196" s="360"/>
      <c r="C196" s="374"/>
      <c r="D196" s="374"/>
      <c r="E196" s="374"/>
      <c r="F196" s="374"/>
      <c r="G196" s="233"/>
      <c r="H196" s="320"/>
      <c r="I196" s="320"/>
      <c r="J196" s="16"/>
      <c r="K196" s="16"/>
      <c r="L196" s="16"/>
      <c r="M196" s="16"/>
      <c r="N196" s="16"/>
      <c r="O196" s="61"/>
      <c r="P196" s="177"/>
      <c r="Q196" s="177"/>
      <c r="R196" s="177"/>
      <c r="S196" s="177"/>
      <c r="T196" s="177"/>
      <c r="U196" s="177"/>
      <c r="V196" s="177"/>
      <c r="W196" s="177"/>
      <c r="X196" s="177"/>
      <c r="Y196" s="177"/>
      <c r="Z196" s="177"/>
    </row>
    <row r="197" ht="12.75" customHeight="1">
      <c r="A197" s="15"/>
      <c r="B197" s="360"/>
      <c r="C197" s="374"/>
      <c r="D197" s="374"/>
      <c r="E197" s="374"/>
      <c r="F197" s="374"/>
      <c r="G197" s="233"/>
      <c r="H197" s="320"/>
      <c r="I197" s="320"/>
      <c r="J197" s="16"/>
      <c r="K197" s="16"/>
      <c r="L197" s="16"/>
      <c r="M197" s="16"/>
      <c r="N197" s="16"/>
      <c r="O197" s="61"/>
      <c r="P197" s="177"/>
      <c r="Q197" s="177"/>
      <c r="R197" s="177"/>
      <c r="S197" s="177"/>
      <c r="T197" s="177"/>
      <c r="U197" s="177"/>
      <c r="V197" s="177"/>
      <c r="W197" s="177"/>
      <c r="X197" s="177"/>
      <c r="Y197" s="177"/>
      <c r="Z197" s="177"/>
    </row>
    <row r="198" ht="12.75" customHeight="1">
      <c r="A198" s="15"/>
      <c r="B198" s="360"/>
      <c r="C198" s="374"/>
      <c r="D198" s="374"/>
      <c r="E198" s="374"/>
      <c r="F198" s="374"/>
      <c r="G198" s="233"/>
      <c r="H198" s="320"/>
      <c r="I198" s="320"/>
      <c r="J198" s="16"/>
      <c r="K198" s="16"/>
      <c r="L198" s="16"/>
      <c r="M198" s="16"/>
      <c r="N198" s="16"/>
      <c r="O198" s="61"/>
      <c r="P198" s="177"/>
      <c r="Q198" s="177"/>
      <c r="R198" s="177"/>
      <c r="S198" s="177"/>
      <c r="T198" s="177"/>
      <c r="U198" s="177"/>
      <c r="V198" s="177"/>
      <c r="W198" s="177"/>
      <c r="X198" s="177"/>
      <c r="Y198" s="177"/>
      <c r="Z198" s="177"/>
    </row>
    <row r="199" ht="12.75" customHeight="1">
      <c r="A199" s="15"/>
      <c r="B199" s="360"/>
      <c r="C199" s="374"/>
      <c r="D199" s="374"/>
      <c r="E199" s="374"/>
      <c r="F199" s="374"/>
      <c r="G199" s="233"/>
      <c r="H199" s="320"/>
      <c r="I199" s="320"/>
      <c r="J199" s="16"/>
      <c r="K199" s="16"/>
      <c r="L199" s="16"/>
      <c r="M199" s="16"/>
      <c r="N199" s="16"/>
      <c r="O199" s="61"/>
      <c r="P199" s="177"/>
      <c r="Q199" s="177"/>
      <c r="R199" s="177"/>
      <c r="S199" s="177"/>
      <c r="T199" s="177"/>
      <c r="U199" s="177"/>
      <c r="V199" s="177"/>
      <c r="W199" s="177"/>
      <c r="X199" s="177"/>
      <c r="Y199" s="177"/>
      <c r="Z199" s="177"/>
    </row>
    <row r="200" ht="12.75" customHeight="1">
      <c r="A200" s="15"/>
      <c r="B200" s="360"/>
      <c r="C200" s="374"/>
      <c r="D200" s="374"/>
      <c r="E200" s="374"/>
      <c r="F200" s="374"/>
      <c r="G200" s="233"/>
      <c r="H200" s="320"/>
      <c r="I200" s="320"/>
      <c r="J200" s="16"/>
      <c r="K200" s="16"/>
      <c r="L200" s="16"/>
      <c r="M200" s="16"/>
      <c r="N200" s="16"/>
      <c r="O200" s="61"/>
      <c r="P200" s="177"/>
      <c r="Q200" s="177"/>
      <c r="R200" s="177"/>
      <c r="S200" s="177"/>
      <c r="T200" s="177"/>
      <c r="U200" s="177"/>
      <c r="V200" s="177"/>
      <c r="W200" s="177"/>
      <c r="X200" s="177"/>
      <c r="Y200" s="177"/>
      <c r="Z200" s="177"/>
    </row>
    <row r="201" ht="12.75" customHeight="1">
      <c r="A201" s="15"/>
      <c r="B201" s="360"/>
      <c r="C201" s="374"/>
      <c r="D201" s="374"/>
      <c r="E201" s="374"/>
      <c r="F201" s="374"/>
      <c r="G201" s="233"/>
      <c r="H201" s="320"/>
      <c r="I201" s="320"/>
      <c r="J201" s="16"/>
      <c r="K201" s="16"/>
      <c r="L201" s="16"/>
      <c r="M201" s="16"/>
      <c r="N201" s="16"/>
      <c r="O201" s="61"/>
      <c r="P201" s="177"/>
      <c r="Q201" s="177"/>
      <c r="R201" s="177"/>
      <c r="S201" s="177"/>
      <c r="T201" s="177"/>
      <c r="U201" s="177"/>
      <c r="V201" s="177"/>
      <c r="W201" s="177"/>
      <c r="X201" s="177"/>
      <c r="Y201" s="177"/>
      <c r="Z201" s="177"/>
    </row>
    <row r="202" ht="12.75" customHeight="1">
      <c r="A202" s="15"/>
      <c r="B202" s="16"/>
      <c r="C202" s="302"/>
      <c r="D202" s="16"/>
      <c r="E202" s="16"/>
      <c r="F202" s="16"/>
      <c r="G202" s="16"/>
      <c r="H202" s="16"/>
      <c r="I202" s="16"/>
      <c r="J202" s="16"/>
      <c r="K202" s="16"/>
      <c r="L202" s="16"/>
      <c r="M202" s="16"/>
      <c r="N202" s="16"/>
      <c r="O202" s="61"/>
      <c r="P202" s="177"/>
      <c r="Q202" s="177"/>
      <c r="R202" s="177"/>
      <c r="S202" s="177"/>
      <c r="T202" s="177"/>
      <c r="U202" s="177"/>
      <c r="V202" s="177"/>
      <c r="W202" s="177"/>
      <c r="X202" s="177"/>
      <c r="Y202" s="177"/>
      <c r="Z202" s="177"/>
    </row>
    <row r="203" ht="12.75" customHeight="1">
      <c r="A203" s="15"/>
      <c r="B203" s="303"/>
      <c r="C203" s="303"/>
      <c r="D203" s="303"/>
      <c r="E203" s="303"/>
      <c r="F203" s="303"/>
      <c r="G203" s="303"/>
      <c r="H203" s="303"/>
      <c r="I203" s="303"/>
      <c r="J203" s="303"/>
      <c r="K203" s="303"/>
      <c r="L203" s="16"/>
      <c r="M203" s="16"/>
      <c r="N203" s="16"/>
      <c r="O203" s="61"/>
      <c r="P203" s="177"/>
      <c r="Q203" s="177"/>
      <c r="R203" s="177"/>
      <c r="S203" s="177"/>
      <c r="T203" s="177"/>
      <c r="U203" s="177"/>
      <c r="V203" s="177"/>
      <c r="W203" s="177"/>
      <c r="X203" s="177"/>
      <c r="Y203" s="177"/>
      <c r="Z203" s="177"/>
    </row>
    <row r="204" ht="23.25" customHeight="1">
      <c r="A204" s="15"/>
      <c r="B204" s="303"/>
      <c r="C204" s="303"/>
      <c r="D204" s="303"/>
      <c r="E204" s="303"/>
      <c r="F204" s="303"/>
      <c r="G204" s="303"/>
      <c r="H204" s="220" t="s">
        <v>152</v>
      </c>
      <c r="I204" s="190"/>
      <c r="J204" s="304" t="str">
        <f t="array" ref="J204">J$9</f>
        <v>E-MK-0153/26</v>
      </c>
      <c r="K204" s="190"/>
      <c r="L204" s="16"/>
      <c r="M204" s="16"/>
      <c r="N204" s="16"/>
      <c r="O204" s="61"/>
      <c r="P204" s="177"/>
      <c r="Q204" s="177"/>
      <c r="R204" s="177"/>
      <c r="S204" s="177"/>
      <c r="T204" s="177"/>
      <c r="U204" s="177"/>
      <c r="V204" s="177"/>
      <c r="W204" s="177"/>
      <c r="X204" s="177"/>
      <c r="Y204" s="177"/>
      <c r="Z204" s="177"/>
    </row>
    <row r="205" ht="23.25" customHeight="1">
      <c r="A205" s="15"/>
      <c r="B205" s="303"/>
      <c r="C205" s="305" t="s">
        <v>131</v>
      </c>
      <c r="D205" s="306"/>
      <c r="E205" s="306"/>
      <c r="F205" s="306"/>
      <c r="G205" s="243"/>
      <c r="H205" s="220" t="s">
        <v>153</v>
      </c>
      <c r="I205" s="190"/>
      <c r="J205" s="307">
        <f t="array" ref="J205">J$10</f>
        <v>46037</v>
      </c>
      <c r="K205" s="190"/>
      <c r="L205" s="16"/>
      <c r="M205" s="16"/>
      <c r="N205" s="16"/>
      <c r="O205" s="61"/>
      <c r="P205" s="177"/>
      <c r="Q205" s="177"/>
      <c r="R205" s="177"/>
      <c r="S205" s="177"/>
      <c r="T205" s="177"/>
      <c r="U205" s="177"/>
      <c r="V205" s="177"/>
      <c r="W205" s="177"/>
      <c r="X205" s="177"/>
      <c r="Y205" s="177"/>
      <c r="Z205" s="177"/>
    </row>
    <row r="206" ht="23.25" customHeight="1">
      <c r="A206" s="15"/>
      <c r="B206" s="303"/>
      <c r="C206" s="248"/>
      <c r="D206" s="308"/>
      <c r="E206" s="308"/>
      <c r="F206" s="308"/>
      <c r="G206" s="249"/>
      <c r="H206" s="220" t="s">
        <v>154</v>
      </c>
      <c r="I206" s="190"/>
      <c r="J206" s="307">
        <f t="array" ref="J206">J$11</f>
        <v>46037</v>
      </c>
      <c r="K206" s="190"/>
      <c r="L206" s="16"/>
      <c r="M206" s="16"/>
      <c r="N206" s="16"/>
      <c r="O206" s="61"/>
      <c r="P206" s="177"/>
      <c r="Q206" s="177"/>
      <c r="R206" s="177"/>
      <c r="S206" s="177"/>
      <c r="T206" s="177"/>
      <c r="U206" s="177"/>
      <c r="V206" s="177"/>
      <c r="W206" s="177"/>
      <c r="X206" s="177"/>
      <c r="Y206" s="177"/>
      <c r="Z206" s="177"/>
    </row>
    <row r="207" ht="23.25" customHeight="1">
      <c r="A207" s="15"/>
      <c r="B207" s="303"/>
      <c r="C207" s="303"/>
      <c r="D207" s="303"/>
      <c r="E207" s="303"/>
      <c r="F207" s="303"/>
      <c r="G207" s="303"/>
      <c r="H207" s="220" t="s">
        <v>155</v>
      </c>
      <c r="I207" s="190"/>
      <c r="J207" s="212" t="str">
        <f t="array" ref="J207">CONCATENATE(J208," de ",J274)</f>
        <v>5 de 6</v>
      </c>
      <c r="K207" s="190"/>
      <c r="L207" s="16"/>
      <c r="M207" s="16"/>
      <c r="N207" s="16"/>
      <c r="O207" s="61"/>
      <c r="P207" s="177"/>
      <c r="Q207" s="177"/>
      <c r="R207" s="177"/>
      <c r="S207" s="177"/>
      <c r="T207" s="177"/>
      <c r="U207" s="177"/>
      <c r="V207" s="177"/>
      <c r="W207" s="177"/>
      <c r="X207" s="177"/>
      <c r="Y207" s="177"/>
      <c r="Z207" s="177"/>
    </row>
    <row r="208" ht="12.75" customHeight="1">
      <c r="A208" s="15"/>
      <c r="B208" s="360"/>
      <c r="C208" s="364"/>
      <c r="D208" s="364"/>
      <c r="E208" s="364"/>
      <c r="F208" s="364"/>
      <c r="G208" s="365"/>
      <c r="H208" s="320"/>
      <c r="I208" s="320"/>
      <c r="J208" s="312">
        <f t="array" ref="J208">J143+1</f>
        <v>5</v>
      </c>
      <c r="K208" s="313">
        <f t="array" ref="K208">K143</f>
        <v>7</v>
      </c>
      <c r="L208" s="16"/>
      <c r="M208" s="16"/>
      <c r="N208" s="16"/>
      <c r="O208" s="61"/>
      <c r="P208" s="177"/>
      <c r="Q208" s="177"/>
      <c r="R208" s="177"/>
      <c r="S208" s="177"/>
      <c r="T208" s="177"/>
      <c r="U208" s="177"/>
      <c r="V208" s="177"/>
      <c r="W208" s="177"/>
      <c r="X208" s="177"/>
      <c r="Y208" s="177"/>
      <c r="Z208" s="177"/>
    </row>
    <row r="209" ht="15.0" customHeight="1">
      <c r="A209" s="15"/>
      <c r="B209" s="351"/>
      <c r="C209" s="315" t="s">
        <v>135</v>
      </c>
      <c r="D209" s="316" t="str">
        <f t="array" ref="D209">'Cálculos'!B146</f>
        <v>CORRIENTE ELECTRICA CONTINUA </v>
      </c>
      <c r="E209" s="317"/>
      <c r="F209" s="317"/>
      <c r="G209" s="318"/>
      <c r="H209" s="319"/>
      <c r="I209" s="320"/>
      <c r="J209" s="320"/>
      <c r="K209" s="320"/>
      <c r="L209" s="16"/>
      <c r="M209" s="16"/>
      <c r="N209" s="16"/>
      <c r="O209" s="61"/>
      <c r="P209" s="177"/>
      <c r="Q209" s="177"/>
      <c r="R209" s="177"/>
      <c r="S209" s="177"/>
      <c r="T209" s="177"/>
      <c r="U209" s="177"/>
      <c r="V209" s="177"/>
      <c r="W209" s="177"/>
      <c r="X209" s="177"/>
      <c r="Y209" s="177"/>
      <c r="Z209" s="177"/>
    </row>
    <row r="210" ht="13.5" customHeight="1">
      <c r="A210" s="15"/>
      <c r="B210" s="351"/>
      <c r="C210" s="323"/>
      <c r="D210" s="324"/>
      <c r="E210" s="325"/>
      <c r="F210" s="326"/>
      <c r="G210" s="327" t="s">
        <v>136</v>
      </c>
      <c r="H210" s="319"/>
      <c r="I210" s="320"/>
      <c r="J210" s="320"/>
      <c r="K210" s="320"/>
      <c r="L210" s="16"/>
      <c r="M210" s="16"/>
      <c r="N210" s="16"/>
      <c r="O210" s="61"/>
      <c r="P210" s="177"/>
      <c r="Q210" s="177"/>
      <c r="R210" s="177"/>
      <c r="S210" s="177"/>
      <c r="T210" s="177"/>
      <c r="U210" s="177"/>
      <c r="V210" s="177"/>
      <c r="W210" s="177"/>
      <c r="X210" s="177"/>
      <c r="Y210" s="177"/>
      <c r="Z210" s="177"/>
    </row>
    <row r="211" ht="13.5" customHeight="1">
      <c r="A211" s="15"/>
      <c r="B211" s="314"/>
      <c r="C211" s="328" t="s">
        <v>137</v>
      </c>
      <c r="D211" s="329">
        <f t="array" ref="D211">'Cálculos'!C147</f>
        <v>0</v>
      </c>
      <c r="E211" s="330" t="s">
        <v>138</v>
      </c>
      <c r="F211" s="331">
        <f t="array" ref="F211">'Cálculos'!E147</f>
        <v>600</v>
      </c>
      <c r="G211" s="332" t="str">
        <f t="array" ref="G211">'Cálculos'!C149</f>
        <v>µA</v>
      </c>
      <c r="H211" s="319"/>
      <c r="I211" s="320"/>
      <c r="J211" s="320"/>
      <c r="K211" s="320"/>
      <c r="L211" s="320"/>
      <c r="M211" s="320"/>
      <c r="N211" s="320"/>
      <c r="O211" s="321"/>
      <c r="P211" s="177"/>
      <c r="Q211" s="177"/>
      <c r="R211" s="177"/>
      <c r="S211" s="177"/>
      <c r="T211" s="177"/>
      <c r="U211" s="177"/>
      <c r="V211" s="177"/>
      <c r="W211" s="177"/>
      <c r="X211" s="177"/>
      <c r="Y211" s="177"/>
      <c r="Z211" s="177"/>
    </row>
    <row r="212" ht="12.75" customHeight="1">
      <c r="A212" s="15"/>
      <c r="B212" s="322"/>
      <c r="C212" s="323"/>
      <c r="D212" s="333"/>
      <c r="E212" s="334"/>
      <c r="F212" s="335"/>
      <c r="G212" s="336"/>
      <c r="H212" s="319"/>
      <c r="I212" s="320"/>
      <c r="J212" s="320"/>
      <c r="K212" s="320"/>
      <c r="L212" s="320"/>
      <c r="M212" s="320"/>
      <c r="N212" s="320"/>
      <c r="O212" s="321"/>
      <c r="P212" s="177"/>
      <c r="Q212" s="177"/>
      <c r="R212" s="177"/>
      <c r="S212" s="177"/>
      <c r="T212" s="177"/>
      <c r="U212" s="177"/>
      <c r="V212" s="177"/>
      <c r="W212" s="177"/>
      <c r="X212" s="177"/>
      <c r="Y212" s="177"/>
      <c r="Z212" s="177"/>
    </row>
    <row r="213" ht="13.5" customHeight="1">
      <c r="A213" s="15"/>
      <c r="B213" s="322"/>
      <c r="C213" s="337" t="s">
        <v>139</v>
      </c>
      <c r="D213" s="331">
        <f t="array" ref="D213">'Cálculos'!C148</f>
        <v>0.1</v>
      </c>
      <c r="E213" s="338"/>
      <c r="F213" s="339"/>
      <c r="G213" s="340"/>
      <c r="H213" s="319"/>
      <c r="I213" s="320"/>
      <c r="J213" s="320"/>
      <c r="K213" s="320"/>
      <c r="L213" s="320"/>
      <c r="M213" s="320"/>
      <c r="N213" s="320"/>
      <c r="O213" s="321"/>
      <c r="P213" s="177"/>
      <c r="Q213" s="177"/>
      <c r="R213" s="177"/>
      <c r="S213" s="177"/>
      <c r="T213" s="177"/>
      <c r="U213" s="177"/>
      <c r="V213" s="177"/>
      <c r="W213" s="177"/>
      <c r="X213" s="177"/>
      <c r="Y213" s="177"/>
      <c r="Z213" s="177"/>
    </row>
    <row r="214" ht="13.5" customHeight="1">
      <c r="A214" s="15"/>
      <c r="B214" s="322"/>
      <c r="C214" s="83"/>
      <c r="D214" s="335"/>
      <c r="E214" s="341"/>
      <c r="F214" s="342"/>
      <c r="G214" s="343"/>
      <c r="H214" s="319"/>
      <c r="I214" s="320"/>
      <c r="J214" s="320"/>
      <c r="K214" s="320"/>
      <c r="L214" s="320"/>
      <c r="M214" s="320"/>
      <c r="N214" s="320"/>
      <c r="O214" s="321"/>
      <c r="P214" s="177"/>
      <c r="Q214" s="177"/>
      <c r="R214" s="177"/>
      <c r="S214" s="177"/>
      <c r="T214" s="177"/>
      <c r="U214" s="177"/>
      <c r="V214" s="177"/>
      <c r="W214" s="177"/>
      <c r="X214" s="177"/>
      <c r="Y214" s="177"/>
      <c r="Z214" s="177"/>
    </row>
    <row r="215" ht="13.5" customHeight="1">
      <c r="A215" s="15"/>
      <c r="B215" s="322"/>
      <c r="C215" s="344" t="s">
        <v>140</v>
      </c>
      <c r="D215" s="345" t="s">
        <v>141</v>
      </c>
      <c r="E215" s="345" t="s">
        <v>142</v>
      </c>
      <c r="F215" s="346" t="s">
        <v>143</v>
      </c>
      <c r="G215" s="347"/>
      <c r="H215" s="319"/>
      <c r="I215" s="320"/>
      <c r="J215" s="320"/>
      <c r="K215" s="320"/>
      <c r="L215" s="320"/>
      <c r="M215" s="320"/>
      <c r="N215" s="320"/>
      <c r="O215" s="321"/>
      <c r="P215" s="177"/>
      <c r="Q215" s="177"/>
      <c r="R215" s="177"/>
      <c r="S215" s="177"/>
      <c r="T215" s="177"/>
      <c r="U215" s="177"/>
      <c r="V215" s="177"/>
      <c r="W215" s="177"/>
      <c r="X215" s="177"/>
      <c r="Y215" s="177"/>
      <c r="Z215" s="177"/>
    </row>
    <row r="216" ht="13.5" customHeight="1">
      <c r="A216" s="15"/>
      <c r="B216" s="322"/>
      <c r="C216" s="348" t="s">
        <v>23</v>
      </c>
      <c r="D216" s="205"/>
      <c r="E216" s="205"/>
      <c r="F216" s="349"/>
      <c r="G216" s="350"/>
      <c r="H216" s="319"/>
      <c r="I216" s="320"/>
      <c r="J216" s="16"/>
      <c r="K216" s="16"/>
      <c r="L216" s="320"/>
      <c r="M216" s="320"/>
      <c r="N216" s="320"/>
      <c r="O216" s="321"/>
      <c r="P216" s="177"/>
      <c r="Q216" s="177"/>
      <c r="R216" s="177"/>
      <c r="S216" s="177"/>
      <c r="T216" s="177"/>
      <c r="U216" s="177"/>
      <c r="V216" s="177"/>
      <c r="W216" s="177"/>
      <c r="X216" s="177"/>
      <c r="Y216" s="177"/>
      <c r="Z216" s="177"/>
    </row>
    <row r="217" ht="12.75" customHeight="1">
      <c r="A217" s="15"/>
      <c r="B217" s="322"/>
      <c r="C217" s="352">
        <f t="array" ref="C217">'Cálculos'!B155</f>
        <v>60</v>
      </c>
      <c r="D217" s="353">
        <f t="array" ref="D217">AVERAGE('Cálculos'!C155:G155)</f>
        <v>60</v>
      </c>
      <c r="E217" s="353">
        <f t="array" ref="E217">D217-C217</f>
        <v>0</v>
      </c>
      <c r="F217" s="367">
        <f t="array" ref="F217">'Cálculos'!O155</f>
        <v>0.06885976087</v>
      </c>
      <c r="G217" s="355"/>
      <c r="H217" s="319"/>
      <c r="I217" s="320"/>
      <c r="J217" s="16"/>
      <c r="K217" s="16"/>
      <c r="L217" s="320"/>
      <c r="M217" s="320"/>
      <c r="N217" s="320"/>
      <c r="O217" s="321"/>
      <c r="P217" s="177"/>
      <c r="Q217" s="177"/>
      <c r="R217" s="177"/>
      <c r="S217" s="177"/>
      <c r="T217" s="177"/>
      <c r="U217" s="177"/>
      <c r="V217" s="177"/>
      <c r="W217" s="177"/>
      <c r="X217" s="177"/>
      <c r="Y217" s="177"/>
      <c r="Z217" s="177"/>
    </row>
    <row r="218" ht="13.5" customHeight="1">
      <c r="A218" s="15"/>
      <c r="B218" s="322"/>
      <c r="C218" s="352">
        <f t="array" ref="C218">'Cálculos'!B156</f>
        <v>150</v>
      </c>
      <c r="D218" s="353">
        <f t="array" ref="D218">AVERAGE('Cálculos'!C156:G156)</f>
        <v>150</v>
      </c>
      <c r="E218" s="353">
        <f t="array" ref="E218">D218-C218</f>
        <v>0</v>
      </c>
      <c r="F218" s="367">
        <f t="array" ref="F218">'Cálculos'!O156</f>
        <v>0.06404165311</v>
      </c>
      <c r="G218" s="355"/>
      <c r="H218" s="319"/>
      <c r="I218" s="320"/>
      <c r="J218" s="16"/>
      <c r="K218" s="16"/>
      <c r="L218" s="16"/>
      <c r="M218" s="16"/>
      <c r="N218" s="16"/>
      <c r="O218" s="61"/>
      <c r="P218" s="177"/>
      <c r="Q218" s="177"/>
      <c r="R218" s="177"/>
      <c r="S218" s="177"/>
      <c r="T218" s="177"/>
      <c r="U218" s="177"/>
      <c r="V218" s="177"/>
      <c r="W218" s="177"/>
      <c r="X218" s="177"/>
      <c r="Y218" s="177"/>
      <c r="Z218" s="177"/>
    </row>
    <row r="219" ht="13.5" customHeight="1">
      <c r="A219" s="15"/>
      <c r="B219" s="351"/>
      <c r="C219" s="352">
        <f t="array" ref="C219">'Cálculos'!B157</f>
        <v>300</v>
      </c>
      <c r="D219" s="353">
        <f t="array" ref="D219">AVERAGE('Cálculos'!C157:G157)</f>
        <v>300</v>
      </c>
      <c r="E219" s="353">
        <f t="array" ref="E219">D219-C219</f>
        <v>0</v>
      </c>
      <c r="F219" s="367">
        <f t="array" ref="F219">'Cálculos'!O157</f>
        <v>0.06197042305</v>
      </c>
      <c r="G219" s="355"/>
      <c r="H219" s="319"/>
      <c r="I219" s="320"/>
      <c r="J219" s="16"/>
      <c r="K219" s="16"/>
      <c r="L219" s="16"/>
      <c r="M219" s="16"/>
      <c r="N219" s="16"/>
      <c r="O219" s="61"/>
      <c r="P219" s="177"/>
      <c r="Q219" s="177"/>
      <c r="R219" s="177"/>
      <c r="S219" s="177"/>
      <c r="T219" s="177"/>
      <c r="U219" s="177"/>
      <c r="V219" s="177"/>
      <c r="W219" s="177"/>
      <c r="X219" s="177"/>
      <c r="Y219" s="177"/>
      <c r="Z219" s="177"/>
    </row>
    <row r="220" ht="13.5" customHeight="1">
      <c r="A220" s="15"/>
      <c r="B220" s="351"/>
      <c r="C220" s="352">
        <f t="array" ref="C220">'Cálculos'!B158</f>
        <v>450</v>
      </c>
      <c r="D220" s="353">
        <f t="array" ref="D220">AVERAGE('Cálculos'!C158:G158)</f>
        <v>450.1</v>
      </c>
      <c r="E220" s="353">
        <f t="array" ref="E220">D220-C220</f>
        <v>0.1</v>
      </c>
      <c r="F220" s="367">
        <f t="array" ref="F220">'Cálculos'!O158</f>
        <v>0.06197042305</v>
      </c>
      <c r="G220" s="355"/>
      <c r="H220" s="319"/>
      <c r="I220" s="320"/>
      <c r="J220" s="16"/>
      <c r="K220" s="16"/>
      <c r="L220" s="16"/>
      <c r="M220" s="16"/>
      <c r="N220" s="16"/>
      <c r="O220" s="61"/>
      <c r="P220" s="177"/>
      <c r="Q220" s="177"/>
      <c r="R220" s="177"/>
      <c r="S220" s="177"/>
      <c r="T220" s="177"/>
      <c r="U220" s="177"/>
      <c r="V220" s="177"/>
      <c r="W220" s="177"/>
      <c r="X220" s="177"/>
      <c r="Y220" s="177"/>
      <c r="Z220" s="177"/>
    </row>
    <row r="221" ht="14.25" customHeight="1">
      <c r="A221" s="15"/>
      <c r="B221" s="351"/>
      <c r="C221" s="356">
        <f t="array" ref="C221">'Cálculos'!B159</f>
        <v>540</v>
      </c>
      <c r="D221" s="357">
        <f t="array" ref="D221">AVERAGE('Cálculos'!C159:G159)</f>
        <v>540.1</v>
      </c>
      <c r="E221" s="357">
        <f t="array" ref="E221">D221-C221</f>
        <v>0.1</v>
      </c>
      <c r="F221" s="370">
        <f t="array" ref="F221">'Cálculos'!O159</f>
        <v>0.06197042305</v>
      </c>
      <c r="G221" s="359"/>
      <c r="H221" s="319"/>
      <c r="I221" s="320"/>
      <c r="J221" s="16"/>
      <c r="K221" s="16"/>
      <c r="L221" s="16"/>
      <c r="M221" s="16"/>
      <c r="N221" s="16"/>
      <c r="O221" s="61"/>
      <c r="P221" s="177"/>
      <c r="Q221" s="177"/>
      <c r="R221" s="177"/>
      <c r="S221" s="177"/>
      <c r="T221" s="177"/>
      <c r="U221" s="177"/>
      <c r="V221" s="177"/>
      <c r="W221" s="177"/>
      <c r="X221" s="177"/>
      <c r="Y221" s="177"/>
      <c r="Z221" s="177"/>
    </row>
    <row r="222" ht="12.75" customHeight="1">
      <c r="A222" s="15"/>
      <c r="B222" s="360"/>
      <c r="C222" s="53"/>
      <c r="D222" s="53"/>
      <c r="E222" s="53"/>
      <c r="F222" s="53"/>
      <c r="G222" s="53"/>
      <c r="H222" s="16"/>
      <c r="I222" s="16"/>
      <c r="J222" s="16"/>
      <c r="K222" s="16"/>
      <c r="L222" s="16"/>
      <c r="M222" s="16"/>
      <c r="N222" s="16"/>
      <c r="O222" s="61"/>
      <c r="P222" s="177"/>
      <c r="Q222" s="177"/>
      <c r="R222" s="177"/>
      <c r="S222" s="177"/>
      <c r="T222" s="177"/>
      <c r="U222" s="177"/>
      <c r="V222" s="177"/>
      <c r="W222" s="177"/>
      <c r="X222" s="177"/>
      <c r="Y222" s="177"/>
      <c r="Z222" s="177"/>
    </row>
    <row r="223" ht="13.5" customHeight="1">
      <c r="A223" s="15"/>
      <c r="B223" s="360"/>
      <c r="C223" s="42"/>
      <c r="D223" s="42"/>
      <c r="E223" s="42"/>
      <c r="F223" s="42"/>
      <c r="G223" s="42"/>
      <c r="H223" s="16"/>
      <c r="I223" s="16"/>
      <c r="J223" s="16"/>
      <c r="K223" s="16"/>
      <c r="L223" s="16"/>
      <c r="M223" s="16"/>
      <c r="N223" s="16"/>
      <c r="O223" s="61"/>
      <c r="P223" s="177"/>
      <c r="Q223" s="177"/>
      <c r="R223" s="177"/>
      <c r="S223" s="177"/>
      <c r="T223" s="177"/>
      <c r="U223" s="177"/>
      <c r="V223" s="177"/>
      <c r="W223" s="177"/>
      <c r="X223" s="177"/>
      <c r="Y223" s="177"/>
      <c r="Z223" s="177"/>
    </row>
    <row r="224" ht="15.0" customHeight="1">
      <c r="A224" s="15"/>
      <c r="B224" s="351"/>
      <c r="C224" s="315" t="s">
        <v>135</v>
      </c>
      <c r="D224" s="316" t="str">
        <f t="array" ref="D224">'Cálculos'!B161</f>
        <v>CORRIENTE ELECTRICA ALTERNA (60 Hz)</v>
      </c>
      <c r="E224" s="317"/>
      <c r="F224" s="317"/>
      <c r="G224" s="318"/>
      <c r="H224" s="319"/>
      <c r="I224" s="320"/>
      <c r="J224" s="320"/>
      <c r="K224" s="320"/>
      <c r="L224" s="16"/>
      <c r="M224" s="16"/>
      <c r="N224" s="16"/>
      <c r="O224" s="61"/>
      <c r="P224" s="177"/>
      <c r="Q224" s="177"/>
      <c r="R224" s="177"/>
      <c r="S224" s="177"/>
      <c r="T224" s="177"/>
      <c r="U224" s="177"/>
      <c r="V224" s="177"/>
      <c r="W224" s="177"/>
      <c r="X224" s="177"/>
      <c r="Y224" s="177"/>
      <c r="Z224" s="177"/>
    </row>
    <row r="225" ht="13.5" customHeight="1">
      <c r="A225" s="15"/>
      <c r="B225" s="351"/>
      <c r="C225" s="323"/>
      <c r="D225" s="324"/>
      <c r="E225" s="325"/>
      <c r="F225" s="326"/>
      <c r="G225" s="327" t="s">
        <v>136</v>
      </c>
      <c r="H225" s="319"/>
      <c r="I225" s="320"/>
      <c r="J225" s="320"/>
      <c r="K225" s="320"/>
      <c r="L225" s="16"/>
      <c r="M225" s="16"/>
      <c r="N225" s="16"/>
      <c r="O225" s="61"/>
      <c r="P225" s="177"/>
      <c r="Q225" s="177"/>
      <c r="R225" s="177"/>
      <c r="S225" s="177"/>
      <c r="T225" s="177"/>
      <c r="U225" s="177"/>
      <c r="V225" s="177"/>
      <c r="W225" s="177"/>
      <c r="X225" s="177"/>
      <c r="Y225" s="177"/>
      <c r="Z225" s="177"/>
    </row>
    <row r="226" ht="13.5" customHeight="1">
      <c r="A226" s="15"/>
      <c r="B226" s="351"/>
      <c r="C226" s="328" t="s">
        <v>137</v>
      </c>
      <c r="D226" s="329">
        <f t="array" ref="D226">'Cálculos'!C162</f>
        <v>0</v>
      </c>
      <c r="E226" s="330" t="s">
        <v>138</v>
      </c>
      <c r="F226" s="331">
        <f t="array" ref="F226">'Cálculos'!E162</f>
        <v>60</v>
      </c>
      <c r="G226" s="332" t="str">
        <f t="array" ref="G226">'Cálculos'!C164</f>
        <v>µA</v>
      </c>
      <c r="H226" s="319"/>
      <c r="I226" s="320"/>
      <c r="J226" s="320"/>
      <c r="K226" s="320"/>
      <c r="L226" s="16"/>
      <c r="M226" s="16"/>
      <c r="N226" s="16"/>
      <c r="O226" s="61"/>
      <c r="P226" s="177"/>
      <c r="Q226" s="177"/>
      <c r="R226" s="177"/>
      <c r="S226" s="177"/>
      <c r="T226" s="177"/>
      <c r="U226" s="177"/>
      <c r="V226" s="177"/>
      <c r="W226" s="177"/>
      <c r="X226" s="177"/>
      <c r="Y226" s="177"/>
      <c r="Z226" s="177"/>
    </row>
    <row r="227" ht="12.75" customHeight="1">
      <c r="A227" s="15"/>
      <c r="B227" s="351"/>
      <c r="C227" s="323"/>
      <c r="D227" s="333"/>
      <c r="E227" s="334"/>
      <c r="F227" s="335"/>
      <c r="G227" s="336"/>
      <c r="H227" s="319"/>
      <c r="I227" s="320"/>
      <c r="J227" s="320"/>
      <c r="K227" s="320"/>
      <c r="L227" s="16"/>
      <c r="M227" s="16"/>
      <c r="N227" s="16"/>
      <c r="O227" s="61"/>
      <c r="P227" s="177"/>
      <c r="Q227" s="177"/>
      <c r="R227" s="177"/>
      <c r="S227" s="177"/>
      <c r="T227" s="177"/>
      <c r="U227" s="177"/>
      <c r="V227" s="177"/>
      <c r="W227" s="177"/>
      <c r="X227" s="177"/>
      <c r="Y227" s="177"/>
      <c r="Z227" s="177"/>
    </row>
    <row r="228" ht="13.5" customHeight="1">
      <c r="A228" s="15"/>
      <c r="B228" s="351"/>
      <c r="C228" s="337" t="s">
        <v>139</v>
      </c>
      <c r="D228" s="331">
        <f t="array" ref="D228">'Cálculos'!C163</f>
        <v>0.1</v>
      </c>
      <c r="E228" s="338"/>
      <c r="F228" s="339"/>
      <c r="G228" s="340"/>
      <c r="H228" s="319"/>
      <c r="I228" s="320"/>
      <c r="J228" s="320"/>
      <c r="K228" s="320"/>
      <c r="L228" s="16"/>
      <c r="M228" s="16"/>
      <c r="N228" s="16"/>
      <c r="O228" s="61"/>
      <c r="P228" s="177"/>
      <c r="Q228" s="177"/>
      <c r="R228" s="177"/>
      <c r="S228" s="177"/>
      <c r="T228" s="177"/>
      <c r="U228" s="177"/>
      <c r="V228" s="177"/>
      <c r="W228" s="177"/>
      <c r="X228" s="177"/>
      <c r="Y228" s="177"/>
      <c r="Z228" s="177"/>
    </row>
    <row r="229" ht="13.5" customHeight="1">
      <c r="A229" s="15"/>
      <c r="B229" s="351"/>
      <c r="C229" s="83"/>
      <c r="D229" s="335"/>
      <c r="E229" s="341"/>
      <c r="F229" s="342"/>
      <c r="G229" s="343"/>
      <c r="H229" s="319"/>
      <c r="I229" s="320"/>
      <c r="J229" s="320"/>
      <c r="K229" s="320"/>
      <c r="L229" s="16"/>
      <c r="M229" s="16"/>
      <c r="N229" s="16"/>
      <c r="O229" s="61"/>
      <c r="P229" s="177"/>
      <c r="Q229" s="177"/>
      <c r="R229" s="177"/>
      <c r="S229" s="177"/>
      <c r="T229" s="177"/>
      <c r="U229" s="177"/>
      <c r="V229" s="177"/>
      <c r="W229" s="177"/>
      <c r="X229" s="177"/>
      <c r="Y229" s="177"/>
      <c r="Z229" s="177"/>
    </row>
    <row r="230" ht="13.5" customHeight="1">
      <c r="A230" s="15"/>
      <c r="B230" s="351"/>
      <c r="C230" s="344" t="s">
        <v>140</v>
      </c>
      <c r="D230" s="345" t="s">
        <v>141</v>
      </c>
      <c r="E230" s="345" t="s">
        <v>142</v>
      </c>
      <c r="F230" s="346" t="s">
        <v>143</v>
      </c>
      <c r="G230" s="347"/>
      <c r="H230" s="319"/>
      <c r="I230" s="320"/>
      <c r="J230" s="320"/>
      <c r="K230" s="320"/>
      <c r="L230" s="16"/>
      <c r="M230" s="16"/>
      <c r="N230" s="16"/>
      <c r="O230" s="61"/>
      <c r="P230" s="177"/>
      <c r="Q230" s="177"/>
      <c r="R230" s="177"/>
      <c r="S230" s="177"/>
      <c r="T230" s="177"/>
      <c r="U230" s="177"/>
      <c r="V230" s="177"/>
      <c r="W230" s="177"/>
      <c r="X230" s="177"/>
      <c r="Y230" s="177"/>
      <c r="Z230" s="177"/>
    </row>
    <row r="231" ht="13.5" customHeight="1">
      <c r="A231" s="15"/>
      <c r="B231" s="351"/>
      <c r="C231" s="348" t="s">
        <v>23</v>
      </c>
      <c r="D231" s="205"/>
      <c r="E231" s="205"/>
      <c r="F231" s="349"/>
      <c r="G231" s="350"/>
      <c r="H231" s="319"/>
      <c r="I231" s="320"/>
      <c r="J231" s="16"/>
      <c r="K231" s="16"/>
      <c r="L231" s="16"/>
      <c r="M231" s="16"/>
      <c r="N231" s="16"/>
      <c r="O231" s="61"/>
      <c r="P231" s="177"/>
      <c r="Q231" s="177"/>
      <c r="R231" s="177"/>
      <c r="S231" s="177"/>
      <c r="T231" s="177"/>
      <c r="U231" s="177"/>
      <c r="V231" s="177"/>
      <c r="W231" s="177"/>
      <c r="X231" s="177"/>
      <c r="Y231" s="177"/>
      <c r="Z231" s="177"/>
    </row>
    <row r="232" ht="12.75" customHeight="1">
      <c r="A232" s="15"/>
      <c r="B232" s="322"/>
      <c r="C232" s="352">
        <f t="array" ref="C232">'Cálculos'!B170</f>
        <v>6</v>
      </c>
      <c r="D232" s="353">
        <f t="array" ref="D232">AVERAGE('Cálculos'!C170:G170)</f>
        <v>6</v>
      </c>
      <c r="E232" s="353">
        <f t="array" ref="E232">D232-C232</f>
        <v>0</v>
      </c>
      <c r="F232" s="374">
        <f t="array" ref="F232">'Cálculos'!O170</f>
        <v>0.1662327685</v>
      </c>
      <c r="G232" s="355"/>
      <c r="H232" s="319"/>
      <c r="I232" s="320"/>
      <c r="J232" s="16"/>
      <c r="K232" s="16"/>
      <c r="L232" s="320"/>
      <c r="M232" s="320"/>
      <c r="N232" s="320"/>
      <c r="O232" s="321"/>
      <c r="P232" s="177"/>
      <c r="Q232" s="177"/>
      <c r="R232" s="177"/>
      <c r="S232" s="177"/>
      <c r="T232" s="177"/>
      <c r="U232" s="177"/>
      <c r="V232" s="177"/>
      <c r="W232" s="177"/>
      <c r="X232" s="177"/>
      <c r="Y232" s="177"/>
      <c r="Z232" s="177"/>
    </row>
    <row r="233" ht="13.5" customHeight="1">
      <c r="A233" s="15"/>
      <c r="B233" s="322"/>
      <c r="C233" s="352">
        <f t="array" ref="C233">'Cálculos'!B171</f>
        <v>15</v>
      </c>
      <c r="D233" s="353">
        <f t="array" ref="D233">AVERAGE('Cálculos'!C171:G171)</f>
        <v>15</v>
      </c>
      <c r="E233" s="353">
        <f t="array" ref="E233">D233-C233</f>
        <v>0</v>
      </c>
      <c r="F233" s="374">
        <f t="array" ref="F233">'Cálculos'!O171</f>
        <v>0.1559914528</v>
      </c>
      <c r="G233" s="355"/>
      <c r="H233" s="319"/>
      <c r="I233" s="320"/>
      <c r="J233" s="16"/>
      <c r="K233" s="16"/>
      <c r="L233" s="16"/>
      <c r="M233" s="16"/>
      <c r="N233" s="16"/>
      <c r="O233" s="61"/>
      <c r="P233" s="177"/>
      <c r="Q233" s="177"/>
      <c r="R233" s="177"/>
      <c r="S233" s="177"/>
      <c r="T233" s="177"/>
      <c r="U233" s="177"/>
      <c r="V233" s="177"/>
      <c r="W233" s="177"/>
      <c r="X233" s="177"/>
      <c r="Y233" s="177"/>
      <c r="Z233" s="177"/>
    </row>
    <row r="234" ht="13.5" customHeight="1">
      <c r="A234" s="15"/>
      <c r="B234" s="351"/>
      <c r="C234" s="352">
        <f t="array" ref="C234">'Cálculos'!B172</f>
        <v>30</v>
      </c>
      <c r="D234" s="353">
        <f t="array" ref="D234">AVERAGE('Cálculos'!C172:G172)</f>
        <v>30</v>
      </c>
      <c r="E234" s="353">
        <f t="array" ref="E234">D234-C234</f>
        <v>0</v>
      </c>
      <c r="F234" s="374">
        <f t="array" ref="F234">'Cálculos'!O172</f>
        <v>0.1559914528</v>
      </c>
      <c r="G234" s="355"/>
      <c r="H234" s="319"/>
      <c r="I234" s="320"/>
      <c r="J234" s="16"/>
      <c r="K234" s="16"/>
      <c r="L234" s="16"/>
      <c r="M234" s="16"/>
      <c r="N234" s="16"/>
      <c r="O234" s="61"/>
      <c r="P234" s="177"/>
      <c r="Q234" s="177"/>
      <c r="R234" s="177"/>
      <c r="S234" s="177"/>
      <c r="T234" s="177"/>
      <c r="U234" s="177"/>
      <c r="V234" s="177"/>
      <c r="W234" s="177"/>
      <c r="X234" s="177"/>
      <c r="Y234" s="177"/>
      <c r="Z234" s="177"/>
    </row>
    <row r="235" ht="13.5" customHeight="1">
      <c r="A235" s="15"/>
      <c r="B235" s="351"/>
      <c r="C235" s="352">
        <f t="array" ref="C235">'Cálculos'!B173</f>
        <v>45</v>
      </c>
      <c r="D235" s="353">
        <f t="array" ref="D235">AVERAGE('Cálculos'!C173:G173)</f>
        <v>45</v>
      </c>
      <c r="E235" s="353">
        <f t="array" ref="E235">D235-C235</f>
        <v>0</v>
      </c>
      <c r="F235" s="374">
        <f t="array" ref="F235">'Cálculos'!O173</f>
        <v>0.1559914528</v>
      </c>
      <c r="G235" s="355"/>
      <c r="H235" s="319"/>
      <c r="I235" s="320"/>
      <c r="J235" s="16"/>
      <c r="K235" s="16"/>
      <c r="L235" s="16"/>
      <c r="M235" s="16"/>
      <c r="N235" s="16"/>
      <c r="O235" s="61"/>
      <c r="P235" s="177"/>
      <c r="Q235" s="177"/>
      <c r="R235" s="177"/>
      <c r="S235" s="177"/>
      <c r="T235" s="177"/>
      <c r="U235" s="177"/>
      <c r="V235" s="177"/>
      <c r="W235" s="177"/>
      <c r="X235" s="177"/>
      <c r="Y235" s="177"/>
      <c r="Z235" s="177"/>
    </row>
    <row r="236" ht="14.25" customHeight="1">
      <c r="A236" s="15"/>
      <c r="B236" s="351"/>
      <c r="C236" s="356">
        <f t="array" ref="C236">'Cálculos'!B174</f>
        <v>60</v>
      </c>
      <c r="D236" s="357">
        <f t="array" ref="D236">AVERAGE('Cálculos'!C174:G174)</f>
        <v>60</v>
      </c>
      <c r="E236" s="357">
        <f t="array" ref="E236">D236-C236</f>
        <v>0</v>
      </c>
      <c r="F236" s="364">
        <f t="array" ref="F236">'Cálculos'!O174</f>
        <v>0.1559914528</v>
      </c>
      <c r="G236" s="359"/>
      <c r="H236" s="319"/>
      <c r="I236" s="320"/>
      <c r="J236" s="16"/>
      <c r="K236" s="16"/>
      <c r="L236" s="16"/>
      <c r="M236" s="16"/>
      <c r="N236" s="16"/>
      <c r="O236" s="61"/>
      <c r="P236" s="177"/>
      <c r="Q236" s="177"/>
      <c r="R236" s="177"/>
      <c r="S236" s="177"/>
      <c r="T236" s="177"/>
      <c r="U236" s="177"/>
      <c r="V236" s="177"/>
      <c r="W236" s="177"/>
      <c r="X236" s="177"/>
      <c r="Y236" s="177"/>
      <c r="Z236" s="177"/>
    </row>
    <row r="237" ht="13.5" customHeight="1">
      <c r="A237" s="15"/>
      <c r="B237" s="360"/>
      <c r="C237" s="361"/>
      <c r="D237" s="361"/>
      <c r="E237" s="361"/>
      <c r="F237" s="361"/>
      <c r="G237" s="362"/>
      <c r="H237" s="320"/>
      <c r="I237" s="320"/>
      <c r="J237" s="16"/>
      <c r="K237" s="16"/>
      <c r="L237" s="16"/>
      <c r="M237" s="16"/>
      <c r="N237" s="16"/>
      <c r="O237" s="61"/>
      <c r="P237" s="177"/>
      <c r="Q237" s="177"/>
      <c r="R237" s="177"/>
      <c r="S237" s="177"/>
      <c r="T237" s="177"/>
      <c r="U237" s="177"/>
      <c r="V237" s="177"/>
      <c r="W237" s="177"/>
      <c r="X237" s="177"/>
      <c r="Y237" s="177"/>
      <c r="Z237" s="177"/>
    </row>
    <row r="238" ht="14.25" customHeight="1">
      <c r="A238" s="15"/>
      <c r="B238" s="360"/>
      <c r="C238" s="364"/>
      <c r="D238" s="364"/>
      <c r="E238" s="364"/>
      <c r="F238" s="364"/>
      <c r="G238" s="365"/>
      <c r="H238" s="320"/>
      <c r="I238" s="320"/>
      <c r="J238" s="16"/>
      <c r="K238" s="16"/>
      <c r="L238" s="16"/>
      <c r="M238" s="16"/>
      <c r="N238" s="16"/>
      <c r="O238" s="61"/>
      <c r="P238" s="177"/>
      <c r="Q238" s="177"/>
      <c r="R238" s="177"/>
      <c r="S238" s="177"/>
      <c r="T238" s="177"/>
      <c r="U238" s="177"/>
      <c r="V238" s="177"/>
      <c r="W238" s="177"/>
      <c r="X238" s="177"/>
      <c r="Y238" s="177"/>
      <c r="Z238" s="177"/>
    </row>
    <row r="239" ht="15.0" customHeight="1">
      <c r="A239" s="15"/>
      <c r="B239" s="351"/>
      <c r="C239" s="315" t="s">
        <v>135</v>
      </c>
      <c r="D239" s="316" t="str">
        <f t="array" ref="D239">'Cálculos'!B176</f>
        <v>CORRIENTE ELECTRICA ALTERNA (60 Hz)</v>
      </c>
      <c r="E239" s="317"/>
      <c r="F239" s="317"/>
      <c r="G239" s="318"/>
      <c r="H239" s="319"/>
      <c r="I239" s="320"/>
      <c r="J239" s="320"/>
      <c r="K239" s="320"/>
      <c r="L239" s="16"/>
      <c r="M239" s="16"/>
      <c r="N239" s="16"/>
      <c r="O239" s="61"/>
      <c r="P239" s="177"/>
      <c r="Q239" s="177"/>
      <c r="R239" s="177"/>
      <c r="S239" s="177"/>
      <c r="T239" s="177"/>
      <c r="U239" s="177"/>
      <c r="V239" s="177"/>
      <c r="W239" s="177"/>
      <c r="X239" s="177"/>
      <c r="Y239" s="177"/>
      <c r="Z239" s="177"/>
    </row>
    <row r="240" ht="13.5" customHeight="1">
      <c r="A240" s="15"/>
      <c r="B240" s="351"/>
      <c r="C240" s="323"/>
      <c r="D240" s="324"/>
      <c r="E240" s="325"/>
      <c r="F240" s="326"/>
      <c r="G240" s="327" t="s">
        <v>136</v>
      </c>
      <c r="H240" s="319"/>
      <c r="I240" s="320"/>
      <c r="J240" s="320"/>
      <c r="K240" s="320"/>
      <c r="L240" s="16"/>
      <c r="M240" s="16"/>
      <c r="N240" s="16"/>
      <c r="O240" s="61"/>
      <c r="P240" s="177"/>
      <c r="Q240" s="177"/>
      <c r="R240" s="177"/>
      <c r="S240" s="177"/>
      <c r="T240" s="177"/>
      <c r="U240" s="177"/>
      <c r="V240" s="177"/>
      <c r="W240" s="177"/>
      <c r="X240" s="177"/>
      <c r="Y240" s="177"/>
      <c r="Z240" s="177"/>
    </row>
    <row r="241" ht="13.5" customHeight="1">
      <c r="A241" s="15"/>
      <c r="B241" s="351"/>
      <c r="C241" s="328" t="s">
        <v>137</v>
      </c>
      <c r="D241" s="329">
        <f t="array" ref="D241">'Cálculos'!C177</f>
        <v>0</v>
      </c>
      <c r="E241" s="330" t="s">
        <v>138</v>
      </c>
      <c r="F241" s="331">
        <f t="array" ref="F241">'Cálculos'!E177</f>
        <v>600</v>
      </c>
      <c r="G241" s="332" t="str">
        <f t="array" ref="G241">'Cálculos'!C179</f>
        <v>µA</v>
      </c>
      <c r="H241" s="319"/>
      <c r="I241" s="320"/>
      <c r="J241" s="320"/>
      <c r="K241" s="320"/>
      <c r="L241" s="16"/>
      <c r="M241" s="16"/>
      <c r="N241" s="16"/>
      <c r="O241" s="61"/>
      <c r="P241" s="177"/>
      <c r="Q241" s="177"/>
      <c r="R241" s="177"/>
      <c r="S241" s="177"/>
      <c r="T241" s="177"/>
      <c r="U241" s="177"/>
      <c r="V241" s="177"/>
      <c r="W241" s="177"/>
      <c r="X241" s="177"/>
      <c r="Y241" s="177"/>
      <c r="Z241" s="177"/>
    </row>
    <row r="242" ht="12.75" customHeight="1">
      <c r="A242" s="15"/>
      <c r="B242" s="351"/>
      <c r="C242" s="323"/>
      <c r="D242" s="333"/>
      <c r="E242" s="334"/>
      <c r="F242" s="335"/>
      <c r="G242" s="336"/>
      <c r="H242" s="319"/>
      <c r="I242" s="320"/>
      <c r="J242" s="320"/>
      <c r="K242" s="320"/>
      <c r="L242" s="16"/>
      <c r="M242" s="16"/>
      <c r="N242" s="16"/>
      <c r="O242" s="61"/>
      <c r="P242" s="177"/>
      <c r="Q242" s="177"/>
      <c r="R242" s="177"/>
      <c r="S242" s="177"/>
      <c r="T242" s="177"/>
      <c r="U242" s="177"/>
      <c r="V242" s="177"/>
      <c r="W242" s="177"/>
      <c r="X242" s="177"/>
      <c r="Y242" s="177"/>
      <c r="Z242" s="177"/>
    </row>
    <row r="243" ht="13.5" customHeight="1">
      <c r="A243" s="15"/>
      <c r="B243" s="351"/>
      <c r="C243" s="337" t="s">
        <v>139</v>
      </c>
      <c r="D243" s="331">
        <f t="array" ref="D243">'Cálculos'!C178</f>
        <v>0.1</v>
      </c>
      <c r="E243" s="338"/>
      <c r="F243" s="339"/>
      <c r="G243" s="340"/>
      <c r="H243" s="319"/>
      <c r="I243" s="320"/>
      <c r="J243" s="320"/>
      <c r="K243" s="320"/>
      <c r="L243" s="16"/>
      <c r="M243" s="16"/>
      <c r="N243" s="16"/>
      <c r="O243" s="61"/>
      <c r="P243" s="177"/>
      <c r="Q243" s="177"/>
      <c r="R243" s="177"/>
      <c r="S243" s="177"/>
      <c r="T243" s="177"/>
      <c r="U243" s="177"/>
      <c r="V243" s="177"/>
      <c r="W243" s="177"/>
      <c r="X243" s="177"/>
      <c r="Y243" s="177"/>
      <c r="Z243" s="177"/>
    </row>
    <row r="244" ht="13.5" customHeight="1">
      <c r="A244" s="15"/>
      <c r="B244" s="351"/>
      <c r="C244" s="83"/>
      <c r="D244" s="335"/>
      <c r="E244" s="341"/>
      <c r="F244" s="342"/>
      <c r="G244" s="343"/>
      <c r="H244" s="319"/>
      <c r="I244" s="320"/>
      <c r="J244" s="320"/>
      <c r="K244" s="320"/>
      <c r="L244" s="16"/>
      <c r="M244" s="16"/>
      <c r="N244" s="16"/>
      <c r="O244" s="61"/>
      <c r="P244" s="177"/>
      <c r="Q244" s="177"/>
      <c r="R244" s="177"/>
      <c r="S244" s="177"/>
      <c r="T244" s="177"/>
      <c r="U244" s="177"/>
      <c r="V244" s="177"/>
      <c r="W244" s="177"/>
      <c r="X244" s="177"/>
      <c r="Y244" s="177"/>
      <c r="Z244" s="177"/>
    </row>
    <row r="245" ht="13.5" customHeight="1">
      <c r="A245" s="15"/>
      <c r="B245" s="351"/>
      <c r="C245" s="344" t="s">
        <v>140</v>
      </c>
      <c r="D245" s="345" t="s">
        <v>141</v>
      </c>
      <c r="E245" s="345" t="s">
        <v>142</v>
      </c>
      <c r="F245" s="346" t="s">
        <v>143</v>
      </c>
      <c r="G245" s="347"/>
      <c r="H245" s="319"/>
      <c r="I245" s="320"/>
      <c r="J245" s="320"/>
      <c r="K245" s="320"/>
      <c r="L245" s="16"/>
      <c r="M245" s="16"/>
      <c r="N245" s="16"/>
      <c r="O245" s="61"/>
      <c r="P245" s="177"/>
      <c r="Q245" s="177"/>
      <c r="R245" s="177"/>
      <c r="S245" s="177"/>
      <c r="T245" s="177"/>
      <c r="U245" s="177"/>
      <c r="V245" s="177"/>
      <c r="W245" s="177"/>
      <c r="X245" s="177"/>
      <c r="Y245" s="177"/>
      <c r="Z245" s="177"/>
    </row>
    <row r="246" ht="13.5" customHeight="1">
      <c r="A246" s="15"/>
      <c r="B246" s="351"/>
      <c r="C246" s="348" t="s">
        <v>23</v>
      </c>
      <c r="D246" s="205"/>
      <c r="E246" s="205"/>
      <c r="F246" s="349"/>
      <c r="G246" s="350"/>
      <c r="H246" s="319"/>
      <c r="I246" s="320"/>
      <c r="J246" s="16"/>
      <c r="K246" s="16"/>
      <c r="L246" s="16"/>
      <c r="M246" s="16"/>
      <c r="N246" s="16"/>
      <c r="O246" s="61"/>
      <c r="P246" s="177"/>
      <c r="Q246" s="177"/>
      <c r="R246" s="177"/>
      <c r="S246" s="177"/>
      <c r="T246" s="177"/>
      <c r="U246" s="177"/>
      <c r="V246" s="177"/>
      <c r="W246" s="177"/>
      <c r="X246" s="177"/>
      <c r="Y246" s="177"/>
      <c r="Z246" s="177"/>
    </row>
    <row r="247" ht="12.75" customHeight="1">
      <c r="A247" s="15"/>
      <c r="B247" s="322"/>
      <c r="C247" s="352">
        <f t="array" ref="C247">'Cálculos'!B185</f>
        <v>60</v>
      </c>
      <c r="D247" s="353">
        <f t="array" ref="D247">AVERAGE('Cálculos'!C185:G185)</f>
        <v>60</v>
      </c>
      <c r="E247" s="353">
        <f t="array" ref="E247">D247-C247</f>
        <v>0</v>
      </c>
      <c r="F247" s="374">
        <f t="array" ref="F247">'Cálculos'!O185</f>
        <v>0.1662327685</v>
      </c>
      <c r="G247" s="355"/>
      <c r="H247" s="319"/>
      <c r="I247" s="320"/>
      <c r="J247" s="16"/>
      <c r="K247" s="16"/>
      <c r="L247" s="320"/>
      <c r="M247" s="320"/>
      <c r="N247" s="320"/>
      <c r="O247" s="321"/>
      <c r="P247" s="177"/>
      <c r="Q247" s="177"/>
      <c r="R247" s="177"/>
      <c r="S247" s="177"/>
      <c r="T247" s="177"/>
      <c r="U247" s="177"/>
      <c r="V247" s="177"/>
      <c r="W247" s="177"/>
      <c r="X247" s="177"/>
      <c r="Y247" s="177"/>
      <c r="Z247" s="177"/>
    </row>
    <row r="248" ht="13.5" customHeight="1">
      <c r="A248" s="15"/>
      <c r="B248" s="322"/>
      <c r="C248" s="352">
        <f t="array" ref="C248">'Cálculos'!B186</f>
        <v>150</v>
      </c>
      <c r="D248" s="353">
        <f t="array" ref="D248">AVERAGE('Cálculos'!C186:G186)</f>
        <v>150</v>
      </c>
      <c r="E248" s="353">
        <f t="array" ref="E248">D248-C248</f>
        <v>0</v>
      </c>
      <c r="F248" s="374">
        <f t="array" ref="F248">'Cálculos'!O186</f>
        <v>0.1558856418</v>
      </c>
      <c r="G248" s="355"/>
      <c r="H248" s="319"/>
      <c r="I248" s="320"/>
      <c r="J248" s="16"/>
      <c r="K248" s="16"/>
      <c r="L248" s="16"/>
      <c r="M248" s="16"/>
      <c r="N248" s="16"/>
      <c r="O248" s="61"/>
      <c r="P248" s="177"/>
      <c r="Q248" s="177"/>
      <c r="R248" s="177"/>
      <c r="S248" s="177"/>
      <c r="T248" s="177"/>
      <c r="U248" s="177"/>
      <c r="V248" s="177"/>
      <c r="W248" s="177"/>
      <c r="X248" s="177"/>
      <c r="Y248" s="177"/>
      <c r="Z248" s="177"/>
    </row>
    <row r="249" ht="13.5" customHeight="1">
      <c r="A249" s="15"/>
      <c r="B249" s="351"/>
      <c r="C249" s="352">
        <f t="array" ref="C249">'Cálculos'!B187</f>
        <v>300</v>
      </c>
      <c r="D249" s="353">
        <f t="array" ref="D249">AVERAGE('Cálculos'!C187:G187)</f>
        <v>300</v>
      </c>
      <c r="E249" s="353">
        <f t="array" ref="E249">D249-C249</f>
        <v>0</v>
      </c>
      <c r="F249" s="374">
        <f t="array" ref="F249">'Cálculos'!O187</f>
        <v>0.1558856418</v>
      </c>
      <c r="G249" s="355"/>
      <c r="H249" s="319"/>
      <c r="I249" s="320"/>
      <c r="J249" s="16"/>
      <c r="K249" s="16"/>
      <c r="L249" s="16"/>
      <c r="M249" s="16"/>
      <c r="N249" s="16"/>
      <c r="O249" s="61"/>
      <c r="P249" s="177"/>
      <c r="Q249" s="177"/>
      <c r="R249" s="177"/>
      <c r="S249" s="177"/>
      <c r="T249" s="177"/>
      <c r="U249" s="177"/>
      <c r="V249" s="177"/>
      <c r="W249" s="177"/>
      <c r="X249" s="177"/>
      <c r="Y249" s="177"/>
      <c r="Z249" s="177"/>
    </row>
    <row r="250" ht="13.5" customHeight="1">
      <c r="A250" s="15"/>
      <c r="B250" s="351"/>
      <c r="C250" s="352">
        <f t="array" ref="C250">'Cálculos'!B188</f>
        <v>450</v>
      </c>
      <c r="D250" s="353">
        <f t="array" ref="D250">AVERAGE('Cálculos'!C188:G188)</f>
        <v>450.1</v>
      </c>
      <c r="E250" s="353">
        <f t="array" ref="E250">D250-C250</f>
        <v>0.1</v>
      </c>
      <c r="F250" s="374">
        <f t="array" ref="F250">'Cálculos'!O188</f>
        <v>0.1558856418</v>
      </c>
      <c r="G250" s="355"/>
      <c r="H250" s="319"/>
      <c r="I250" s="320"/>
      <c r="J250" s="16"/>
      <c r="K250" s="16"/>
      <c r="L250" s="16"/>
      <c r="M250" s="16"/>
      <c r="N250" s="16"/>
      <c r="O250" s="61"/>
      <c r="P250" s="177"/>
      <c r="Q250" s="177"/>
      <c r="R250" s="177"/>
      <c r="S250" s="177"/>
      <c r="T250" s="177"/>
      <c r="U250" s="177"/>
      <c r="V250" s="177"/>
      <c r="W250" s="177"/>
      <c r="X250" s="177"/>
      <c r="Y250" s="177"/>
      <c r="Z250" s="177"/>
    </row>
    <row r="251" ht="14.25" customHeight="1">
      <c r="A251" s="15"/>
      <c r="B251" s="351"/>
      <c r="C251" s="356">
        <f t="array" ref="C251">'Cálculos'!B189</f>
        <v>540</v>
      </c>
      <c r="D251" s="357">
        <f t="array" ref="D251">AVERAGE('Cálculos'!C189:G189)</f>
        <v>540.1</v>
      </c>
      <c r="E251" s="357">
        <f t="array" ref="E251">D251-C251</f>
        <v>0.1</v>
      </c>
      <c r="F251" s="364">
        <f t="array" ref="F251">'Cálculos'!O189</f>
        <v>0.1558856418</v>
      </c>
      <c r="G251" s="359"/>
      <c r="H251" s="319"/>
      <c r="I251" s="320"/>
      <c r="J251" s="16"/>
      <c r="K251" s="16"/>
      <c r="L251" s="16"/>
      <c r="M251" s="16"/>
      <c r="N251" s="16"/>
      <c r="O251" s="61"/>
      <c r="P251" s="177"/>
      <c r="Q251" s="177"/>
      <c r="R251" s="177"/>
      <c r="S251" s="177"/>
      <c r="T251" s="177"/>
      <c r="U251" s="177"/>
      <c r="V251" s="177"/>
      <c r="W251" s="177"/>
      <c r="X251" s="177"/>
      <c r="Y251" s="177"/>
      <c r="Z251" s="177"/>
    </row>
    <row r="252" ht="12.75" customHeight="1">
      <c r="A252" s="15"/>
      <c r="B252" s="360"/>
      <c r="C252" s="53"/>
      <c r="D252" s="53"/>
      <c r="E252" s="53"/>
      <c r="F252" s="53"/>
      <c r="G252" s="53"/>
      <c r="H252" s="16"/>
      <c r="I252" s="16"/>
      <c r="J252" s="16"/>
      <c r="K252" s="16"/>
      <c r="L252" s="16"/>
      <c r="M252" s="16"/>
      <c r="N252" s="16"/>
      <c r="O252" s="61"/>
      <c r="P252" s="177"/>
      <c r="Q252" s="177"/>
      <c r="R252" s="177"/>
      <c r="S252" s="177"/>
      <c r="T252" s="177"/>
      <c r="U252" s="177"/>
      <c r="V252" s="177"/>
      <c r="W252" s="177"/>
      <c r="X252" s="177"/>
      <c r="Y252" s="177"/>
      <c r="Z252" s="177"/>
    </row>
    <row r="253" ht="12.75" customHeight="1">
      <c r="A253" s="15"/>
      <c r="B253" s="360"/>
      <c r="C253" s="16"/>
      <c r="D253" s="16"/>
      <c r="E253" s="16"/>
      <c r="F253" s="16"/>
      <c r="G253" s="16"/>
      <c r="H253" s="16"/>
      <c r="I253" s="16"/>
      <c r="J253" s="16"/>
      <c r="K253" s="16"/>
      <c r="L253" s="16"/>
      <c r="M253" s="16"/>
      <c r="N253" s="16"/>
      <c r="O253" s="61"/>
      <c r="P253" s="177"/>
      <c r="Q253" s="177"/>
      <c r="R253" s="177"/>
      <c r="S253" s="177"/>
      <c r="T253" s="177"/>
      <c r="U253" s="177"/>
      <c r="V253" s="177"/>
      <c r="W253" s="177"/>
      <c r="X253" s="177"/>
      <c r="Y253" s="177"/>
      <c r="Z253" s="177"/>
    </row>
    <row r="254" ht="13.5" customHeight="1">
      <c r="A254" s="15"/>
      <c r="B254" s="360"/>
      <c r="C254" s="374"/>
      <c r="D254" s="374"/>
      <c r="E254" s="374"/>
      <c r="F254" s="374"/>
      <c r="G254" s="233"/>
      <c r="H254" s="320"/>
      <c r="I254" s="320"/>
      <c r="J254" s="16"/>
      <c r="K254" s="16"/>
      <c r="L254" s="16"/>
      <c r="M254" s="16"/>
      <c r="N254" s="16"/>
      <c r="O254" s="61"/>
      <c r="P254" s="177"/>
      <c r="Q254" s="177"/>
      <c r="R254" s="177"/>
      <c r="S254" s="177"/>
      <c r="T254" s="177"/>
      <c r="U254" s="177"/>
      <c r="V254" s="177"/>
      <c r="W254" s="177"/>
      <c r="X254" s="177"/>
      <c r="Y254" s="177"/>
      <c r="Z254" s="177"/>
    </row>
    <row r="255" ht="13.5" customHeight="1">
      <c r="A255" s="15"/>
      <c r="B255" s="360"/>
      <c r="C255" s="374"/>
      <c r="D255" s="374"/>
      <c r="E255" s="374"/>
      <c r="F255" s="374"/>
      <c r="G255" s="233"/>
      <c r="H255" s="320"/>
      <c r="I255" s="320"/>
      <c r="J255" s="16"/>
      <c r="K255" s="16"/>
      <c r="L255" s="16"/>
      <c r="M255" s="16"/>
      <c r="N255" s="16"/>
      <c r="O255" s="61"/>
      <c r="P255" s="177"/>
      <c r="Q255" s="177"/>
      <c r="R255" s="177"/>
      <c r="S255" s="177"/>
      <c r="T255" s="177"/>
      <c r="U255" s="177"/>
      <c r="V255" s="177"/>
      <c r="W255" s="177"/>
      <c r="X255" s="177"/>
      <c r="Y255" s="177"/>
      <c r="Z255" s="177"/>
    </row>
    <row r="256" ht="13.5" customHeight="1">
      <c r="A256" s="15"/>
      <c r="B256" s="360"/>
      <c r="C256" s="374"/>
      <c r="D256" s="374"/>
      <c r="E256" s="374"/>
      <c r="F256" s="374"/>
      <c r="G256" s="233"/>
      <c r="H256" s="320"/>
      <c r="I256" s="320"/>
      <c r="J256" s="16"/>
      <c r="K256" s="16"/>
      <c r="L256" s="16"/>
      <c r="M256" s="16"/>
      <c r="N256" s="16"/>
      <c r="O256" s="61"/>
      <c r="P256" s="177"/>
      <c r="Q256" s="177"/>
      <c r="R256" s="177"/>
      <c r="S256" s="177"/>
      <c r="T256" s="177"/>
      <c r="U256" s="177"/>
      <c r="V256" s="177"/>
      <c r="W256" s="177"/>
      <c r="X256" s="177"/>
      <c r="Y256" s="177"/>
      <c r="Z256" s="177"/>
    </row>
    <row r="257" ht="13.5" customHeight="1">
      <c r="A257" s="15"/>
      <c r="B257" s="360"/>
      <c r="C257" s="374"/>
      <c r="D257" s="374"/>
      <c r="E257" s="374"/>
      <c r="F257" s="374"/>
      <c r="G257" s="233"/>
      <c r="H257" s="320"/>
      <c r="I257" s="320"/>
      <c r="J257" s="16"/>
      <c r="K257" s="16"/>
      <c r="L257" s="16"/>
      <c r="M257" s="16"/>
      <c r="N257" s="16"/>
      <c r="O257" s="61"/>
      <c r="P257" s="177"/>
      <c r="Q257" s="177"/>
      <c r="R257" s="177"/>
      <c r="S257" s="177"/>
      <c r="T257" s="177"/>
      <c r="U257" s="177"/>
      <c r="V257" s="177"/>
      <c r="W257" s="177"/>
      <c r="X257" s="177"/>
      <c r="Y257" s="177"/>
      <c r="Z257" s="177"/>
    </row>
    <row r="258" ht="13.5" customHeight="1">
      <c r="A258" s="15"/>
      <c r="B258" s="360"/>
      <c r="C258" s="374"/>
      <c r="D258" s="374"/>
      <c r="E258" s="374"/>
      <c r="F258" s="374"/>
      <c r="G258" s="233"/>
      <c r="H258" s="320"/>
      <c r="I258" s="320"/>
      <c r="J258" s="16"/>
      <c r="K258" s="16"/>
      <c r="L258" s="16"/>
      <c r="M258" s="16"/>
      <c r="N258" s="16"/>
      <c r="O258" s="61"/>
      <c r="P258" s="177"/>
      <c r="Q258" s="177"/>
      <c r="R258" s="177"/>
      <c r="S258" s="177"/>
      <c r="T258" s="177"/>
      <c r="U258" s="177"/>
      <c r="V258" s="177"/>
      <c r="W258" s="177"/>
      <c r="X258" s="177"/>
      <c r="Y258" s="177"/>
      <c r="Z258" s="177"/>
    </row>
    <row r="259" ht="13.5" customHeight="1">
      <c r="A259" s="15"/>
      <c r="B259" s="360"/>
      <c r="C259" s="374"/>
      <c r="D259" s="374"/>
      <c r="E259" s="374"/>
      <c r="F259" s="374"/>
      <c r="G259" s="233"/>
      <c r="H259" s="320"/>
      <c r="I259" s="320"/>
      <c r="J259" s="16"/>
      <c r="K259" s="16"/>
      <c r="L259" s="16"/>
      <c r="M259" s="16"/>
      <c r="N259" s="16"/>
      <c r="O259" s="61"/>
      <c r="P259" s="177"/>
      <c r="Q259" s="177"/>
      <c r="R259" s="177"/>
      <c r="S259" s="177"/>
      <c r="T259" s="177"/>
      <c r="U259" s="177"/>
      <c r="V259" s="177"/>
      <c r="W259" s="177"/>
      <c r="X259" s="177"/>
      <c r="Y259" s="177"/>
      <c r="Z259" s="177"/>
    </row>
    <row r="260" ht="13.5" customHeight="1">
      <c r="A260" s="15"/>
      <c r="B260" s="360"/>
      <c r="C260" s="374"/>
      <c r="D260" s="374"/>
      <c r="E260" s="374"/>
      <c r="F260" s="374"/>
      <c r="G260" s="233"/>
      <c r="H260" s="320"/>
      <c r="I260" s="320"/>
      <c r="J260" s="16"/>
      <c r="K260" s="16"/>
      <c r="L260" s="16"/>
      <c r="M260" s="16"/>
      <c r="N260" s="16"/>
      <c r="O260" s="61"/>
      <c r="P260" s="177"/>
      <c r="Q260" s="177"/>
      <c r="R260" s="177"/>
      <c r="S260" s="177"/>
      <c r="T260" s="177"/>
      <c r="U260" s="177"/>
      <c r="V260" s="177"/>
      <c r="W260" s="177"/>
      <c r="X260" s="177"/>
      <c r="Y260" s="177"/>
      <c r="Z260" s="177"/>
    </row>
    <row r="261" ht="13.5" customHeight="1">
      <c r="A261" s="15"/>
      <c r="B261" s="360"/>
      <c r="C261" s="374"/>
      <c r="D261" s="374"/>
      <c r="E261" s="374"/>
      <c r="F261" s="374"/>
      <c r="G261" s="233"/>
      <c r="H261" s="320"/>
      <c r="I261" s="320"/>
      <c r="J261" s="16"/>
      <c r="K261" s="16"/>
      <c r="L261" s="16"/>
      <c r="M261" s="16"/>
      <c r="N261" s="16"/>
      <c r="O261" s="61"/>
      <c r="P261" s="177"/>
      <c r="Q261" s="177"/>
      <c r="R261" s="177"/>
      <c r="S261" s="177"/>
      <c r="T261" s="177"/>
      <c r="U261" s="177"/>
      <c r="V261" s="177"/>
      <c r="W261" s="177"/>
      <c r="X261" s="177"/>
      <c r="Y261" s="177"/>
      <c r="Z261" s="177"/>
    </row>
    <row r="262" ht="12.75" customHeight="1">
      <c r="A262" s="15"/>
      <c r="B262" s="360"/>
      <c r="C262" s="374"/>
      <c r="D262" s="374"/>
      <c r="E262" s="374"/>
      <c r="F262" s="374"/>
      <c r="G262" s="233"/>
      <c r="H262" s="320"/>
      <c r="I262" s="320"/>
      <c r="J262" s="16"/>
      <c r="K262" s="16"/>
      <c r="L262" s="16"/>
      <c r="M262" s="16"/>
      <c r="N262" s="16"/>
      <c r="O262" s="61"/>
      <c r="P262" s="177"/>
      <c r="Q262" s="177"/>
      <c r="R262" s="177"/>
      <c r="S262" s="177"/>
      <c r="T262" s="177"/>
      <c r="U262" s="177"/>
      <c r="V262" s="177"/>
      <c r="W262" s="177"/>
      <c r="X262" s="177"/>
      <c r="Y262" s="177"/>
      <c r="Z262" s="177"/>
    </row>
    <row r="263" ht="12.75" customHeight="1">
      <c r="A263" s="15"/>
      <c r="B263" s="16"/>
      <c r="C263" s="302"/>
      <c r="D263" s="16"/>
      <c r="E263" s="16"/>
      <c r="F263" s="16"/>
      <c r="G263" s="16"/>
      <c r="H263" s="16"/>
      <c r="I263" s="16"/>
      <c r="J263" s="16"/>
      <c r="K263" s="16"/>
      <c r="L263" s="16"/>
      <c r="M263" s="16"/>
      <c r="N263" s="16"/>
      <c r="O263" s="61"/>
      <c r="P263" s="177"/>
      <c r="Q263" s="177"/>
      <c r="R263" s="177"/>
      <c r="S263" s="177"/>
      <c r="T263" s="177"/>
      <c r="U263" s="177"/>
      <c r="V263" s="177"/>
      <c r="W263" s="177"/>
      <c r="X263" s="177"/>
      <c r="Y263" s="177"/>
      <c r="Z263" s="177"/>
    </row>
    <row r="264" ht="12.75" customHeight="1">
      <c r="A264" s="15"/>
      <c r="B264" s="16"/>
      <c r="C264" s="302"/>
      <c r="D264" s="16"/>
      <c r="E264" s="16"/>
      <c r="F264" s="16"/>
      <c r="G264" s="16"/>
      <c r="H264" s="16"/>
      <c r="I264" s="16"/>
      <c r="J264" s="16"/>
      <c r="K264" s="16"/>
      <c r="L264" s="16"/>
      <c r="M264" s="16"/>
      <c r="N264" s="16"/>
      <c r="O264" s="61"/>
      <c r="P264" s="177"/>
      <c r="Q264" s="177"/>
      <c r="R264" s="177"/>
      <c r="S264" s="177"/>
      <c r="T264" s="177"/>
      <c r="U264" s="177"/>
      <c r="V264" s="177"/>
      <c r="W264" s="177"/>
      <c r="X264" s="177"/>
      <c r="Y264" s="177"/>
      <c r="Z264" s="177"/>
    </row>
    <row r="265" ht="12.75" customHeight="1">
      <c r="A265" s="15"/>
      <c r="B265" s="16"/>
      <c r="C265" s="302"/>
      <c r="D265" s="16"/>
      <c r="E265" s="16"/>
      <c r="F265" s="16"/>
      <c r="G265" s="16"/>
      <c r="H265" s="16"/>
      <c r="I265" s="16"/>
      <c r="J265" s="16"/>
      <c r="K265" s="16"/>
      <c r="L265" s="16"/>
      <c r="M265" s="16"/>
      <c r="N265" s="16"/>
      <c r="O265" s="61"/>
      <c r="P265" s="177"/>
      <c r="Q265" s="177"/>
      <c r="R265" s="177"/>
      <c r="S265" s="177"/>
      <c r="T265" s="177"/>
      <c r="U265" s="177"/>
      <c r="V265" s="177"/>
      <c r="W265" s="177"/>
      <c r="X265" s="177"/>
      <c r="Y265" s="177"/>
      <c r="Z265" s="177"/>
    </row>
    <row r="266" ht="12.75" customHeight="1">
      <c r="A266" s="15"/>
      <c r="B266" s="303"/>
      <c r="C266" s="303"/>
      <c r="D266" s="303"/>
      <c r="E266" s="303"/>
      <c r="F266" s="303"/>
      <c r="G266" s="303"/>
      <c r="H266" s="303"/>
      <c r="I266" s="303"/>
      <c r="J266" s="303"/>
      <c r="K266" s="303"/>
      <c r="L266" s="16"/>
      <c r="M266" s="16"/>
      <c r="N266" s="16"/>
      <c r="O266" s="61"/>
      <c r="P266" s="177"/>
      <c r="Q266" s="177"/>
      <c r="R266" s="177"/>
      <c r="S266" s="177"/>
      <c r="T266" s="177"/>
      <c r="U266" s="177"/>
      <c r="V266" s="177"/>
      <c r="W266" s="177"/>
      <c r="X266" s="177"/>
      <c r="Y266" s="177"/>
      <c r="Z266" s="177"/>
    </row>
    <row r="267" ht="12.75" customHeight="1">
      <c r="A267" s="15"/>
      <c r="B267" s="303"/>
      <c r="C267" s="303"/>
      <c r="D267" s="303"/>
      <c r="E267" s="303"/>
      <c r="F267" s="303"/>
      <c r="G267" s="303"/>
      <c r="H267" s="303"/>
      <c r="I267" s="303"/>
      <c r="J267" s="303"/>
      <c r="K267" s="303"/>
      <c r="L267" s="16"/>
      <c r="M267" s="16"/>
      <c r="N267" s="16"/>
      <c r="O267" s="61"/>
      <c r="P267" s="177"/>
      <c r="Q267" s="177"/>
      <c r="R267" s="177"/>
      <c r="S267" s="177"/>
      <c r="T267" s="177"/>
      <c r="U267" s="177"/>
      <c r="V267" s="177"/>
      <c r="W267" s="177"/>
      <c r="X267" s="177"/>
      <c r="Y267" s="177"/>
      <c r="Z267" s="177"/>
    </row>
    <row r="268" ht="12.75" customHeight="1">
      <c r="A268" s="15"/>
      <c r="B268" s="303"/>
      <c r="C268" s="303"/>
      <c r="D268" s="303"/>
      <c r="E268" s="303"/>
      <c r="F268" s="303"/>
      <c r="G268" s="303"/>
      <c r="H268" s="303"/>
      <c r="I268" s="303"/>
      <c r="J268" s="303"/>
      <c r="K268" s="303"/>
      <c r="L268" s="16"/>
      <c r="M268" s="16"/>
      <c r="N268" s="16"/>
      <c r="O268" s="61"/>
      <c r="P268" s="177"/>
      <c r="Q268" s="177"/>
      <c r="R268" s="177"/>
      <c r="S268" s="177"/>
      <c r="T268" s="177"/>
      <c r="U268" s="177"/>
      <c r="V268" s="177"/>
      <c r="W268" s="177"/>
      <c r="X268" s="177"/>
      <c r="Y268" s="177"/>
      <c r="Z268" s="177"/>
    </row>
    <row r="269" ht="12.75" customHeight="1">
      <c r="A269" s="15"/>
      <c r="B269" s="16"/>
      <c r="C269" s="302"/>
      <c r="D269" s="16"/>
      <c r="E269" s="16"/>
      <c r="F269" s="16"/>
      <c r="G269" s="16"/>
      <c r="H269" s="16"/>
      <c r="I269" s="16"/>
      <c r="J269" s="16"/>
      <c r="K269" s="16"/>
      <c r="L269" s="16"/>
      <c r="M269" s="16"/>
      <c r="N269" s="16"/>
      <c r="O269" s="61"/>
      <c r="P269" s="177"/>
      <c r="Q269" s="177"/>
      <c r="R269" s="177"/>
      <c r="S269" s="177"/>
      <c r="T269" s="177"/>
      <c r="U269" s="177"/>
      <c r="V269" s="177"/>
      <c r="W269" s="177"/>
      <c r="X269" s="177"/>
      <c r="Y269" s="177"/>
      <c r="Z269" s="177"/>
    </row>
    <row r="270" ht="23.25" customHeight="1">
      <c r="A270" s="15"/>
      <c r="B270" s="303"/>
      <c r="C270" s="303"/>
      <c r="D270" s="303"/>
      <c r="E270" s="303"/>
      <c r="F270" s="303"/>
      <c r="G270" s="303"/>
      <c r="H270" s="220" t="s">
        <v>156</v>
      </c>
      <c r="I270" s="190"/>
      <c r="J270" s="304" t="str">
        <f t="array" ref="J270">J$9</f>
        <v>E-MK-0153/26</v>
      </c>
      <c r="K270" s="190"/>
      <c r="L270" s="16"/>
      <c r="M270" s="16"/>
      <c r="N270" s="16"/>
      <c r="O270" s="61"/>
      <c r="P270" s="177"/>
      <c r="Q270" s="177"/>
      <c r="R270" s="177"/>
      <c r="S270" s="177"/>
      <c r="T270" s="177"/>
      <c r="U270" s="177"/>
      <c r="V270" s="177"/>
      <c r="W270" s="177"/>
      <c r="X270" s="177"/>
      <c r="Y270" s="177"/>
      <c r="Z270" s="177"/>
    </row>
    <row r="271" ht="23.25" customHeight="1">
      <c r="A271" s="15"/>
      <c r="B271" s="303"/>
      <c r="C271" s="305" t="s">
        <v>131</v>
      </c>
      <c r="D271" s="306"/>
      <c r="E271" s="306"/>
      <c r="F271" s="306"/>
      <c r="G271" s="243"/>
      <c r="H271" s="220" t="s">
        <v>157</v>
      </c>
      <c r="I271" s="190"/>
      <c r="J271" s="307">
        <f t="array" ref="J271">J$10</f>
        <v>46037</v>
      </c>
      <c r="K271" s="190"/>
      <c r="L271" s="16"/>
      <c r="M271" s="16"/>
      <c r="N271" s="16"/>
      <c r="O271" s="61"/>
      <c r="P271" s="177"/>
      <c r="Q271" s="177"/>
      <c r="R271" s="177"/>
      <c r="S271" s="177"/>
      <c r="T271" s="177"/>
      <c r="U271" s="177"/>
      <c r="V271" s="177"/>
      <c r="W271" s="177"/>
      <c r="X271" s="177"/>
      <c r="Y271" s="177"/>
      <c r="Z271" s="177"/>
    </row>
    <row r="272" ht="23.25" customHeight="1">
      <c r="A272" s="15"/>
      <c r="B272" s="303"/>
      <c r="C272" s="248"/>
      <c r="D272" s="308"/>
      <c r="E272" s="308"/>
      <c r="F272" s="308"/>
      <c r="G272" s="249"/>
      <c r="H272" s="220" t="s">
        <v>158</v>
      </c>
      <c r="I272" s="190"/>
      <c r="J272" s="307">
        <f t="array" ref="J272">J$11</f>
        <v>46037</v>
      </c>
      <c r="K272" s="190"/>
      <c r="L272" s="16"/>
      <c r="M272" s="16"/>
      <c r="N272" s="16"/>
      <c r="O272" s="61"/>
      <c r="P272" s="177"/>
      <c r="Q272" s="177"/>
      <c r="R272" s="177"/>
      <c r="S272" s="177"/>
      <c r="T272" s="177"/>
      <c r="U272" s="177"/>
      <c r="V272" s="177"/>
      <c r="W272" s="177"/>
      <c r="X272" s="177"/>
      <c r="Y272" s="177"/>
      <c r="Z272" s="177"/>
    </row>
    <row r="273" ht="23.25" customHeight="1">
      <c r="A273" s="15"/>
      <c r="B273" s="303"/>
      <c r="C273" s="303"/>
      <c r="D273" s="303"/>
      <c r="E273" s="303"/>
      <c r="F273" s="303"/>
      <c r="G273" s="303"/>
      <c r="H273" s="220" t="s">
        <v>159</v>
      </c>
      <c r="I273" s="190"/>
      <c r="J273" s="212" t="str">
        <f t="array" ref="J273">CONCATENATE(J274," de ",J274)</f>
        <v>6 de 6</v>
      </c>
      <c r="K273" s="190"/>
      <c r="L273" s="16"/>
      <c r="M273" s="16"/>
      <c r="N273" s="16"/>
      <c r="O273" s="61"/>
      <c r="P273" s="177"/>
      <c r="Q273" s="177"/>
      <c r="R273" s="177"/>
      <c r="S273" s="177"/>
      <c r="T273" s="177"/>
      <c r="U273" s="177"/>
      <c r="V273" s="177"/>
      <c r="W273" s="177"/>
      <c r="X273" s="177"/>
      <c r="Y273" s="177"/>
      <c r="Z273" s="177"/>
    </row>
    <row r="274" ht="12.75" customHeight="1">
      <c r="A274" s="15"/>
      <c r="B274" s="360"/>
      <c r="C274" s="364"/>
      <c r="D274" s="364"/>
      <c r="E274" s="364"/>
      <c r="F274" s="364"/>
      <c r="G274" s="365"/>
      <c r="H274" s="320"/>
      <c r="I274" s="320"/>
      <c r="J274" s="312">
        <f t="array" ref="J274">J208+1</f>
        <v>6</v>
      </c>
      <c r="K274" s="313">
        <f t="array" ref="K274">K208</f>
        <v>7</v>
      </c>
      <c r="L274" s="16"/>
      <c r="M274" s="16"/>
      <c r="N274" s="16"/>
      <c r="O274" s="61"/>
      <c r="P274" s="177"/>
      <c r="Q274" s="177"/>
      <c r="R274" s="177"/>
      <c r="S274" s="177"/>
      <c r="T274" s="177"/>
      <c r="U274" s="177"/>
      <c r="V274" s="177"/>
      <c r="W274" s="177"/>
      <c r="X274" s="177"/>
      <c r="Y274" s="177"/>
      <c r="Z274" s="177"/>
    </row>
    <row r="275" ht="15.0" customHeight="1">
      <c r="A275" s="15"/>
      <c r="B275" s="351"/>
      <c r="C275" s="315" t="s">
        <v>135</v>
      </c>
      <c r="D275" s="316" t="str">
        <f t="array" ref="D275">'Cálculos'!B191</f>
        <v>RESISTENCIA ELECTRICA </v>
      </c>
      <c r="E275" s="317"/>
      <c r="F275" s="317"/>
      <c r="G275" s="318"/>
      <c r="H275" s="319"/>
      <c r="I275" s="320"/>
      <c r="J275" s="320"/>
      <c r="K275" s="320"/>
      <c r="L275" s="16"/>
      <c r="M275" s="16"/>
      <c r="N275" s="16"/>
      <c r="O275" s="61"/>
      <c r="P275" s="177"/>
      <c r="Q275" s="177"/>
      <c r="R275" s="177"/>
      <c r="S275" s="177"/>
      <c r="T275" s="177"/>
      <c r="U275" s="177"/>
      <c r="V275" s="177"/>
      <c r="W275" s="177"/>
      <c r="X275" s="177"/>
      <c r="Y275" s="177"/>
      <c r="Z275" s="177"/>
    </row>
    <row r="276" ht="13.5" customHeight="1">
      <c r="A276" s="15"/>
      <c r="B276" s="351"/>
      <c r="C276" s="323"/>
      <c r="D276" s="324"/>
      <c r="E276" s="325"/>
      <c r="F276" s="326"/>
      <c r="G276" s="327" t="s">
        <v>136</v>
      </c>
      <c r="H276" s="319"/>
      <c r="I276" s="320"/>
      <c r="J276" s="320"/>
      <c r="K276" s="320"/>
      <c r="L276" s="16"/>
      <c r="M276" s="16"/>
      <c r="N276" s="16"/>
      <c r="O276" s="61"/>
      <c r="P276" s="177"/>
      <c r="Q276" s="177"/>
      <c r="R276" s="177"/>
      <c r="S276" s="177"/>
      <c r="T276" s="177"/>
      <c r="U276" s="177"/>
      <c r="V276" s="177"/>
      <c r="W276" s="177"/>
      <c r="X276" s="177"/>
      <c r="Y276" s="177"/>
      <c r="Z276" s="177"/>
    </row>
    <row r="277" ht="13.5" customHeight="1">
      <c r="A277" s="15"/>
      <c r="B277" s="351"/>
      <c r="C277" s="328" t="s">
        <v>137</v>
      </c>
      <c r="D277" s="329">
        <f t="array" ref="D277">'Cálculos'!C192</f>
        <v>0</v>
      </c>
      <c r="E277" s="330" t="s">
        <v>138</v>
      </c>
      <c r="F277" s="331">
        <f t="array" ref="F277">'Cálculos'!E192</f>
        <v>600</v>
      </c>
      <c r="G277" s="332" t="str">
        <f t="array" ref="G277">'Cálculos'!C194</f>
        <v>Ω</v>
      </c>
      <c r="H277" s="319"/>
      <c r="I277" s="320"/>
      <c r="J277" s="320"/>
      <c r="K277" s="320"/>
      <c r="L277" s="16"/>
      <c r="M277" s="16"/>
      <c r="N277" s="16"/>
      <c r="O277" s="61"/>
      <c r="P277" s="177"/>
      <c r="Q277" s="177"/>
      <c r="R277" s="177"/>
      <c r="S277" s="177"/>
      <c r="T277" s="177"/>
      <c r="U277" s="177"/>
      <c r="V277" s="177"/>
      <c r="W277" s="177"/>
      <c r="X277" s="177"/>
      <c r="Y277" s="177"/>
      <c r="Z277" s="177"/>
    </row>
    <row r="278" ht="12.75" customHeight="1">
      <c r="A278" s="15"/>
      <c r="B278" s="351"/>
      <c r="C278" s="323"/>
      <c r="D278" s="333"/>
      <c r="E278" s="334"/>
      <c r="F278" s="335"/>
      <c r="G278" s="336"/>
      <c r="H278" s="319"/>
      <c r="I278" s="320"/>
      <c r="J278" s="320"/>
      <c r="K278" s="320"/>
      <c r="L278" s="16"/>
      <c r="M278" s="16"/>
      <c r="N278" s="16"/>
      <c r="O278" s="61"/>
      <c r="P278" s="177"/>
      <c r="Q278" s="177"/>
      <c r="R278" s="177"/>
      <c r="S278" s="177"/>
      <c r="T278" s="177"/>
      <c r="U278" s="177"/>
      <c r="V278" s="177"/>
      <c r="W278" s="177"/>
      <c r="X278" s="177"/>
      <c r="Y278" s="177"/>
      <c r="Z278" s="177"/>
    </row>
    <row r="279" ht="13.5" customHeight="1">
      <c r="A279" s="15"/>
      <c r="B279" s="351"/>
      <c r="C279" s="337" t="s">
        <v>139</v>
      </c>
      <c r="D279" s="331">
        <f t="array" ref="D279">'Cálculos'!C193</f>
        <v>0.1</v>
      </c>
      <c r="E279" s="338"/>
      <c r="F279" s="339"/>
      <c r="G279" s="340"/>
      <c r="H279" s="319"/>
      <c r="I279" s="320"/>
      <c r="J279" s="320"/>
      <c r="K279" s="320"/>
      <c r="L279" s="16"/>
      <c r="M279" s="16"/>
      <c r="N279" s="16"/>
      <c r="O279" s="61"/>
      <c r="P279" s="177"/>
      <c r="Q279" s="177"/>
      <c r="R279" s="177"/>
      <c r="S279" s="177"/>
      <c r="T279" s="177"/>
      <c r="U279" s="177"/>
      <c r="V279" s="177"/>
      <c r="W279" s="177"/>
      <c r="X279" s="177"/>
      <c r="Y279" s="177"/>
      <c r="Z279" s="177"/>
    </row>
    <row r="280" ht="13.5" customHeight="1">
      <c r="A280" s="15"/>
      <c r="B280" s="351"/>
      <c r="C280" s="83"/>
      <c r="D280" s="335"/>
      <c r="E280" s="341"/>
      <c r="F280" s="342"/>
      <c r="G280" s="343"/>
      <c r="H280" s="319"/>
      <c r="I280" s="320"/>
      <c r="J280" s="320"/>
      <c r="K280" s="320"/>
      <c r="L280" s="16"/>
      <c r="M280" s="16"/>
      <c r="N280" s="16"/>
      <c r="O280" s="61"/>
      <c r="P280" s="177"/>
      <c r="Q280" s="177"/>
      <c r="R280" s="177"/>
      <c r="S280" s="177"/>
      <c r="T280" s="177"/>
      <c r="U280" s="177"/>
      <c r="V280" s="177"/>
      <c r="W280" s="177"/>
      <c r="X280" s="177"/>
      <c r="Y280" s="177"/>
      <c r="Z280" s="177"/>
    </row>
    <row r="281" ht="13.5" customHeight="1">
      <c r="A281" s="15"/>
      <c r="B281" s="351"/>
      <c r="C281" s="344" t="s">
        <v>140</v>
      </c>
      <c r="D281" s="345" t="s">
        <v>141</v>
      </c>
      <c r="E281" s="345" t="s">
        <v>142</v>
      </c>
      <c r="F281" s="346" t="s">
        <v>143</v>
      </c>
      <c r="G281" s="347"/>
      <c r="H281" s="319"/>
      <c r="I281" s="320"/>
      <c r="J281" s="320"/>
      <c r="K281" s="320"/>
      <c r="L281" s="16"/>
      <c r="M281" s="16"/>
      <c r="N281" s="16"/>
      <c r="O281" s="61"/>
      <c r="P281" s="177"/>
      <c r="Q281" s="177"/>
      <c r="R281" s="177"/>
      <c r="S281" s="177"/>
      <c r="T281" s="177"/>
      <c r="U281" s="177"/>
      <c r="V281" s="177"/>
      <c r="W281" s="177"/>
      <c r="X281" s="177"/>
      <c r="Y281" s="177"/>
      <c r="Z281" s="177"/>
    </row>
    <row r="282" ht="12.75" customHeight="1">
      <c r="A282" s="15"/>
      <c r="B282" s="322"/>
      <c r="C282" s="348" t="s">
        <v>23</v>
      </c>
      <c r="D282" s="205"/>
      <c r="E282" s="205"/>
      <c r="F282" s="349"/>
      <c r="G282" s="350"/>
      <c r="H282" s="319"/>
      <c r="I282" s="320"/>
      <c r="J282" s="16"/>
      <c r="K282" s="16"/>
      <c r="L282" s="320"/>
      <c r="M282" s="320"/>
      <c r="N282" s="320"/>
      <c r="O282" s="321"/>
      <c r="P282" s="177"/>
      <c r="Q282" s="177"/>
      <c r="R282" s="177"/>
      <c r="S282" s="177"/>
      <c r="T282" s="177"/>
      <c r="U282" s="177"/>
      <c r="V282" s="177"/>
      <c r="W282" s="177"/>
      <c r="X282" s="177"/>
      <c r="Y282" s="177"/>
      <c r="Z282" s="177"/>
    </row>
    <row r="283" ht="13.5" customHeight="1">
      <c r="A283" s="15"/>
      <c r="B283" s="322"/>
      <c r="C283" s="352">
        <f t="array" ref="C283">'Cálculos'!B200</f>
        <v>10.4123</v>
      </c>
      <c r="D283" s="353">
        <f t="array" ref="D283">AVERAGE('Cálculos'!C200:G200)</f>
        <v>10.5</v>
      </c>
      <c r="E283" s="353">
        <f t="array" ref="E283">D283-C283</f>
        <v>0.0877</v>
      </c>
      <c r="F283" s="354">
        <f t="array" ref="F283">'Cálculos'!O200</f>
        <v>0.05774516626</v>
      </c>
      <c r="G283" s="355"/>
      <c r="H283" s="319"/>
      <c r="I283" s="320"/>
      <c r="J283" s="16"/>
      <c r="K283" s="16"/>
      <c r="L283" s="16"/>
      <c r="M283" s="16"/>
      <c r="N283" s="16"/>
      <c r="O283" s="61"/>
      <c r="P283" s="177"/>
      <c r="Q283" s="177"/>
      <c r="R283" s="177"/>
      <c r="S283" s="177"/>
      <c r="T283" s="177"/>
      <c r="U283" s="177"/>
      <c r="V283" s="177"/>
      <c r="W283" s="177"/>
      <c r="X283" s="177"/>
      <c r="Y283" s="177"/>
      <c r="Z283" s="177"/>
    </row>
    <row r="284" ht="13.5" customHeight="1">
      <c r="A284" s="15"/>
      <c r="B284" s="351"/>
      <c r="C284" s="352">
        <f t="array" ref="C284">'Cálculos'!B201</f>
        <v>100.365</v>
      </c>
      <c r="D284" s="353">
        <f t="array" ref="D284">AVERAGE('Cálculos'!C201:G201)</f>
        <v>100.4</v>
      </c>
      <c r="E284" s="353">
        <f t="array" ref="E284">D284-C284</f>
        <v>0.035</v>
      </c>
      <c r="F284" s="354">
        <f t="array" ref="F284">'Cálculos'!O201</f>
        <v>0.05866961029</v>
      </c>
      <c r="G284" s="355"/>
      <c r="H284" s="319"/>
      <c r="I284" s="320"/>
      <c r="J284" s="16"/>
      <c r="K284" s="16"/>
      <c r="L284" s="16"/>
      <c r="M284" s="16"/>
      <c r="N284" s="16"/>
      <c r="O284" s="61"/>
      <c r="P284" s="177"/>
      <c r="Q284" s="177"/>
      <c r="R284" s="177"/>
      <c r="S284" s="177"/>
      <c r="T284" s="177"/>
      <c r="U284" s="177"/>
      <c r="V284" s="177"/>
      <c r="W284" s="177"/>
      <c r="X284" s="177"/>
      <c r="Y284" s="177"/>
      <c r="Z284" s="177"/>
    </row>
    <row r="285" ht="13.5" hidden="1" customHeight="1">
      <c r="A285" s="15"/>
      <c r="B285" s="351"/>
      <c r="C285" s="373"/>
      <c r="D285" s="353"/>
      <c r="E285" s="353"/>
      <c r="F285" s="354"/>
      <c r="G285" s="355"/>
      <c r="H285" s="319"/>
      <c r="I285" s="320"/>
      <c r="J285" s="16"/>
      <c r="K285" s="16"/>
      <c r="L285" s="16"/>
      <c r="M285" s="16"/>
      <c r="N285" s="16"/>
      <c r="O285" s="61"/>
      <c r="P285" s="177"/>
      <c r="Q285" s="177"/>
      <c r="R285" s="177"/>
      <c r="S285" s="177"/>
      <c r="T285" s="177"/>
      <c r="U285" s="177"/>
      <c r="V285" s="177"/>
      <c r="W285" s="177"/>
      <c r="X285" s="177"/>
      <c r="Y285" s="177"/>
      <c r="Z285" s="177"/>
    </row>
    <row r="286" ht="13.5" hidden="1" customHeight="1">
      <c r="A286" s="15"/>
      <c r="B286" s="351"/>
      <c r="C286" s="373"/>
      <c r="D286" s="353"/>
      <c r="E286" s="353"/>
      <c r="F286" s="354"/>
      <c r="G286" s="355"/>
      <c r="H286" s="319"/>
      <c r="I286" s="320"/>
      <c r="J286" s="16"/>
      <c r="K286" s="16"/>
      <c r="L286" s="16"/>
      <c r="M286" s="16"/>
      <c r="N286" s="16"/>
      <c r="O286" s="61"/>
      <c r="P286" s="177"/>
      <c r="Q286" s="177"/>
      <c r="R286" s="177"/>
      <c r="S286" s="177"/>
      <c r="T286" s="177"/>
      <c r="U286" s="177"/>
      <c r="V286" s="177"/>
      <c r="W286" s="177"/>
      <c r="X286" s="177"/>
      <c r="Y286" s="177"/>
      <c r="Z286" s="177"/>
    </row>
    <row r="287" ht="14.25" customHeight="1">
      <c r="A287" s="15"/>
      <c r="B287" s="351"/>
      <c r="C287" s="375"/>
      <c r="D287" s="357"/>
      <c r="E287" s="357"/>
      <c r="F287" s="358"/>
      <c r="G287" s="359"/>
      <c r="H287" s="319"/>
      <c r="I287" s="320"/>
      <c r="J287" s="16"/>
      <c r="K287" s="16"/>
      <c r="L287" s="16"/>
      <c r="M287" s="16"/>
      <c r="N287" s="16"/>
      <c r="O287" s="61"/>
      <c r="P287" s="177"/>
      <c r="Q287" s="177"/>
      <c r="R287" s="177"/>
      <c r="S287" s="177"/>
      <c r="T287" s="177"/>
      <c r="U287" s="177"/>
      <c r="V287" s="177"/>
      <c r="W287" s="177"/>
      <c r="X287" s="177"/>
      <c r="Y287" s="177"/>
      <c r="Z287" s="177"/>
    </row>
    <row r="288" ht="12.75" customHeight="1">
      <c r="A288" s="15"/>
      <c r="B288" s="360"/>
      <c r="C288" s="53"/>
      <c r="D288" s="53"/>
      <c r="E288" s="53"/>
      <c r="F288" s="53"/>
      <c r="G288" s="53"/>
      <c r="H288" s="16"/>
      <c r="I288" s="16"/>
      <c r="J288" s="16"/>
      <c r="K288" s="16"/>
      <c r="L288" s="16"/>
      <c r="M288" s="16"/>
      <c r="N288" s="16"/>
      <c r="O288" s="61"/>
      <c r="P288" s="177"/>
      <c r="Q288" s="177"/>
      <c r="R288" s="177"/>
      <c r="S288" s="177"/>
      <c r="T288" s="177"/>
      <c r="U288" s="177"/>
      <c r="V288" s="177"/>
      <c r="W288" s="177"/>
      <c r="X288" s="177"/>
      <c r="Y288" s="177"/>
      <c r="Z288" s="177"/>
    </row>
    <row r="289" ht="13.5" customHeight="1">
      <c r="A289" s="15"/>
      <c r="B289" s="360"/>
      <c r="C289" s="42"/>
      <c r="D289" s="42"/>
      <c r="E289" s="42"/>
      <c r="F289" s="42"/>
      <c r="G289" s="42"/>
      <c r="H289" s="16"/>
      <c r="I289" s="16"/>
      <c r="J289" s="16"/>
      <c r="K289" s="16"/>
      <c r="L289" s="16"/>
      <c r="M289" s="16"/>
      <c r="N289" s="16"/>
      <c r="O289" s="61"/>
      <c r="P289" s="177"/>
      <c r="Q289" s="177"/>
      <c r="R289" s="177"/>
      <c r="S289" s="177"/>
      <c r="T289" s="177"/>
      <c r="U289" s="177"/>
      <c r="V289" s="177"/>
      <c r="W289" s="177"/>
      <c r="X289" s="177"/>
      <c r="Y289" s="177"/>
      <c r="Z289" s="177"/>
    </row>
    <row r="290" ht="15.0" customHeight="1">
      <c r="A290" s="15"/>
      <c r="B290" s="351"/>
      <c r="C290" s="315" t="s">
        <v>135</v>
      </c>
      <c r="D290" s="316" t="str">
        <f t="array" ref="D290">'Cálculos'!B206</f>
        <v>RESISTENCIA ELECTRICA </v>
      </c>
      <c r="E290" s="317"/>
      <c r="F290" s="317"/>
      <c r="G290" s="318"/>
      <c r="H290" s="319"/>
      <c r="I290" s="320"/>
      <c r="J290" s="320"/>
      <c r="K290" s="320"/>
      <c r="L290" s="16"/>
      <c r="M290" s="16"/>
      <c r="N290" s="16"/>
      <c r="O290" s="61"/>
      <c r="P290" s="177"/>
      <c r="Q290" s="177"/>
      <c r="R290" s="177"/>
      <c r="S290" s="177"/>
      <c r="T290" s="177"/>
      <c r="U290" s="177"/>
      <c r="V290" s="177"/>
      <c r="W290" s="177"/>
      <c r="X290" s="177"/>
      <c r="Y290" s="177"/>
      <c r="Z290" s="177"/>
    </row>
    <row r="291" ht="13.5" customHeight="1">
      <c r="A291" s="15"/>
      <c r="B291" s="351"/>
      <c r="C291" s="323"/>
      <c r="D291" s="324"/>
      <c r="E291" s="325"/>
      <c r="F291" s="326"/>
      <c r="G291" s="327" t="s">
        <v>136</v>
      </c>
      <c r="H291" s="319"/>
      <c r="I291" s="320"/>
      <c r="J291" s="320"/>
      <c r="K291" s="320"/>
      <c r="L291" s="16"/>
      <c r="M291" s="16"/>
      <c r="N291" s="16"/>
      <c r="O291" s="61"/>
      <c r="P291" s="177"/>
      <c r="Q291" s="177"/>
      <c r="R291" s="177"/>
      <c r="S291" s="177"/>
      <c r="T291" s="177"/>
      <c r="U291" s="177"/>
      <c r="V291" s="177"/>
      <c r="W291" s="177"/>
      <c r="X291" s="177"/>
      <c r="Y291" s="177"/>
      <c r="Z291" s="177"/>
    </row>
    <row r="292" ht="13.5" customHeight="1">
      <c r="A292" s="15"/>
      <c r="B292" s="351"/>
      <c r="C292" s="328" t="s">
        <v>137</v>
      </c>
      <c r="D292" s="329">
        <f t="array" ref="D292">'Cálculos'!C207</f>
        <v>0</v>
      </c>
      <c r="E292" s="330" t="s">
        <v>138</v>
      </c>
      <c r="F292" s="331">
        <f t="array" ref="F292">'Cálculos'!E207</f>
        <v>6</v>
      </c>
      <c r="G292" s="332" t="str">
        <f t="array" ref="G292">'Cálculos'!C209</f>
        <v>kΩ</v>
      </c>
      <c r="H292" s="319"/>
      <c r="I292" s="320"/>
      <c r="J292" s="320"/>
      <c r="K292" s="320"/>
      <c r="L292" s="16"/>
      <c r="M292" s="16"/>
      <c r="N292" s="16"/>
      <c r="O292" s="61"/>
      <c r="P292" s="177"/>
      <c r="Q292" s="177"/>
      <c r="R292" s="177"/>
      <c r="S292" s="177"/>
      <c r="T292" s="177"/>
      <c r="U292" s="177"/>
      <c r="V292" s="177"/>
      <c r="W292" s="177"/>
      <c r="X292" s="177"/>
      <c r="Y292" s="177"/>
      <c r="Z292" s="177"/>
    </row>
    <row r="293" ht="12.75" customHeight="1">
      <c r="A293" s="15"/>
      <c r="B293" s="351"/>
      <c r="C293" s="323"/>
      <c r="D293" s="333"/>
      <c r="E293" s="334"/>
      <c r="F293" s="335"/>
      <c r="G293" s="336"/>
      <c r="H293" s="319"/>
      <c r="I293" s="320"/>
      <c r="J293" s="320"/>
      <c r="K293" s="320"/>
      <c r="L293" s="16"/>
      <c r="M293" s="16"/>
      <c r="N293" s="16"/>
      <c r="O293" s="61"/>
      <c r="P293" s="177"/>
      <c r="Q293" s="177"/>
      <c r="R293" s="177"/>
      <c r="S293" s="177"/>
      <c r="T293" s="177"/>
      <c r="U293" s="177"/>
      <c r="V293" s="177"/>
      <c r="W293" s="177"/>
      <c r="X293" s="177"/>
      <c r="Y293" s="177"/>
      <c r="Z293" s="177"/>
    </row>
    <row r="294" ht="13.5" customHeight="1">
      <c r="A294" s="15"/>
      <c r="B294" s="351"/>
      <c r="C294" s="337" t="s">
        <v>139</v>
      </c>
      <c r="D294" s="331">
        <f t="array" ref="D294">'Cálculos'!C208</f>
        <v>0.001</v>
      </c>
      <c r="E294" s="338"/>
      <c r="F294" s="339"/>
      <c r="G294" s="340"/>
      <c r="H294" s="319"/>
      <c r="I294" s="320"/>
      <c r="J294" s="320"/>
      <c r="K294" s="320"/>
      <c r="L294" s="16"/>
      <c r="M294" s="16"/>
      <c r="N294" s="16"/>
      <c r="O294" s="61"/>
      <c r="P294" s="177"/>
      <c r="Q294" s="177"/>
      <c r="R294" s="177"/>
      <c r="S294" s="177"/>
      <c r="T294" s="177"/>
      <c r="U294" s="177"/>
      <c r="V294" s="177"/>
      <c r="W294" s="177"/>
      <c r="X294" s="177"/>
      <c r="Y294" s="177"/>
      <c r="Z294" s="177"/>
    </row>
    <row r="295" ht="13.5" customHeight="1">
      <c r="A295" s="15"/>
      <c r="B295" s="351"/>
      <c r="C295" s="83"/>
      <c r="D295" s="335"/>
      <c r="E295" s="341"/>
      <c r="F295" s="342"/>
      <c r="G295" s="343"/>
      <c r="H295" s="319"/>
      <c r="I295" s="320"/>
      <c r="J295" s="320"/>
      <c r="K295" s="320"/>
      <c r="L295" s="16"/>
      <c r="M295" s="16"/>
      <c r="N295" s="16"/>
      <c r="O295" s="61"/>
      <c r="P295" s="177"/>
      <c r="Q295" s="177"/>
      <c r="R295" s="177"/>
      <c r="S295" s="177"/>
      <c r="T295" s="177"/>
      <c r="U295" s="177"/>
      <c r="V295" s="177"/>
      <c r="W295" s="177"/>
      <c r="X295" s="177"/>
      <c r="Y295" s="177"/>
      <c r="Z295" s="177"/>
    </row>
    <row r="296" ht="13.5" customHeight="1">
      <c r="A296" s="15"/>
      <c r="B296" s="351"/>
      <c r="C296" s="344" t="s">
        <v>140</v>
      </c>
      <c r="D296" s="345" t="s">
        <v>141</v>
      </c>
      <c r="E296" s="345" t="s">
        <v>142</v>
      </c>
      <c r="F296" s="346" t="s">
        <v>143</v>
      </c>
      <c r="G296" s="347"/>
      <c r="H296" s="319"/>
      <c r="I296" s="320"/>
      <c r="J296" s="320"/>
      <c r="K296" s="320"/>
      <c r="L296" s="16"/>
      <c r="M296" s="16"/>
      <c r="N296" s="16"/>
      <c r="O296" s="61"/>
      <c r="P296" s="177"/>
      <c r="Q296" s="177"/>
      <c r="R296" s="177"/>
      <c r="S296" s="177"/>
      <c r="T296" s="177"/>
      <c r="U296" s="177"/>
      <c r="V296" s="177"/>
      <c r="W296" s="177"/>
      <c r="X296" s="177"/>
      <c r="Y296" s="177"/>
      <c r="Z296" s="177"/>
    </row>
    <row r="297" ht="12.75" customHeight="1">
      <c r="A297" s="15"/>
      <c r="B297" s="322"/>
      <c r="C297" s="348" t="s">
        <v>23</v>
      </c>
      <c r="D297" s="205"/>
      <c r="E297" s="205"/>
      <c r="F297" s="349"/>
      <c r="G297" s="350"/>
      <c r="H297" s="319"/>
      <c r="I297" s="320"/>
      <c r="J297" s="16"/>
      <c r="K297" s="16"/>
      <c r="L297" s="320"/>
      <c r="M297" s="320"/>
      <c r="N297" s="320"/>
      <c r="O297" s="321"/>
      <c r="P297" s="177"/>
      <c r="Q297" s="177"/>
      <c r="R297" s="177"/>
      <c r="S297" s="177"/>
      <c r="T297" s="177"/>
      <c r="U297" s="177"/>
      <c r="V297" s="177"/>
      <c r="W297" s="177"/>
      <c r="X297" s="177"/>
      <c r="Y297" s="177"/>
      <c r="Z297" s="177"/>
    </row>
    <row r="298" ht="13.5" customHeight="1">
      <c r="A298" s="15"/>
      <c r="B298" s="322"/>
      <c r="C298" s="366">
        <f t="array" ref="C298">'Cálculos'!B215</f>
        <v>1.00032</v>
      </c>
      <c r="D298" s="367">
        <f t="array" ref="D298">AVERAGE('Cálculos'!C215:G215)</f>
        <v>1</v>
      </c>
      <c r="E298" s="367">
        <f t="array" ref="E298">D298-C298</f>
        <v>-0.00032</v>
      </c>
      <c r="F298" s="376">
        <f t="array" ref="F298">'Cálculos'!O215</f>
        <v>0.0005866346789</v>
      </c>
      <c r="G298" s="355"/>
      <c r="H298" s="319"/>
      <c r="I298" s="320"/>
      <c r="J298" s="16"/>
      <c r="K298" s="16"/>
      <c r="L298" s="16"/>
      <c r="M298" s="16"/>
      <c r="N298" s="16"/>
      <c r="O298" s="61"/>
      <c r="P298" s="177"/>
      <c r="Q298" s="177"/>
      <c r="R298" s="177"/>
      <c r="S298" s="177"/>
      <c r="T298" s="177"/>
      <c r="U298" s="177"/>
      <c r="V298" s="177"/>
      <c r="W298" s="177"/>
      <c r="X298" s="177"/>
      <c r="Y298" s="177"/>
      <c r="Z298" s="177"/>
    </row>
    <row r="299" ht="13.5" customHeight="1">
      <c r="A299" s="15"/>
      <c r="B299" s="351"/>
      <c r="C299" s="366">
        <f t="array" ref="C299">'Cálculos'!B216</f>
        <v>9.9996</v>
      </c>
      <c r="D299" s="367">
        <f t="array" ref="D299">AVERAGE('Cálculos'!C216:G216)</f>
        <v>10</v>
      </c>
      <c r="E299" s="367">
        <f t="array" ref="E299">D299-C299</f>
        <v>0.0004</v>
      </c>
      <c r="F299" s="368">
        <f t="array" ref="F299">'Cálculos'!O216</f>
        <v>0.001188800629</v>
      </c>
      <c r="G299" s="355"/>
      <c r="H299" s="319"/>
      <c r="I299" s="320"/>
      <c r="J299" s="16"/>
      <c r="K299" s="16"/>
      <c r="L299" s="16"/>
      <c r="M299" s="16"/>
      <c r="N299" s="16"/>
      <c r="O299" s="61"/>
      <c r="P299" s="177"/>
      <c r="Q299" s="177"/>
      <c r="R299" s="177"/>
      <c r="S299" s="177"/>
      <c r="T299" s="177"/>
      <c r="U299" s="177"/>
      <c r="V299" s="177"/>
      <c r="W299" s="177"/>
      <c r="X299" s="177"/>
      <c r="Y299" s="177"/>
      <c r="Z299" s="177"/>
    </row>
    <row r="300" ht="13.5" customHeight="1">
      <c r="A300" s="15"/>
      <c r="B300" s="351"/>
      <c r="C300" s="366">
        <f t="array" ref="C300">'Cálculos'!B217</f>
        <v>100.002</v>
      </c>
      <c r="D300" s="367">
        <f t="array" ref="D300">AVERAGE('Cálculos'!C217:G217)</f>
        <v>100</v>
      </c>
      <c r="E300" s="367">
        <f t="array" ref="E300">D300-C300</f>
        <v>-0.002</v>
      </c>
      <c r="F300" s="354">
        <f t="array" ref="F300">'Cálculos'!O217</f>
        <v>0.01040853752</v>
      </c>
      <c r="G300" s="355"/>
      <c r="H300" s="319"/>
      <c r="I300" s="320"/>
      <c r="J300" s="16"/>
      <c r="K300" s="16"/>
      <c r="L300" s="16"/>
      <c r="M300" s="16"/>
      <c r="N300" s="16"/>
      <c r="O300" s="61"/>
      <c r="P300" s="177"/>
      <c r="Q300" s="177"/>
      <c r="R300" s="177"/>
      <c r="S300" s="177"/>
      <c r="T300" s="177"/>
      <c r="U300" s="177"/>
      <c r="V300" s="177"/>
      <c r="W300" s="177"/>
      <c r="X300" s="177"/>
      <c r="Y300" s="177"/>
      <c r="Z300" s="177"/>
    </row>
    <row r="301" ht="13.5" customHeight="1">
      <c r="A301" s="15"/>
      <c r="B301" s="351"/>
      <c r="C301" s="366"/>
      <c r="D301" s="367"/>
      <c r="E301" s="367"/>
      <c r="F301" s="376"/>
      <c r="G301" s="355"/>
      <c r="H301" s="319"/>
      <c r="I301" s="320"/>
      <c r="J301" s="16"/>
      <c r="K301" s="16"/>
      <c r="L301" s="16"/>
      <c r="M301" s="16"/>
      <c r="N301" s="16"/>
      <c r="O301" s="61"/>
      <c r="P301" s="177"/>
      <c r="Q301" s="177"/>
      <c r="R301" s="177"/>
      <c r="S301" s="177"/>
      <c r="T301" s="177"/>
      <c r="U301" s="177"/>
      <c r="V301" s="177"/>
      <c r="W301" s="177"/>
      <c r="X301" s="177"/>
      <c r="Y301" s="177"/>
      <c r="Z301" s="177"/>
    </row>
    <row r="302" ht="14.25" customHeight="1">
      <c r="A302" s="15"/>
      <c r="B302" s="351"/>
      <c r="C302" s="369"/>
      <c r="D302" s="370"/>
      <c r="E302" s="370"/>
      <c r="F302" s="377"/>
      <c r="G302" s="359"/>
      <c r="H302" s="319"/>
      <c r="I302" s="320"/>
      <c r="J302" s="16"/>
      <c r="K302" s="16"/>
      <c r="L302" s="16"/>
      <c r="M302" s="16"/>
      <c r="N302" s="16"/>
      <c r="O302" s="61"/>
      <c r="P302" s="177"/>
      <c r="Q302" s="177"/>
      <c r="R302" s="177"/>
      <c r="S302" s="177"/>
      <c r="T302" s="177"/>
      <c r="U302" s="177"/>
      <c r="V302" s="177"/>
      <c r="W302" s="177"/>
      <c r="X302" s="177"/>
      <c r="Y302" s="177"/>
      <c r="Z302" s="177"/>
    </row>
    <row r="303" ht="13.5" customHeight="1">
      <c r="A303" s="15"/>
      <c r="B303" s="360"/>
      <c r="C303" s="378"/>
      <c r="D303" s="378"/>
      <c r="E303" s="378"/>
      <c r="F303" s="379"/>
      <c r="G303" s="362"/>
      <c r="H303" s="320"/>
      <c r="I303" s="320"/>
      <c r="J303" s="16"/>
      <c r="K303" s="16"/>
      <c r="L303" s="16"/>
      <c r="M303" s="16"/>
      <c r="N303" s="16"/>
      <c r="O303" s="61"/>
      <c r="P303" s="177"/>
      <c r="Q303" s="177"/>
      <c r="R303" s="177"/>
      <c r="S303" s="177"/>
      <c r="T303" s="177"/>
      <c r="U303" s="177"/>
      <c r="V303" s="177"/>
      <c r="W303" s="177"/>
      <c r="X303" s="177"/>
      <c r="Y303" s="177"/>
      <c r="Z303" s="177"/>
    </row>
    <row r="304" ht="13.5" customHeight="1">
      <c r="A304" s="15"/>
      <c r="B304" s="360"/>
      <c r="C304" s="42"/>
      <c r="D304" s="42"/>
      <c r="E304" s="42"/>
      <c r="F304" s="42"/>
      <c r="G304" s="42"/>
      <c r="H304" s="16"/>
      <c r="I304" s="16"/>
      <c r="J304" s="16"/>
      <c r="K304" s="16"/>
      <c r="L304" s="16"/>
      <c r="M304" s="16"/>
      <c r="N304" s="16"/>
      <c r="O304" s="61"/>
      <c r="P304" s="177"/>
      <c r="Q304" s="177"/>
      <c r="R304" s="177"/>
      <c r="S304" s="177"/>
      <c r="T304" s="177"/>
      <c r="U304" s="177"/>
      <c r="V304" s="177"/>
      <c r="W304" s="177"/>
      <c r="X304" s="177"/>
      <c r="Y304" s="177"/>
      <c r="Z304" s="177"/>
    </row>
    <row r="305" ht="15.0" customHeight="1">
      <c r="A305" s="15"/>
      <c r="B305" s="351"/>
      <c r="C305" s="315" t="s">
        <v>135</v>
      </c>
      <c r="D305" s="316" t="str">
        <f t="array" ref="D305">'Cálculos'!B266</f>
        <v>RESISTENCIA ELECTRICA </v>
      </c>
      <c r="E305" s="317"/>
      <c r="F305" s="317"/>
      <c r="G305" s="318"/>
      <c r="H305" s="319"/>
      <c r="I305" s="320"/>
      <c r="J305" s="320"/>
      <c r="K305" s="320"/>
      <c r="L305" s="16"/>
      <c r="M305" s="16"/>
      <c r="N305" s="16"/>
      <c r="O305" s="61"/>
      <c r="P305" s="177"/>
      <c r="Q305" s="177"/>
      <c r="R305" s="177"/>
      <c r="S305" s="177"/>
      <c r="T305" s="177"/>
      <c r="U305" s="177"/>
      <c r="V305" s="177"/>
      <c r="W305" s="177"/>
      <c r="X305" s="177"/>
      <c r="Y305" s="177"/>
      <c r="Z305" s="177"/>
    </row>
    <row r="306" ht="13.5" customHeight="1">
      <c r="A306" s="15"/>
      <c r="B306" s="351"/>
      <c r="C306" s="323"/>
      <c r="D306" s="324"/>
      <c r="E306" s="325"/>
      <c r="F306" s="326"/>
      <c r="G306" s="327" t="s">
        <v>136</v>
      </c>
      <c r="H306" s="319"/>
      <c r="I306" s="320"/>
      <c r="J306" s="320"/>
      <c r="K306" s="320"/>
      <c r="L306" s="16"/>
      <c r="M306" s="16"/>
      <c r="N306" s="16"/>
      <c r="O306" s="61"/>
      <c r="P306" s="177"/>
      <c r="Q306" s="177"/>
      <c r="R306" s="177"/>
      <c r="S306" s="177"/>
      <c r="T306" s="177"/>
      <c r="U306" s="177"/>
      <c r="V306" s="177"/>
      <c r="W306" s="177"/>
      <c r="X306" s="177"/>
      <c r="Y306" s="177"/>
      <c r="Z306" s="177"/>
    </row>
    <row r="307" ht="13.5" customHeight="1">
      <c r="A307" s="15"/>
      <c r="B307" s="351"/>
      <c r="C307" s="328" t="s">
        <v>137</v>
      </c>
      <c r="D307" s="329">
        <f t="array" ref="D307">'Cálculos'!C267</f>
        <v>0</v>
      </c>
      <c r="E307" s="330" t="s">
        <v>138</v>
      </c>
      <c r="F307" s="331">
        <f t="array" ref="F307">'Cálculos'!E267</f>
        <v>60</v>
      </c>
      <c r="G307" s="332" t="str">
        <f t="array" ref="G307">'Cálculos'!C224</f>
        <v>MΩ</v>
      </c>
      <c r="H307" s="319"/>
      <c r="I307" s="320"/>
      <c r="J307" s="320"/>
      <c r="K307" s="320"/>
      <c r="L307" s="16"/>
      <c r="M307" s="16"/>
      <c r="N307" s="16"/>
      <c r="O307" s="61"/>
      <c r="P307" s="177"/>
      <c r="Q307" s="177"/>
      <c r="R307" s="177"/>
      <c r="S307" s="177"/>
      <c r="T307" s="177"/>
      <c r="U307" s="177"/>
      <c r="V307" s="177"/>
      <c r="W307" s="177"/>
      <c r="X307" s="177"/>
      <c r="Y307" s="177"/>
      <c r="Z307" s="177"/>
    </row>
    <row r="308" ht="12.75" customHeight="1">
      <c r="A308" s="15"/>
      <c r="B308" s="351"/>
      <c r="C308" s="323"/>
      <c r="D308" s="333"/>
      <c r="E308" s="334"/>
      <c r="F308" s="335"/>
      <c r="G308" s="336"/>
      <c r="H308" s="319"/>
      <c r="I308" s="320"/>
      <c r="J308" s="320"/>
      <c r="K308" s="320"/>
      <c r="L308" s="16"/>
      <c r="M308" s="16"/>
      <c r="N308" s="16"/>
      <c r="O308" s="61"/>
      <c r="P308" s="177"/>
      <c r="Q308" s="177"/>
      <c r="R308" s="177"/>
      <c r="S308" s="177"/>
      <c r="T308" s="177"/>
      <c r="U308" s="177"/>
      <c r="V308" s="177"/>
      <c r="W308" s="177"/>
      <c r="X308" s="177"/>
      <c r="Y308" s="177"/>
      <c r="Z308" s="177"/>
    </row>
    <row r="309" ht="13.5" customHeight="1">
      <c r="A309" s="15"/>
      <c r="B309" s="351"/>
      <c r="C309" s="337" t="s">
        <v>139</v>
      </c>
      <c r="D309" s="331">
        <f t="array" ref="D309">'Cálculos'!C268</f>
        <v>0.01</v>
      </c>
      <c r="E309" s="338"/>
      <c r="F309" s="339"/>
      <c r="G309" s="340"/>
      <c r="H309" s="319"/>
      <c r="I309" s="320"/>
      <c r="J309" s="320"/>
      <c r="K309" s="320"/>
      <c r="L309" s="16"/>
      <c r="M309" s="16"/>
      <c r="N309" s="16"/>
      <c r="O309" s="61"/>
      <c r="P309" s="177"/>
      <c r="Q309" s="177"/>
      <c r="R309" s="177"/>
      <c r="S309" s="177"/>
      <c r="T309" s="177"/>
      <c r="U309" s="177"/>
      <c r="V309" s="177"/>
      <c r="W309" s="177"/>
      <c r="X309" s="177"/>
      <c r="Y309" s="177"/>
      <c r="Z309" s="177"/>
    </row>
    <row r="310" ht="13.5" customHeight="1">
      <c r="A310" s="15"/>
      <c r="B310" s="351"/>
      <c r="C310" s="83"/>
      <c r="D310" s="335"/>
      <c r="E310" s="341"/>
      <c r="F310" s="342"/>
      <c r="G310" s="343"/>
      <c r="H310" s="319"/>
      <c r="I310" s="320"/>
      <c r="J310" s="320"/>
      <c r="K310" s="320"/>
      <c r="L310" s="16"/>
      <c r="M310" s="16"/>
      <c r="N310" s="16"/>
      <c r="O310" s="61"/>
      <c r="P310" s="177"/>
      <c r="Q310" s="177"/>
      <c r="R310" s="177"/>
      <c r="S310" s="177"/>
      <c r="T310" s="177"/>
      <c r="U310" s="177"/>
      <c r="V310" s="177"/>
      <c r="W310" s="177"/>
      <c r="X310" s="177"/>
      <c r="Y310" s="177"/>
      <c r="Z310" s="177"/>
    </row>
    <row r="311" ht="13.5" customHeight="1">
      <c r="A311" s="15"/>
      <c r="B311" s="351"/>
      <c r="C311" s="344" t="s">
        <v>140</v>
      </c>
      <c r="D311" s="345" t="s">
        <v>141</v>
      </c>
      <c r="E311" s="345" t="s">
        <v>142</v>
      </c>
      <c r="F311" s="346" t="s">
        <v>143</v>
      </c>
      <c r="G311" s="347"/>
      <c r="H311" s="319"/>
      <c r="I311" s="320"/>
      <c r="J311" s="320"/>
      <c r="K311" s="320"/>
      <c r="L311" s="16"/>
      <c r="M311" s="16"/>
      <c r="N311" s="16"/>
      <c r="O311" s="61"/>
      <c r="P311" s="177"/>
      <c r="Q311" s="177"/>
      <c r="R311" s="177"/>
      <c r="S311" s="177"/>
      <c r="T311" s="177"/>
      <c r="U311" s="177"/>
      <c r="V311" s="177"/>
      <c r="W311" s="177"/>
      <c r="X311" s="177"/>
      <c r="Y311" s="177"/>
      <c r="Z311" s="177"/>
    </row>
    <row r="312" ht="12.75" customHeight="1">
      <c r="A312" s="15"/>
      <c r="B312" s="322"/>
      <c r="C312" s="348" t="s">
        <v>23</v>
      </c>
      <c r="D312" s="205"/>
      <c r="E312" s="205"/>
      <c r="F312" s="349"/>
      <c r="G312" s="350"/>
      <c r="H312" s="319"/>
      <c r="I312" s="320"/>
      <c r="J312" s="16"/>
      <c r="K312" s="16"/>
      <c r="L312" s="320"/>
      <c r="M312" s="320"/>
      <c r="N312" s="320"/>
      <c r="O312" s="321"/>
      <c r="P312" s="177"/>
      <c r="Q312" s="177"/>
      <c r="R312" s="177"/>
      <c r="S312" s="177"/>
      <c r="T312" s="177"/>
      <c r="U312" s="177"/>
      <c r="V312" s="177"/>
      <c r="W312" s="177"/>
      <c r="X312" s="177"/>
      <c r="Y312" s="177"/>
      <c r="Z312" s="177"/>
    </row>
    <row r="313" ht="13.5" customHeight="1">
      <c r="A313" s="15"/>
      <c r="B313" s="322"/>
      <c r="C313" s="373">
        <f t="array" ref="C313">'Cálculos'!B230</f>
        <v>1.00087</v>
      </c>
      <c r="D313" s="374">
        <f t="array" ref="D313">AVERAGE('Cálculos'!C230:G230)</f>
        <v>1.001</v>
      </c>
      <c r="E313" s="374">
        <f t="array" ref="E313">D313-C313</f>
        <v>0.00013</v>
      </c>
      <c r="F313" s="376">
        <f t="array" ref="F313">'Cálculos'!O230</f>
        <v>0.0005866448103</v>
      </c>
      <c r="G313" s="355"/>
      <c r="H313" s="319"/>
      <c r="I313" s="320"/>
      <c r="J313" s="16"/>
      <c r="K313" s="16"/>
      <c r="L313" s="16"/>
      <c r="M313" s="16"/>
      <c r="N313" s="16"/>
      <c r="O313" s="61"/>
      <c r="P313" s="177"/>
      <c r="Q313" s="177"/>
      <c r="R313" s="177"/>
      <c r="S313" s="177"/>
      <c r="T313" s="177"/>
      <c r="U313" s="177"/>
      <c r="V313" s="177"/>
      <c r="W313" s="177"/>
      <c r="X313" s="177"/>
      <c r="Y313" s="177"/>
      <c r="Z313" s="177"/>
    </row>
    <row r="314" ht="13.5" customHeight="1">
      <c r="A314" s="15"/>
      <c r="B314" s="351"/>
      <c r="C314" s="373">
        <f t="array" ref="C314">'Cálculos'!B231</f>
        <v>9.9747</v>
      </c>
      <c r="D314" s="374">
        <f t="array" ref="D314">AVERAGE('Cálculos'!C231:G231)</f>
        <v>9.97</v>
      </c>
      <c r="E314" s="374">
        <f t="array" ref="E314">D314-C314</f>
        <v>-0.0047</v>
      </c>
      <c r="F314" s="368">
        <f t="array" ref="F314">'Cálculos'!O231</f>
        <v>0.001186539273</v>
      </c>
      <c r="G314" s="355"/>
      <c r="H314" s="319"/>
      <c r="I314" s="320"/>
      <c r="J314" s="16"/>
      <c r="K314" s="16"/>
      <c r="L314" s="16"/>
      <c r="M314" s="16"/>
      <c r="N314" s="16"/>
      <c r="O314" s="61"/>
      <c r="P314" s="177"/>
      <c r="Q314" s="177"/>
      <c r="R314" s="177"/>
      <c r="S314" s="177"/>
      <c r="T314" s="177"/>
      <c r="U314" s="177"/>
      <c r="V314" s="177"/>
      <c r="W314" s="177"/>
      <c r="X314" s="177"/>
      <c r="Y314" s="177"/>
      <c r="Z314" s="177"/>
    </row>
    <row r="315" ht="13.5" customHeight="1">
      <c r="A315" s="15"/>
      <c r="B315" s="351"/>
      <c r="C315" s="366"/>
      <c r="D315" s="374"/>
      <c r="E315" s="374"/>
      <c r="F315" s="368"/>
      <c r="G315" s="355"/>
      <c r="H315" s="319"/>
      <c r="I315" s="320"/>
      <c r="J315" s="16"/>
      <c r="K315" s="16"/>
      <c r="L315" s="16"/>
      <c r="M315" s="16"/>
      <c r="N315" s="16"/>
      <c r="O315" s="61"/>
      <c r="P315" s="177"/>
      <c r="Q315" s="177"/>
      <c r="R315" s="177"/>
      <c r="S315" s="177"/>
      <c r="T315" s="177"/>
      <c r="U315" s="177"/>
      <c r="V315" s="177"/>
      <c r="W315" s="177"/>
      <c r="X315" s="177"/>
      <c r="Y315" s="177"/>
      <c r="Z315" s="177"/>
    </row>
    <row r="316" ht="13.5" customHeight="1">
      <c r="A316" s="15"/>
      <c r="B316" s="351"/>
      <c r="C316" s="366"/>
      <c r="D316" s="374"/>
      <c r="E316" s="374"/>
      <c r="F316" s="368"/>
      <c r="G316" s="355"/>
      <c r="H316" s="319"/>
      <c r="I316" s="320"/>
      <c r="J316" s="16"/>
      <c r="K316" s="16"/>
      <c r="L316" s="16"/>
      <c r="M316" s="16"/>
      <c r="N316" s="16"/>
      <c r="O316" s="61"/>
      <c r="P316" s="177"/>
      <c r="Q316" s="177"/>
      <c r="R316" s="177"/>
      <c r="S316" s="177"/>
      <c r="T316" s="177"/>
      <c r="U316" s="177"/>
      <c r="V316" s="177"/>
      <c r="W316" s="177"/>
      <c r="X316" s="177"/>
      <c r="Y316" s="177"/>
      <c r="Z316" s="177"/>
    </row>
    <row r="317" ht="14.25" customHeight="1">
      <c r="A317" s="15"/>
      <c r="B317" s="351"/>
      <c r="C317" s="369"/>
      <c r="D317" s="364"/>
      <c r="E317" s="364"/>
      <c r="F317" s="371"/>
      <c r="G317" s="359"/>
      <c r="H317" s="319"/>
      <c r="I317" s="320"/>
      <c r="J317" s="16"/>
      <c r="K317" s="16"/>
      <c r="L317" s="16"/>
      <c r="M317" s="16"/>
      <c r="N317" s="16"/>
      <c r="O317" s="61"/>
      <c r="P317" s="177"/>
      <c r="Q317" s="177"/>
      <c r="R317" s="177"/>
      <c r="S317" s="177"/>
      <c r="T317" s="177"/>
      <c r="U317" s="177"/>
      <c r="V317" s="177"/>
      <c r="W317" s="177"/>
      <c r="X317" s="177"/>
      <c r="Y317" s="177"/>
      <c r="Z317" s="177"/>
    </row>
    <row r="318" ht="12.75" customHeight="1">
      <c r="A318" s="15"/>
      <c r="B318" s="360"/>
      <c r="C318" s="53"/>
      <c r="D318" s="53"/>
      <c r="E318" s="53"/>
      <c r="F318" s="53"/>
      <c r="G318" s="53"/>
      <c r="H318" s="16"/>
      <c r="I318" s="16"/>
      <c r="J318" s="16"/>
      <c r="K318" s="16"/>
      <c r="L318" s="16"/>
      <c r="M318" s="16"/>
      <c r="N318" s="16"/>
      <c r="O318" s="61"/>
      <c r="P318" s="177"/>
      <c r="Q318" s="177"/>
      <c r="R318" s="177"/>
      <c r="S318" s="177"/>
      <c r="T318" s="177"/>
      <c r="U318" s="177"/>
      <c r="V318" s="177"/>
      <c r="W318" s="177"/>
      <c r="X318" s="177"/>
      <c r="Y318" s="177"/>
      <c r="Z318" s="177"/>
    </row>
    <row r="319" ht="13.5" customHeight="1">
      <c r="A319" s="15"/>
      <c r="B319" s="380" t="s">
        <v>160</v>
      </c>
      <c r="C319" s="374"/>
      <c r="D319" s="374"/>
      <c r="E319" s="374"/>
      <c r="F319" s="374"/>
      <c r="G319" s="233"/>
      <c r="H319" s="320"/>
      <c r="I319" s="320"/>
      <c r="J319" s="16"/>
      <c r="K319" s="16"/>
      <c r="L319" s="16"/>
      <c r="M319" s="16"/>
      <c r="N319" s="16"/>
      <c r="O319" s="61"/>
      <c r="P319" s="177"/>
      <c r="Q319" s="177"/>
      <c r="R319" s="177"/>
      <c r="S319" s="177"/>
      <c r="T319" s="177"/>
      <c r="U319" s="177"/>
      <c r="V319" s="177"/>
      <c r="W319" s="177"/>
      <c r="X319" s="177"/>
      <c r="Y319" s="177"/>
      <c r="Z319" s="177"/>
    </row>
    <row r="320" ht="13.5" customHeight="1">
      <c r="A320" s="15"/>
      <c r="B320" s="360"/>
      <c r="C320" s="374"/>
      <c r="D320" s="374"/>
      <c r="E320" s="374"/>
      <c r="F320" s="374"/>
      <c r="G320" s="233"/>
      <c r="H320" s="320"/>
      <c r="I320" s="320"/>
      <c r="J320" s="16"/>
      <c r="K320" s="16"/>
      <c r="L320" s="16"/>
      <c r="M320" s="16"/>
      <c r="N320" s="16"/>
      <c r="O320" s="61"/>
      <c r="P320" s="177"/>
      <c r="Q320" s="177"/>
      <c r="R320" s="177"/>
      <c r="S320" s="177"/>
      <c r="T320" s="177"/>
      <c r="U320" s="177"/>
      <c r="V320" s="177"/>
      <c r="W320" s="177"/>
      <c r="X320" s="177"/>
      <c r="Y320" s="177"/>
      <c r="Z320" s="177"/>
    </row>
    <row r="321" ht="13.5" customHeight="1">
      <c r="A321" s="15"/>
      <c r="B321" s="360"/>
      <c r="C321" s="374"/>
      <c r="D321" s="374"/>
      <c r="E321" s="374"/>
      <c r="F321" s="374"/>
      <c r="G321" s="233"/>
      <c r="H321" s="320"/>
      <c r="I321" s="320"/>
      <c r="J321" s="16"/>
      <c r="K321" s="16"/>
      <c r="L321" s="16"/>
      <c r="M321" s="16"/>
      <c r="N321" s="16"/>
      <c r="O321" s="61"/>
      <c r="P321" s="177"/>
      <c r="Q321" s="177"/>
      <c r="R321" s="177"/>
      <c r="S321" s="177"/>
      <c r="T321" s="177"/>
      <c r="U321" s="177"/>
      <c r="V321" s="177"/>
      <c r="W321" s="177"/>
      <c r="X321" s="177"/>
      <c r="Y321" s="177"/>
      <c r="Z321" s="177"/>
    </row>
    <row r="322" ht="13.5" customHeight="1">
      <c r="A322" s="15"/>
      <c r="B322" s="360"/>
      <c r="C322" s="374"/>
      <c r="D322" s="374"/>
      <c r="E322" s="374"/>
      <c r="F322" s="374"/>
      <c r="G322" s="233"/>
      <c r="H322" s="320"/>
      <c r="I322" s="320"/>
      <c r="J322" s="16"/>
      <c r="K322" s="16"/>
      <c r="L322" s="16"/>
      <c r="M322" s="16"/>
      <c r="N322" s="16"/>
      <c r="O322" s="61"/>
      <c r="P322" s="177"/>
      <c r="Q322" s="177"/>
      <c r="R322" s="177"/>
      <c r="S322" s="177"/>
      <c r="T322" s="177"/>
      <c r="U322" s="177"/>
      <c r="V322" s="177"/>
      <c r="W322" s="177"/>
      <c r="X322" s="177"/>
      <c r="Y322" s="177"/>
      <c r="Z322" s="177"/>
    </row>
    <row r="323" ht="13.5" customHeight="1">
      <c r="A323" s="15"/>
      <c r="B323" s="360"/>
      <c r="C323" s="374"/>
      <c r="D323" s="374"/>
      <c r="E323" s="374"/>
      <c r="F323" s="374"/>
      <c r="G323" s="233"/>
      <c r="H323" s="320"/>
      <c r="I323" s="320"/>
      <c r="J323" s="16"/>
      <c r="K323" s="16"/>
      <c r="L323" s="16"/>
      <c r="M323" s="16"/>
      <c r="N323" s="16"/>
      <c r="O323" s="61"/>
      <c r="P323" s="177"/>
      <c r="Q323" s="177"/>
      <c r="R323" s="177"/>
      <c r="S323" s="177"/>
      <c r="T323" s="177"/>
      <c r="U323" s="177"/>
      <c r="V323" s="177"/>
      <c r="W323" s="177"/>
      <c r="X323" s="177"/>
      <c r="Y323" s="177"/>
      <c r="Z323" s="177"/>
    </row>
    <row r="324" ht="13.5" customHeight="1">
      <c r="A324" s="15"/>
      <c r="B324" s="360"/>
      <c r="C324" s="374"/>
      <c r="D324" s="374"/>
      <c r="E324" s="374"/>
      <c r="F324" s="374"/>
      <c r="G324" s="233"/>
      <c r="H324" s="320"/>
      <c r="I324" s="320"/>
      <c r="J324" s="16"/>
      <c r="K324" s="16"/>
      <c r="L324" s="16"/>
      <c r="M324" s="16"/>
      <c r="N324" s="16"/>
      <c r="O324" s="61"/>
      <c r="P324" s="177"/>
      <c r="Q324" s="177"/>
      <c r="R324" s="177"/>
      <c r="S324" s="177"/>
      <c r="T324" s="177"/>
      <c r="U324" s="177"/>
      <c r="V324" s="177"/>
      <c r="W324" s="177"/>
      <c r="X324" s="177"/>
      <c r="Y324" s="177"/>
      <c r="Z324" s="177"/>
    </row>
    <row r="325" ht="13.5" customHeight="1">
      <c r="A325" s="15"/>
      <c r="B325" s="360"/>
      <c r="C325" s="374"/>
      <c r="D325" s="374"/>
      <c r="E325" s="374"/>
      <c r="F325" s="374"/>
      <c r="G325" s="233"/>
      <c r="H325" s="320"/>
      <c r="I325" s="320"/>
      <c r="J325" s="16"/>
      <c r="K325" s="16"/>
      <c r="L325" s="16"/>
      <c r="M325" s="16"/>
      <c r="N325" s="16"/>
      <c r="O325" s="61"/>
      <c r="P325" s="177"/>
      <c r="Q325" s="177"/>
      <c r="R325" s="177"/>
      <c r="S325" s="177"/>
      <c r="T325" s="177"/>
      <c r="U325" s="177"/>
      <c r="V325" s="177"/>
      <c r="W325" s="177"/>
      <c r="X325" s="177"/>
      <c r="Y325" s="177"/>
      <c r="Z325" s="177"/>
    </row>
    <row r="326" ht="13.5" customHeight="1">
      <c r="A326" s="15"/>
      <c r="B326" s="16"/>
      <c r="C326" s="374"/>
      <c r="D326" s="374"/>
      <c r="E326" s="374"/>
      <c r="F326" s="374"/>
      <c r="G326" s="233"/>
      <c r="H326" s="320"/>
      <c r="I326" s="320"/>
      <c r="J326" s="16"/>
      <c r="K326" s="16"/>
      <c r="L326" s="16"/>
      <c r="M326" s="16"/>
      <c r="N326" s="16"/>
      <c r="O326" s="61"/>
      <c r="P326" s="177"/>
      <c r="Q326" s="177"/>
      <c r="R326" s="177"/>
      <c r="S326" s="177"/>
      <c r="T326" s="177"/>
      <c r="U326" s="177"/>
      <c r="V326" s="177"/>
      <c r="W326" s="177"/>
      <c r="X326" s="177"/>
      <c r="Y326" s="177"/>
      <c r="Z326" s="177"/>
    </row>
    <row r="327" ht="13.5" customHeight="1">
      <c r="A327" s="15"/>
      <c r="B327" s="360"/>
      <c r="C327" s="367"/>
      <c r="D327" s="374"/>
      <c r="E327" s="374"/>
      <c r="F327" s="368"/>
      <c r="G327" s="233"/>
      <c r="H327" s="320"/>
      <c r="I327" s="320"/>
      <c r="J327" s="16"/>
      <c r="K327" s="16"/>
      <c r="L327" s="16"/>
      <c r="M327" s="16"/>
      <c r="N327" s="16"/>
      <c r="O327" s="61"/>
      <c r="P327" s="177"/>
      <c r="Q327" s="177"/>
      <c r="R327" s="177"/>
      <c r="S327" s="177"/>
      <c r="T327" s="177"/>
      <c r="U327" s="177"/>
      <c r="V327" s="177"/>
      <c r="W327" s="177"/>
      <c r="X327" s="177"/>
      <c r="Y327" s="177"/>
      <c r="Z327" s="177"/>
    </row>
    <row r="328" ht="13.5" customHeight="1">
      <c r="A328" s="15"/>
      <c r="B328" s="360"/>
      <c r="C328" s="367"/>
      <c r="D328" s="374"/>
      <c r="E328" s="374"/>
      <c r="F328" s="368"/>
      <c r="G328" s="233"/>
      <c r="H328" s="320"/>
      <c r="I328" s="320"/>
      <c r="J328" s="16"/>
      <c r="K328" s="16"/>
      <c r="L328" s="16"/>
      <c r="M328" s="16"/>
      <c r="N328" s="16"/>
      <c r="O328" s="61"/>
      <c r="P328" s="177"/>
      <c r="Q328" s="177"/>
      <c r="R328" s="177"/>
      <c r="S328" s="177"/>
      <c r="T328" s="177"/>
      <c r="U328" s="177"/>
      <c r="V328" s="177"/>
      <c r="W328" s="177"/>
      <c r="X328" s="177"/>
      <c r="Y328" s="177"/>
      <c r="Z328" s="177"/>
    </row>
    <row r="329" ht="13.5" customHeight="1">
      <c r="A329" s="15"/>
      <c r="B329" s="360"/>
      <c r="C329" s="374"/>
      <c r="D329" s="374"/>
      <c r="E329" s="374"/>
      <c r="F329" s="374"/>
      <c r="G329" s="233"/>
      <c r="H329" s="320"/>
      <c r="I329" s="320"/>
      <c r="J329" s="16"/>
      <c r="K329" s="16"/>
      <c r="L329" s="16"/>
      <c r="M329" s="16"/>
      <c r="N329" s="16"/>
      <c r="O329" s="61"/>
      <c r="P329" s="177"/>
      <c r="Q329" s="177"/>
      <c r="R329" s="177"/>
      <c r="S329" s="177"/>
      <c r="T329" s="177"/>
      <c r="U329" s="177"/>
      <c r="V329" s="177"/>
      <c r="W329" s="177"/>
      <c r="X329" s="177"/>
      <c r="Y329" s="177"/>
      <c r="Z329" s="177"/>
    </row>
    <row r="330" ht="13.5" customHeight="1">
      <c r="A330" s="15"/>
      <c r="B330" s="360"/>
      <c r="C330" s="374"/>
      <c r="D330" s="374"/>
      <c r="E330" s="374"/>
      <c r="F330" s="374"/>
      <c r="G330" s="233"/>
      <c r="H330" s="320"/>
      <c r="I330" s="320"/>
      <c r="J330" s="16"/>
      <c r="K330" s="16"/>
      <c r="L330" s="16"/>
      <c r="M330" s="16"/>
      <c r="N330" s="16"/>
      <c r="O330" s="61"/>
      <c r="P330" s="177"/>
      <c r="Q330" s="177"/>
      <c r="R330" s="177"/>
      <c r="S330" s="177"/>
      <c r="T330" s="177"/>
      <c r="U330" s="177"/>
      <c r="V330" s="177"/>
      <c r="W330" s="177"/>
      <c r="X330" s="177"/>
      <c r="Y330" s="177"/>
      <c r="Z330" s="177"/>
    </row>
    <row r="331" ht="13.5" customHeight="1">
      <c r="A331" s="15"/>
      <c r="B331" s="360"/>
      <c r="C331" s="374"/>
      <c r="D331" s="374"/>
      <c r="E331" s="374"/>
      <c r="F331" s="374"/>
      <c r="G331" s="233"/>
      <c r="H331" s="320"/>
      <c r="I331" s="320"/>
      <c r="J331" s="16"/>
      <c r="K331" s="16"/>
      <c r="L331" s="16"/>
      <c r="M331" s="16"/>
      <c r="N331" s="16"/>
      <c r="O331" s="61"/>
      <c r="P331" s="177"/>
      <c r="Q331" s="177"/>
      <c r="R331" s="177"/>
      <c r="S331" s="177"/>
      <c r="T331" s="177"/>
      <c r="U331" s="177"/>
      <c r="V331" s="177"/>
      <c r="W331" s="177"/>
      <c r="X331" s="177"/>
      <c r="Y331" s="177"/>
      <c r="Z331" s="177"/>
    </row>
    <row r="332" ht="13.5" customHeight="1">
      <c r="A332" s="15"/>
      <c r="B332" s="360"/>
      <c r="C332" s="381"/>
      <c r="D332" s="353"/>
      <c r="E332" s="353"/>
      <c r="F332" s="374"/>
      <c r="G332" s="233"/>
      <c r="H332" s="320"/>
      <c r="I332" s="320"/>
      <c r="J332" s="16"/>
      <c r="K332" s="16"/>
      <c r="L332" s="16"/>
      <c r="M332" s="16"/>
      <c r="N332" s="16"/>
      <c r="O332" s="61"/>
      <c r="P332" s="177"/>
      <c r="Q332" s="177"/>
      <c r="R332" s="177"/>
      <c r="S332" s="177"/>
      <c r="T332" s="177"/>
      <c r="U332" s="177"/>
      <c r="V332" s="177"/>
      <c r="W332" s="177"/>
      <c r="X332" s="177"/>
      <c r="Y332" s="177"/>
      <c r="Z332" s="177"/>
    </row>
    <row r="333" ht="12.75" customHeight="1">
      <c r="A333" s="15"/>
      <c r="B333" s="303"/>
      <c r="C333" s="303"/>
      <c r="D333" s="303"/>
      <c r="E333" s="303"/>
      <c r="F333" s="303"/>
      <c r="G333" s="303"/>
      <c r="H333" s="303"/>
      <c r="I333" s="16"/>
      <c r="J333" s="16"/>
      <c r="K333" s="16"/>
      <c r="L333" s="16"/>
      <c r="M333" s="16"/>
      <c r="N333" s="16"/>
      <c r="O333" s="61"/>
      <c r="P333" s="177"/>
      <c r="Q333" s="177"/>
      <c r="R333" s="177"/>
      <c r="S333" s="177"/>
      <c r="T333" s="177"/>
      <c r="U333" s="177"/>
      <c r="V333" s="177"/>
      <c r="W333" s="177"/>
      <c r="X333" s="177"/>
      <c r="Y333" s="177"/>
      <c r="Z333" s="177"/>
    </row>
    <row r="334" ht="12.75" customHeight="1">
      <c r="A334" s="15"/>
      <c r="B334" s="303"/>
      <c r="C334" s="303"/>
      <c r="D334" s="303"/>
      <c r="E334" s="303"/>
      <c r="F334" s="303"/>
      <c r="G334" s="303"/>
      <c r="H334" s="303"/>
      <c r="I334" s="16"/>
      <c r="J334" s="16"/>
      <c r="K334" s="16"/>
      <c r="L334" s="16"/>
      <c r="M334" s="16"/>
      <c r="N334" s="16"/>
      <c r="O334" s="61"/>
      <c r="P334" s="177"/>
      <c r="Q334" s="177"/>
      <c r="R334" s="177"/>
      <c r="S334" s="177"/>
      <c r="T334" s="177"/>
      <c r="U334" s="177"/>
      <c r="V334" s="177"/>
      <c r="W334" s="177"/>
      <c r="X334" s="177"/>
      <c r="Y334" s="177"/>
      <c r="Z334" s="177"/>
    </row>
    <row r="335" ht="12.75" customHeight="1">
      <c r="A335" s="15"/>
      <c r="B335" s="303"/>
      <c r="C335" s="303"/>
      <c r="D335" s="303"/>
      <c r="E335" s="303"/>
      <c r="F335" s="303"/>
      <c r="G335" s="303"/>
      <c r="H335" s="303"/>
      <c r="I335" s="16"/>
      <c r="J335" s="16"/>
      <c r="K335" s="16"/>
      <c r="L335" s="16"/>
      <c r="M335" s="16"/>
      <c r="N335" s="16"/>
      <c r="O335" s="61"/>
      <c r="P335" s="177"/>
      <c r="Q335" s="177"/>
      <c r="R335" s="177"/>
      <c r="S335" s="177"/>
      <c r="T335" s="177"/>
      <c r="U335" s="177"/>
      <c r="V335" s="177"/>
      <c r="W335" s="177"/>
      <c r="X335" s="177"/>
      <c r="Y335" s="177"/>
      <c r="Z335" s="177"/>
    </row>
    <row r="336" ht="11.25" customHeight="1">
      <c r="A336" s="15"/>
      <c r="B336" s="16"/>
      <c r="C336" s="16"/>
      <c r="D336" s="16"/>
      <c r="E336" s="16"/>
      <c r="F336" s="16"/>
      <c r="G336" s="16"/>
      <c r="H336" s="16"/>
      <c r="I336" s="16"/>
      <c r="J336" s="16"/>
      <c r="K336" s="16"/>
      <c r="L336" s="16"/>
      <c r="M336" s="16"/>
      <c r="N336" s="16"/>
      <c r="O336" s="61"/>
      <c r="P336" s="177"/>
      <c r="Q336" s="177"/>
      <c r="R336" s="177"/>
      <c r="S336" s="177"/>
      <c r="T336" s="177"/>
      <c r="U336" s="177"/>
      <c r="V336" s="177"/>
      <c r="W336" s="177"/>
      <c r="X336" s="177"/>
      <c r="Y336" s="177"/>
      <c r="Z336" s="177"/>
    </row>
    <row r="337" ht="11.25" customHeight="1">
      <c r="A337" s="15"/>
      <c r="B337" s="16"/>
      <c r="C337" s="16"/>
      <c r="D337" s="16"/>
      <c r="E337" s="16"/>
      <c r="F337" s="16"/>
      <c r="G337" s="16"/>
      <c r="H337" s="16"/>
      <c r="I337" s="16"/>
      <c r="J337" s="16"/>
      <c r="K337" s="16"/>
      <c r="L337" s="16"/>
      <c r="M337" s="16"/>
      <c r="N337" s="16"/>
      <c r="O337" s="61"/>
      <c r="P337" s="177"/>
      <c r="Q337" s="177"/>
      <c r="R337" s="177"/>
      <c r="S337" s="177"/>
      <c r="T337" s="177"/>
      <c r="U337" s="177"/>
      <c r="V337" s="177"/>
      <c r="W337" s="177"/>
      <c r="X337" s="177"/>
      <c r="Y337" s="177"/>
      <c r="Z337" s="177"/>
    </row>
    <row r="338" ht="16.5" customHeight="1">
      <c r="A338" s="183"/>
      <c r="B338" s="382"/>
      <c r="C338" s="19"/>
      <c r="D338" s="19"/>
      <c r="E338" s="19"/>
      <c r="F338" s="19"/>
      <c r="G338" s="19"/>
      <c r="H338" s="19"/>
      <c r="I338" s="19"/>
      <c r="J338" s="19"/>
      <c r="K338" s="190"/>
      <c r="L338" s="16"/>
      <c r="M338" s="16"/>
      <c r="N338" s="16"/>
      <c r="O338" s="61"/>
      <c r="P338" s="177"/>
      <c r="Q338" s="177"/>
      <c r="R338" s="177"/>
      <c r="S338" s="177"/>
      <c r="T338" s="177"/>
      <c r="U338" s="177"/>
      <c r="V338" s="177"/>
      <c r="W338" s="177"/>
      <c r="X338" s="177"/>
      <c r="Y338" s="177"/>
      <c r="Z338" s="177"/>
    </row>
    <row r="339" ht="16.5" customHeight="1">
      <c r="A339" s="183"/>
      <c r="B339" s="382"/>
      <c r="C339" s="19"/>
      <c r="D339" s="19"/>
      <c r="E339" s="19"/>
      <c r="F339" s="19"/>
      <c r="G339" s="19"/>
      <c r="H339" s="19"/>
      <c r="I339" s="19"/>
      <c r="J339" s="19"/>
      <c r="K339" s="190"/>
      <c r="L339" s="16"/>
      <c r="M339" s="16"/>
      <c r="N339" s="16"/>
      <c r="O339" s="61"/>
      <c r="P339" s="177"/>
      <c r="Q339" s="177"/>
      <c r="R339" s="177"/>
      <c r="S339" s="177"/>
      <c r="T339" s="177"/>
      <c r="U339" s="177"/>
      <c r="V339" s="177"/>
      <c r="W339" s="177"/>
      <c r="X339" s="177"/>
      <c r="Y339" s="177"/>
      <c r="Z339" s="177"/>
    </row>
    <row r="340" ht="16.5" customHeight="1">
      <c r="A340" s="183"/>
      <c r="B340" s="382"/>
      <c r="C340" s="19"/>
      <c r="D340" s="19"/>
      <c r="E340" s="19"/>
      <c r="F340" s="19"/>
      <c r="G340" s="19"/>
      <c r="H340" s="19"/>
      <c r="I340" s="19"/>
      <c r="J340" s="19"/>
      <c r="K340" s="190"/>
      <c r="L340" s="16"/>
      <c r="M340" s="16"/>
      <c r="N340" s="16"/>
      <c r="O340" s="61"/>
      <c r="P340" s="177"/>
      <c r="Q340" s="177"/>
      <c r="R340" s="177"/>
      <c r="S340" s="177"/>
      <c r="T340" s="177"/>
      <c r="U340" s="177"/>
      <c r="V340" s="177"/>
      <c r="W340" s="177"/>
      <c r="X340" s="177"/>
      <c r="Y340" s="177"/>
      <c r="Z340" s="177"/>
    </row>
    <row r="341" ht="16.5" customHeight="1">
      <c r="A341" s="183"/>
      <c r="B341" s="382"/>
      <c r="C341" s="19"/>
      <c r="D341" s="19"/>
      <c r="E341" s="19"/>
      <c r="F341" s="19"/>
      <c r="G341" s="19"/>
      <c r="H341" s="19"/>
      <c r="I341" s="19"/>
      <c r="J341" s="19"/>
      <c r="K341" s="190"/>
      <c r="L341" s="16"/>
      <c r="M341" s="16"/>
      <c r="N341" s="16"/>
      <c r="O341" s="61"/>
      <c r="P341" s="177"/>
      <c r="Q341" s="177"/>
      <c r="R341" s="177"/>
      <c r="S341" s="177"/>
      <c r="T341" s="177"/>
      <c r="U341" s="177"/>
      <c r="V341" s="177"/>
      <c r="W341" s="177"/>
      <c r="X341" s="177"/>
      <c r="Y341" s="177"/>
      <c r="Z341" s="177"/>
    </row>
    <row r="342" ht="16.5" customHeight="1">
      <c r="A342" s="183"/>
      <c r="B342" s="382"/>
      <c r="C342" s="19"/>
      <c r="D342" s="19"/>
      <c r="E342" s="19"/>
      <c r="F342" s="19"/>
      <c r="G342" s="19"/>
      <c r="H342" s="19"/>
      <c r="I342" s="19"/>
      <c r="J342" s="19"/>
      <c r="K342" s="190"/>
      <c r="L342" s="16"/>
      <c r="M342" s="16"/>
      <c r="N342" s="16"/>
      <c r="O342" s="61"/>
      <c r="P342" s="177"/>
      <c r="Q342" s="177"/>
      <c r="R342" s="177"/>
      <c r="S342" s="177"/>
      <c r="T342" s="177"/>
      <c r="U342" s="177"/>
      <c r="V342" s="177"/>
      <c r="W342" s="177"/>
      <c r="X342" s="177"/>
      <c r="Y342" s="177"/>
      <c r="Z342" s="177"/>
    </row>
    <row r="343" ht="16.5" customHeight="1">
      <c r="A343" s="15"/>
      <c r="B343" s="383"/>
      <c r="C343" s="19"/>
      <c r="D343" s="19"/>
      <c r="E343" s="19"/>
      <c r="F343" s="19"/>
      <c r="G343" s="19"/>
      <c r="H343" s="19"/>
      <c r="I343" s="19"/>
      <c r="J343" s="19"/>
      <c r="K343" s="190"/>
      <c r="L343" s="16"/>
      <c r="M343" s="16"/>
      <c r="N343" s="16"/>
      <c r="O343" s="61"/>
      <c r="P343" s="177"/>
      <c r="Q343" s="177"/>
      <c r="R343" s="177"/>
      <c r="S343" s="177"/>
      <c r="T343" s="177"/>
      <c r="U343" s="177"/>
      <c r="V343" s="177"/>
      <c r="W343" s="177"/>
      <c r="X343" s="177"/>
      <c r="Y343" s="177"/>
      <c r="Z343" s="177"/>
    </row>
    <row r="344" ht="14.25" customHeight="1">
      <c r="A344" s="15"/>
      <c r="B344" s="16"/>
      <c r="C344" s="384"/>
      <c r="D344" s="384"/>
      <c r="E344" s="384"/>
      <c r="F344" s="384"/>
      <c r="G344" s="384"/>
      <c r="H344" s="384"/>
      <c r="I344" s="384"/>
      <c r="J344" s="384"/>
      <c r="K344" s="16"/>
      <c r="L344" s="16"/>
      <c r="M344" s="16"/>
      <c r="N344" s="16"/>
      <c r="O344" s="61"/>
      <c r="P344" s="177"/>
      <c r="Q344" s="177"/>
      <c r="R344" s="177"/>
      <c r="S344" s="177"/>
      <c r="T344" s="177"/>
      <c r="U344" s="177"/>
      <c r="V344" s="177"/>
      <c r="W344" s="177"/>
      <c r="X344" s="177"/>
      <c r="Y344" s="177"/>
      <c r="Z344" s="177"/>
    </row>
    <row r="345" ht="14.25" customHeight="1">
      <c r="A345" s="15"/>
      <c r="B345" s="16"/>
      <c r="C345" s="384"/>
      <c r="D345" s="384"/>
      <c r="E345" s="384"/>
      <c r="F345" s="384"/>
      <c r="G345" s="384"/>
      <c r="H345" s="384"/>
      <c r="I345" s="384"/>
      <c r="J345" s="384"/>
      <c r="K345" s="16"/>
      <c r="L345" s="16"/>
      <c r="M345" s="16"/>
      <c r="N345" s="16"/>
      <c r="O345" s="61"/>
      <c r="P345" s="177"/>
      <c r="Q345" s="177"/>
      <c r="R345" s="177"/>
      <c r="S345" s="177"/>
      <c r="T345" s="177"/>
      <c r="U345" s="177"/>
      <c r="V345" s="177"/>
      <c r="W345" s="177"/>
      <c r="X345" s="177"/>
      <c r="Y345" s="177"/>
      <c r="Z345" s="177"/>
    </row>
    <row r="346" ht="14.25" customHeight="1">
      <c r="A346" s="15"/>
      <c r="B346" s="16"/>
      <c r="C346" s="384"/>
      <c r="D346" s="384"/>
      <c r="E346" s="384"/>
      <c r="F346" s="384"/>
      <c r="G346" s="384"/>
      <c r="H346" s="384"/>
      <c r="I346" s="384"/>
      <c r="J346" s="384"/>
      <c r="K346" s="16"/>
      <c r="L346" s="16"/>
      <c r="M346" s="16"/>
      <c r="N346" s="16"/>
      <c r="O346" s="61"/>
      <c r="P346" s="177"/>
      <c r="Q346" s="177"/>
      <c r="R346" s="177"/>
      <c r="S346" s="177"/>
      <c r="T346" s="177"/>
      <c r="U346" s="177"/>
      <c r="V346" s="177"/>
      <c r="W346" s="177"/>
      <c r="X346" s="177"/>
      <c r="Y346" s="177"/>
      <c r="Z346" s="177"/>
    </row>
    <row r="347" ht="14.25" customHeight="1">
      <c r="A347" s="15"/>
      <c r="B347" s="16"/>
      <c r="C347" s="16"/>
      <c r="D347" s="296"/>
      <c r="E347" s="296"/>
      <c r="F347" s="296"/>
      <c r="G347" s="297"/>
      <c r="H347" s="296"/>
      <c r="I347" s="298"/>
      <c r="J347" s="384"/>
      <c r="K347" s="16"/>
      <c r="L347" s="16"/>
      <c r="M347" s="16"/>
      <c r="N347" s="16"/>
      <c r="O347" s="61"/>
      <c r="P347" s="177"/>
      <c r="Q347" s="177"/>
      <c r="R347" s="177"/>
      <c r="S347" s="177"/>
      <c r="T347" s="177"/>
      <c r="U347" s="177"/>
      <c r="V347" s="177"/>
      <c r="W347" s="177"/>
      <c r="X347" s="177"/>
      <c r="Y347" s="177"/>
      <c r="Z347" s="177"/>
    </row>
    <row r="348" ht="12.75" customHeight="1">
      <c r="A348" s="15"/>
      <c r="B348" s="16"/>
      <c r="C348" s="295"/>
      <c r="D348" s="296"/>
      <c r="E348" s="296"/>
      <c r="F348" s="296"/>
      <c r="G348" s="297"/>
      <c r="H348" s="296"/>
      <c r="I348" s="298"/>
      <c r="J348" s="295"/>
      <c r="K348" s="16"/>
      <c r="L348" s="16"/>
      <c r="M348" s="16"/>
      <c r="N348" s="16"/>
      <c r="O348" s="61"/>
      <c r="P348" s="177"/>
      <c r="Q348" s="177"/>
      <c r="R348" s="177"/>
      <c r="S348" s="177"/>
      <c r="T348" s="177"/>
      <c r="U348" s="177"/>
      <c r="V348" s="177"/>
      <c r="W348" s="177"/>
      <c r="X348" s="177"/>
      <c r="Y348" s="177"/>
      <c r="Z348" s="177"/>
    </row>
    <row r="349" ht="12.75" customHeight="1">
      <c r="A349" s="15"/>
      <c r="B349" s="16"/>
      <c r="C349" s="295"/>
      <c r="D349" s="296"/>
      <c r="E349" s="296"/>
      <c r="F349" s="296"/>
      <c r="G349" s="297"/>
      <c r="H349" s="296"/>
      <c r="I349" s="298"/>
      <c r="J349" s="303"/>
      <c r="K349" s="16"/>
      <c r="L349" s="16"/>
      <c r="M349" s="16"/>
      <c r="N349" s="16"/>
      <c r="O349" s="61"/>
      <c r="P349" s="177"/>
      <c r="Q349" s="177"/>
      <c r="R349" s="177"/>
      <c r="S349" s="177"/>
      <c r="T349" s="177"/>
      <c r="U349" s="177"/>
      <c r="V349" s="177"/>
      <c r="W349" s="177"/>
      <c r="X349" s="177"/>
      <c r="Y349" s="177"/>
      <c r="Z349" s="177"/>
    </row>
    <row r="350" ht="12.75" customHeight="1">
      <c r="A350" s="15"/>
      <c r="B350" s="16"/>
      <c r="C350" s="16"/>
      <c r="D350" s="16"/>
      <c r="E350" s="16"/>
      <c r="F350" s="16"/>
      <c r="G350" s="16"/>
      <c r="H350" s="16"/>
      <c r="I350" s="16"/>
      <c r="J350" s="16"/>
      <c r="K350" s="16"/>
      <c r="L350" s="16"/>
      <c r="M350" s="16"/>
      <c r="N350" s="16"/>
      <c r="O350" s="61"/>
      <c r="P350" s="177"/>
      <c r="Q350" s="177"/>
      <c r="R350" s="177"/>
      <c r="S350" s="177"/>
      <c r="T350" s="177"/>
      <c r="U350" s="177"/>
      <c r="V350" s="177"/>
      <c r="W350" s="177"/>
      <c r="X350" s="177"/>
      <c r="Y350" s="177"/>
      <c r="Z350" s="177"/>
    </row>
    <row r="351" ht="12.75" customHeight="1">
      <c r="A351" s="15"/>
      <c r="B351" s="16"/>
      <c r="C351" s="16"/>
      <c r="D351" s="16"/>
      <c r="E351" s="16"/>
      <c r="F351" s="16"/>
      <c r="G351" s="16"/>
      <c r="H351" s="16"/>
      <c r="I351" s="16"/>
      <c r="J351" s="16"/>
      <c r="K351" s="16"/>
      <c r="L351" s="16"/>
      <c r="M351" s="16"/>
      <c r="N351" s="16"/>
      <c r="O351" s="61"/>
      <c r="P351" s="177"/>
      <c r="Q351" s="177"/>
      <c r="R351" s="177"/>
      <c r="S351" s="177"/>
      <c r="T351" s="177"/>
      <c r="U351" s="177"/>
      <c r="V351" s="177"/>
      <c r="W351" s="177"/>
      <c r="X351" s="177"/>
      <c r="Y351" s="177"/>
      <c r="Z351" s="177"/>
    </row>
    <row r="352" ht="12.75" customHeight="1">
      <c r="A352" s="15"/>
      <c r="B352" s="169"/>
      <c r="C352" s="16"/>
      <c r="D352" s="16"/>
      <c r="E352" s="16"/>
      <c r="F352" s="16"/>
      <c r="G352" s="16"/>
      <c r="H352" s="16"/>
      <c r="I352" s="385"/>
      <c r="J352" s="16"/>
      <c r="K352" s="16"/>
      <c r="L352" s="16"/>
      <c r="M352" s="16"/>
      <c r="N352" s="16"/>
      <c r="O352" s="61"/>
      <c r="P352" s="177"/>
      <c r="Q352" s="177"/>
      <c r="R352" s="177"/>
      <c r="S352" s="177"/>
      <c r="T352" s="177"/>
      <c r="U352" s="177"/>
      <c r="V352" s="177"/>
      <c r="W352" s="177"/>
      <c r="X352" s="177"/>
      <c r="Y352" s="177"/>
      <c r="Z352" s="177"/>
    </row>
    <row r="353" ht="12.75" customHeight="1">
      <c r="A353" s="15"/>
      <c r="B353" s="169"/>
      <c r="C353" s="16"/>
      <c r="D353" s="16"/>
      <c r="E353" s="16"/>
      <c r="F353" s="16"/>
      <c r="G353" s="16"/>
      <c r="H353" s="16"/>
      <c r="I353" s="169"/>
      <c r="J353" s="16"/>
      <c r="K353" s="16"/>
      <c r="L353" s="16"/>
      <c r="M353" s="16"/>
      <c r="N353" s="16"/>
      <c r="O353" s="61"/>
      <c r="P353" s="177"/>
      <c r="Q353" s="177"/>
      <c r="R353" s="177"/>
      <c r="S353" s="177"/>
      <c r="T353" s="177"/>
      <c r="U353" s="177"/>
      <c r="V353" s="177"/>
      <c r="W353" s="177"/>
      <c r="X353" s="177"/>
      <c r="Y353" s="177"/>
      <c r="Z353" s="177"/>
    </row>
    <row r="354" ht="12.75" customHeight="1">
      <c r="A354" s="15"/>
      <c r="B354" s="169"/>
      <c r="C354" s="16"/>
      <c r="D354" s="16"/>
      <c r="E354" s="16"/>
      <c r="F354" s="16"/>
      <c r="G354" s="16"/>
      <c r="H354" s="16"/>
      <c r="I354" s="169"/>
      <c r="J354" s="16"/>
      <c r="K354" s="16"/>
      <c r="L354" s="16"/>
      <c r="M354" s="16"/>
      <c r="N354" s="16"/>
      <c r="O354" s="61"/>
      <c r="P354" s="177"/>
      <c r="Q354" s="177"/>
      <c r="R354" s="177"/>
      <c r="S354" s="177"/>
      <c r="T354" s="177"/>
      <c r="U354" s="177"/>
      <c r="V354" s="177"/>
      <c r="W354" s="177"/>
      <c r="X354" s="177"/>
      <c r="Y354" s="177"/>
      <c r="Z354" s="177"/>
    </row>
    <row r="355" ht="12.75" customHeight="1">
      <c r="A355" s="15"/>
      <c r="B355" s="169"/>
      <c r="C355" s="16"/>
      <c r="D355" s="16"/>
      <c r="E355" s="16"/>
      <c r="F355" s="16"/>
      <c r="G355" s="16"/>
      <c r="H355" s="16"/>
      <c r="I355" s="385"/>
      <c r="J355" s="16"/>
      <c r="K355" s="16"/>
      <c r="L355" s="16"/>
      <c r="M355" s="16"/>
      <c r="N355" s="16"/>
      <c r="O355" s="61"/>
      <c r="P355" s="177"/>
      <c r="Q355" s="177"/>
      <c r="R355" s="177"/>
      <c r="S355" s="177"/>
      <c r="T355" s="177"/>
      <c r="U355" s="177"/>
      <c r="V355" s="177"/>
      <c r="W355" s="177"/>
      <c r="X355" s="177"/>
      <c r="Y355" s="177"/>
      <c r="Z355" s="177"/>
    </row>
    <row r="356" ht="12.75" customHeight="1">
      <c r="A356" s="15"/>
      <c r="B356" s="16"/>
      <c r="C356" s="16"/>
      <c r="D356" s="16"/>
      <c r="E356" s="16"/>
      <c r="F356" s="16"/>
      <c r="G356" s="16"/>
      <c r="H356" s="16"/>
      <c r="I356" s="16"/>
      <c r="J356" s="16"/>
      <c r="K356" s="16"/>
      <c r="L356" s="16"/>
      <c r="M356" s="16"/>
      <c r="N356" s="16"/>
      <c r="O356" s="61"/>
      <c r="P356" s="177"/>
      <c r="Q356" s="177"/>
      <c r="R356" s="177"/>
      <c r="S356" s="177"/>
      <c r="T356" s="177"/>
      <c r="U356" s="177"/>
      <c r="V356" s="177"/>
      <c r="W356" s="177"/>
      <c r="X356" s="177"/>
      <c r="Y356" s="177"/>
      <c r="Z356" s="177"/>
    </row>
    <row r="357" ht="12.75" customHeight="1">
      <c r="A357" s="15"/>
      <c r="B357" s="16"/>
      <c r="C357" s="16"/>
      <c r="D357" s="16"/>
      <c r="E357" s="16"/>
      <c r="F357" s="16"/>
      <c r="G357" s="16"/>
      <c r="H357" s="16"/>
      <c r="I357" s="16"/>
      <c r="J357" s="16"/>
      <c r="K357" s="16"/>
      <c r="L357" s="16"/>
      <c r="M357" s="16"/>
      <c r="N357" s="16"/>
      <c r="O357" s="61"/>
      <c r="P357" s="177"/>
      <c r="Q357" s="177"/>
      <c r="R357" s="177"/>
      <c r="S357" s="177"/>
      <c r="T357" s="177"/>
      <c r="U357" s="177"/>
      <c r="V357" s="177"/>
      <c r="W357" s="177"/>
      <c r="X357" s="177"/>
      <c r="Y357" s="177"/>
      <c r="Z357" s="177"/>
    </row>
    <row r="358" ht="12.75" customHeight="1">
      <c r="A358" s="15"/>
      <c r="B358" s="16"/>
      <c r="C358" s="16"/>
      <c r="D358" s="16"/>
      <c r="E358" s="16"/>
      <c r="F358" s="16"/>
      <c r="G358" s="16"/>
      <c r="H358" s="16"/>
      <c r="I358" s="16"/>
      <c r="J358" s="16"/>
      <c r="K358" s="16"/>
      <c r="L358" s="16"/>
      <c r="M358" s="16"/>
      <c r="N358" s="16"/>
      <c r="O358" s="61"/>
      <c r="P358" s="177"/>
      <c r="Q358" s="177"/>
      <c r="R358" s="177"/>
      <c r="S358" s="177"/>
      <c r="T358" s="177"/>
      <c r="U358" s="177"/>
      <c r="V358" s="177"/>
      <c r="W358" s="177"/>
      <c r="X358" s="177"/>
      <c r="Y358" s="177"/>
      <c r="Z358" s="177"/>
    </row>
    <row r="359" ht="12.75" customHeight="1">
      <c r="A359" s="15"/>
      <c r="B359" s="16"/>
      <c r="C359" s="16"/>
      <c r="D359" s="16"/>
      <c r="E359" s="16"/>
      <c r="F359" s="16"/>
      <c r="G359" s="16"/>
      <c r="H359" s="16"/>
      <c r="I359" s="16"/>
      <c r="J359" s="16"/>
      <c r="K359" s="16"/>
      <c r="L359" s="16"/>
      <c r="M359" s="16"/>
      <c r="N359" s="16"/>
      <c r="O359" s="61"/>
      <c r="P359" s="177"/>
      <c r="Q359" s="177"/>
      <c r="R359" s="177"/>
      <c r="S359" s="177"/>
      <c r="T359" s="177"/>
      <c r="U359" s="177"/>
      <c r="V359" s="177"/>
      <c r="W359" s="177"/>
      <c r="X359" s="177"/>
      <c r="Y359" s="177"/>
      <c r="Z359" s="177"/>
    </row>
    <row r="360" ht="12.75" customHeight="1">
      <c r="A360" s="15"/>
      <c r="B360" s="16"/>
      <c r="C360" s="16"/>
      <c r="D360" s="16"/>
      <c r="E360" s="16"/>
      <c r="F360" s="16"/>
      <c r="G360" s="16"/>
      <c r="H360" s="16"/>
      <c r="I360" s="16"/>
      <c r="J360" s="16"/>
      <c r="K360" s="16"/>
      <c r="L360" s="16"/>
      <c r="M360" s="16"/>
      <c r="N360" s="16"/>
      <c r="O360" s="61"/>
      <c r="P360" s="177"/>
      <c r="Q360" s="177"/>
      <c r="R360" s="177"/>
      <c r="S360" s="177"/>
      <c r="T360" s="177"/>
      <c r="U360" s="177"/>
      <c r="V360" s="177"/>
      <c r="W360" s="177"/>
      <c r="X360" s="177"/>
      <c r="Y360" s="177"/>
      <c r="Z360" s="177"/>
    </row>
    <row r="361" ht="12.75" customHeight="1">
      <c r="A361" s="15"/>
      <c r="B361" s="16"/>
      <c r="C361" s="16"/>
      <c r="D361" s="16"/>
      <c r="E361" s="16"/>
      <c r="F361" s="16"/>
      <c r="G361" s="16"/>
      <c r="H361" s="16"/>
      <c r="I361" s="16"/>
      <c r="J361" s="16"/>
      <c r="K361" s="16"/>
      <c r="L361" s="16"/>
      <c r="M361" s="16"/>
      <c r="N361" s="16"/>
      <c r="O361" s="61"/>
      <c r="P361" s="177"/>
      <c r="Q361" s="177"/>
      <c r="R361" s="177"/>
      <c r="S361" s="177"/>
      <c r="T361" s="177"/>
      <c r="U361" s="177"/>
      <c r="V361" s="177"/>
      <c r="W361" s="177"/>
      <c r="X361" s="177"/>
      <c r="Y361" s="177"/>
      <c r="Z361" s="177"/>
    </row>
    <row r="362" ht="12.75" customHeight="1">
      <c r="A362" s="15"/>
      <c r="B362" s="16"/>
      <c r="C362" s="16"/>
      <c r="D362" s="16"/>
      <c r="E362" s="16"/>
      <c r="F362" s="16"/>
      <c r="G362" s="16"/>
      <c r="H362" s="16"/>
      <c r="I362" s="16"/>
      <c r="J362" s="16"/>
      <c r="K362" s="16"/>
      <c r="L362" s="16"/>
      <c r="M362" s="16"/>
      <c r="N362" s="16"/>
      <c r="O362" s="61"/>
      <c r="P362" s="177"/>
      <c r="Q362" s="177"/>
      <c r="R362" s="177"/>
      <c r="S362" s="177"/>
      <c r="T362" s="177"/>
      <c r="U362" s="177"/>
      <c r="V362" s="177"/>
      <c r="W362" s="177"/>
      <c r="X362" s="177"/>
      <c r="Y362" s="177"/>
      <c r="Z362" s="177"/>
    </row>
    <row r="363" ht="12.75" customHeight="1">
      <c r="A363" s="15"/>
      <c r="B363" s="16"/>
      <c r="C363" s="16"/>
      <c r="D363" s="16"/>
      <c r="E363" s="16"/>
      <c r="F363" s="16"/>
      <c r="G363" s="16"/>
      <c r="H363" s="16"/>
      <c r="I363" s="16"/>
      <c r="J363" s="16"/>
      <c r="K363" s="16"/>
      <c r="L363" s="16"/>
      <c r="M363" s="16"/>
      <c r="N363" s="16"/>
      <c r="O363" s="61"/>
      <c r="P363" s="177"/>
      <c r="Q363" s="177"/>
      <c r="R363" s="177"/>
      <c r="S363" s="177"/>
      <c r="T363" s="177"/>
      <c r="U363" s="177"/>
      <c r="V363" s="177"/>
      <c r="W363" s="177"/>
      <c r="X363" s="177"/>
      <c r="Y363" s="177"/>
      <c r="Z363" s="177"/>
    </row>
    <row r="364" ht="12.75" customHeight="1">
      <c r="A364" s="15"/>
      <c r="B364" s="16"/>
      <c r="C364" s="16"/>
      <c r="D364" s="16"/>
      <c r="E364" s="16"/>
      <c r="F364" s="16"/>
      <c r="G364" s="16"/>
      <c r="H364" s="16"/>
      <c r="I364" s="16"/>
      <c r="J364" s="16"/>
      <c r="K364" s="16"/>
      <c r="L364" s="16"/>
      <c r="M364" s="16"/>
      <c r="N364" s="16"/>
      <c r="O364" s="61"/>
      <c r="P364" s="177"/>
      <c r="Q364" s="177"/>
      <c r="R364" s="177"/>
      <c r="S364" s="177"/>
      <c r="T364" s="177"/>
      <c r="U364" s="177"/>
      <c r="V364" s="177"/>
      <c r="W364" s="177"/>
      <c r="X364" s="177"/>
      <c r="Y364" s="177"/>
      <c r="Z364" s="177"/>
    </row>
    <row r="365" ht="12.75" customHeight="1">
      <c r="A365" s="15"/>
      <c r="B365" s="16"/>
      <c r="C365" s="16"/>
      <c r="D365" s="16"/>
      <c r="E365" s="16"/>
      <c r="F365" s="16"/>
      <c r="G365" s="16"/>
      <c r="H365" s="16"/>
      <c r="I365" s="16"/>
      <c r="J365" s="16"/>
      <c r="K365" s="16"/>
      <c r="L365" s="16"/>
      <c r="M365" s="16"/>
      <c r="N365" s="16"/>
      <c r="O365" s="61"/>
      <c r="P365" s="177"/>
      <c r="Q365" s="177"/>
      <c r="R365" s="177"/>
      <c r="S365" s="177"/>
      <c r="T365" s="177"/>
      <c r="U365" s="177"/>
      <c r="V365" s="177"/>
      <c r="W365" s="177"/>
      <c r="X365" s="177"/>
      <c r="Y365" s="177"/>
      <c r="Z365" s="177"/>
    </row>
    <row r="366" ht="12.75" customHeight="1">
      <c r="A366" s="15"/>
      <c r="B366" s="16"/>
      <c r="C366" s="16"/>
      <c r="D366" s="16"/>
      <c r="E366" s="16"/>
      <c r="F366" s="16"/>
      <c r="G366" s="16"/>
      <c r="H366" s="16"/>
      <c r="I366" s="16"/>
      <c r="J366" s="16"/>
      <c r="K366" s="16"/>
      <c r="L366" s="16"/>
      <c r="M366" s="16"/>
      <c r="N366" s="16"/>
      <c r="O366" s="61"/>
      <c r="P366" s="177"/>
      <c r="Q366" s="177"/>
      <c r="R366" s="177"/>
      <c r="S366" s="177"/>
      <c r="T366" s="177"/>
      <c r="U366" s="177"/>
      <c r="V366" s="177"/>
      <c r="W366" s="177"/>
      <c r="X366" s="177"/>
      <c r="Y366" s="177"/>
      <c r="Z366" s="177"/>
    </row>
    <row r="367" ht="12.75" customHeight="1">
      <c r="A367" s="15"/>
      <c r="B367" s="16"/>
      <c r="C367" s="16"/>
      <c r="D367" s="16"/>
      <c r="E367" s="16"/>
      <c r="F367" s="16"/>
      <c r="G367" s="16"/>
      <c r="H367" s="16"/>
      <c r="I367" s="16"/>
      <c r="J367" s="16"/>
      <c r="K367" s="16"/>
      <c r="L367" s="16"/>
      <c r="M367" s="16"/>
      <c r="N367" s="16"/>
      <c r="O367" s="61"/>
      <c r="P367" s="177"/>
      <c r="Q367" s="177"/>
      <c r="R367" s="177"/>
      <c r="S367" s="177"/>
      <c r="T367" s="177"/>
      <c r="U367" s="177"/>
      <c r="V367" s="177"/>
      <c r="W367" s="177"/>
      <c r="X367" s="177"/>
      <c r="Y367" s="177"/>
      <c r="Z367" s="177"/>
    </row>
    <row r="368" ht="14.25" customHeight="1">
      <c r="A368" s="15"/>
      <c r="B368" s="386"/>
      <c r="C368" s="16"/>
      <c r="D368" s="16"/>
      <c r="E368" s="16"/>
      <c r="F368" s="16"/>
      <c r="G368" s="16"/>
      <c r="H368" s="16"/>
      <c r="I368" s="16"/>
      <c r="J368" s="16"/>
      <c r="K368" s="16"/>
      <c r="L368" s="16"/>
      <c r="M368" s="16"/>
      <c r="N368" s="16"/>
      <c r="O368" s="61"/>
      <c r="P368" s="177"/>
      <c r="Q368" s="177"/>
      <c r="R368" s="177"/>
      <c r="S368" s="177"/>
      <c r="T368" s="177"/>
      <c r="U368" s="177"/>
      <c r="V368" s="177"/>
      <c r="W368" s="177"/>
      <c r="X368" s="177"/>
      <c r="Y368" s="177"/>
      <c r="Z368" s="177"/>
    </row>
    <row r="369" ht="12.75" customHeight="1">
      <c r="A369" s="15"/>
      <c r="B369" s="16"/>
      <c r="C369" s="16"/>
      <c r="D369" s="16"/>
      <c r="E369" s="16"/>
      <c r="F369" s="16"/>
      <c r="G369" s="16"/>
      <c r="H369" s="16"/>
      <c r="I369" s="16"/>
      <c r="J369" s="16"/>
      <c r="K369" s="16"/>
      <c r="L369" s="16"/>
      <c r="M369" s="16"/>
      <c r="N369" s="16"/>
      <c r="O369" s="61"/>
      <c r="P369" s="177"/>
      <c r="Q369" s="177"/>
      <c r="R369" s="177"/>
      <c r="S369" s="177"/>
      <c r="T369" s="177"/>
      <c r="U369" s="177"/>
      <c r="V369" s="177"/>
      <c r="W369" s="177"/>
      <c r="X369" s="177"/>
      <c r="Y369" s="177"/>
      <c r="Z369" s="177"/>
    </row>
    <row r="370" ht="12.75" customHeight="1">
      <c r="A370" s="15"/>
      <c r="B370" s="16"/>
      <c r="C370" s="16"/>
      <c r="D370" s="16"/>
      <c r="E370" s="16"/>
      <c r="F370" s="16"/>
      <c r="G370" s="16"/>
      <c r="H370" s="16"/>
      <c r="I370" s="16"/>
      <c r="J370" s="16"/>
      <c r="K370" s="16"/>
      <c r="L370" s="16"/>
      <c r="M370" s="16"/>
      <c r="N370" s="16"/>
      <c r="O370" s="61"/>
      <c r="P370" s="177"/>
      <c r="Q370" s="177"/>
      <c r="R370" s="177"/>
      <c r="S370" s="177"/>
      <c r="T370" s="177"/>
      <c r="U370" s="177"/>
      <c r="V370" s="177"/>
      <c r="W370" s="177"/>
      <c r="X370" s="177"/>
      <c r="Y370" s="177"/>
      <c r="Z370" s="177"/>
    </row>
    <row r="371" ht="12.75" customHeight="1">
      <c r="A371" s="15"/>
      <c r="B371" s="16"/>
      <c r="C371" s="16"/>
      <c r="D371" s="16"/>
      <c r="E371" s="16"/>
      <c r="F371" s="16"/>
      <c r="G371" s="16"/>
      <c r="H371" s="16"/>
      <c r="I371" s="16"/>
      <c r="J371" s="16"/>
      <c r="K371" s="16"/>
      <c r="L371" s="16"/>
      <c r="M371" s="16"/>
      <c r="N371" s="16"/>
      <c r="O371" s="61"/>
      <c r="P371" s="177"/>
      <c r="Q371" s="177"/>
      <c r="R371" s="177"/>
      <c r="S371" s="177"/>
      <c r="T371" s="177"/>
      <c r="U371" s="177"/>
      <c r="V371" s="177"/>
      <c r="W371" s="177"/>
      <c r="X371" s="177"/>
      <c r="Y371" s="177"/>
      <c r="Z371" s="177"/>
    </row>
    <row r="372" ht="12.75" customHeight="1">
      <c r="A372" s="15"/>
      <c r="B372" s="16"/>
      <c r="C372" s="16"/>
      <c r="D372" s="16"/>
      <c r="E372" s="16"/>
      <c r="F372" s="16"/>
      <c r="G372" s="16"/>
      <c r="H372" s="16"/>
      <c r="I372" s="16"/>
      <c r="J372" s="16"/>
      <c r="K372" s="16"/>
      <c r="L372" s="16"/>
      <c r="M372" s="16"/>
      <c r="N372" s="16"/>
      <c r="O372" s="61"/>
      <c r="P372" s="177"/>
      <c r="Q372" s="177"/>
      <c r="R372" s="177"/>
      <c r="S372" s="177"/>
      <c r="T372" s="177"/>
      <c r="U372" s="177"/>
      <c r="V372" s="177"/>
      <c r="W372" s="177"/>
      <c r="X372" s="177"/>
      <c r="Y372" s="177"/>
      <c r="Z372" s="177"/>
    </row>
    <row r="373" ht="12.75" customHeight="1">
      <c r="A373" s="15"/>
      <c r="B373" s="16"/>
      <c r="C373" s="16"/>
      <c r="D373" s="16"/>
      <c r="E373" s="16"/>
      <c r="F373" s="16"/>
      <c r="G373" s="16"/>
      <c r="H373" s="16"/>
      <c r="I373" s="16"/>
      <c r="J373" s="16"/>
      <c r="K373" s="16"/>
      <c r="L373" s="16"/>
      <c r="M373" s="16"/>
      <c r="N373" s="16"/>
      <c r="O373" s="61"/>
      <c r="P373" s="177"/>
      <c r="Q373" s="177"/>
      <c r="R373" s="177"/>
      <c r="S373" s="177"/>
      <c r="T373" s="177"/>
      <c r="U373" s="177"/>
      <c r="V373" s="177"/>
      <c r="W373" s="177"/>
      <c r="X373" s="177"/>
      <c r="Y373" s="177"/>
      <c r="Z373" s="177"/>
    </row>
    <row r="374" ht="12.75" customHeight="1">
      <c r="A374" s="15"/>
      <c r="B374" s="16"/>
      <c r="C374" s="16"/>
      <c r="D374" s="16"/>
      <c r="E374" s="16"/>
      <c r="F374" s="16"/>
      <c r="G374" s="16"/>
      <c r="H374" s="16"/>
      <c r="I374" s="16"/>
      <c r="J374" s="16"/>
      <c r="K374" s="16"/>
      <c r="L374" s="16"/>
      <c r="M374" s="16"/>
      <c r="N374" s="16"/>
      <c r="O374" s="61"/>
      <c r="P374" s="177"/>
      <c r="Q374" s="177"/>
      <c r="R374" s="177"/>
      <c r="S374" s="177"/>
      <c r="T374" s="177"/>
      <c r="U374" s="177"/>
      <c r="V374" s="177"/>
      <c r="W374" s="177"/>
      <c r="X374" s="177"/>
      <c r="Y374" s="177"/>
      <c r="Z374" s="177"/>
    </row>
    <row r="375" ht="12.75" customHeight="1">
      <c r="A375" s="15"/>
      <c r="B375" s="16"/>
      <c r="C375" s="16"/>
      <c r="D375" s="16"/>
      <c r="E375" s="16"/>
      <c r="F375" s="16"/>
      <c r="G375" s="16"/>
      <c r="H375" s="16"/>
      <c r="I375" s="16"/>
      <c r="J375" s="16"/>
      <c r="K375" s="16"/>
      <c r="L375" s="16"/>
      <c r="M375" s="16"/>
      <c r="N375" s="16"/>
      <c r="O375" s="61"/>
      <c r="P375" s="177"/>
      <c r="Q375" s="177"/>
      <c r="R375" s="177"/>
      <c r="S375" s="177"/>
      <c r="T375" s="177"/>
      <c r="U375" s="177"/>
      <c r="V375" s="177"/>
      <c r="W375" s="177"/>
      <c r="X375" s="177"/>
      <c r="Y375" s="177"/>
      <c r="Z375" s="177"/>
    </row>
    <row r="376" ht="12.75" customHeight="1">
      <c r="A376" s="15"/>
      <c r="B376" s="16"/>
      <c r="C376" s="16"/>
      <c r="D376" s="16"/>
      <c r="E376" s="16"/>
      <c r="F376" s="16"/>
      <c r="G376" s="16"/>
      <c r="H376" s="16"/>
      <c r="I376" s="16"/>
      <c r="J376" s="16"/>
      <c r="K376" s="16"/>
      <c r="L376" s="16"/>
      <c r="M376" s="16"/>
      <c r="N376" s="16"/>
      <c r="O376" s="61"/>
      <c r="P376" s="177"/>
      <c r="Q376" s="177"/>
      <c r="R376" s="177"/>
      <c r="S376" s="177"/>
      <c r="T376" s="177"/>
      <c r="U376" s="177"/>
      <c r="V376" s="177"/>
      <c r="W376" s="177"/>
      <c r="X376" s="177"/>
      <c r="Y376" s="177"/>
      <c r="Z376" s="177"/>
    </row>
    <row r="377" ht="12.75" customHeight="1">
      <c r="A377" s="15"/>
      <c r="B377" s="16"/>
      <c r="C377" s="16"/>
      <c r="D377" s="16"/>
      <c r="E377" s="16"/>
      <c r="F377" s="16"/>
      <c r="G377" s="16"/>
      <c r="H377" s="16"/>
      <c r="I377" s="16"/>
      <c r="J377" s="16"/>
      <c r="K377" s="16"/>
      <c r="L377" s="16"/>
      <c r="M377" s="16"/>
      <c r="N377" s="16"/>
      <c r="O377" s="61"/>
      <c r="P377" s="177"/>
      <c r="Q377" s="177"/>
      <c r="R377" s="177"/>
      <c r="S377" s="177"/>
      <c r="T377" s="177"/>
      <c r="U377" s="177"/>
      <c r="V377" s="177"/>
      <c r="W377" s="177"/>
      <c r="X377" s="177"/>
      <c r="Y377" s="177"/>
      <c r="Z377" s="177"/>
    </row>
    <row r="378" ht="12.75" customHeight="1">
      <c r="A378" s="15"/>
      <c r="B378" s="16"/>
      <c r="C378" s="16"/>
      <c r="D378" s="16"/>
      <c r="E378" s="16"/>
      <c r="F378" s="16"/>
      <c r="G378" s="16"/>
      <c r="H378" s="16"/>
      <c r="I378" s="16"/>
      <c r="J378" s="16"/>
      <c r="K378" s="16"/>
      <c r="L378" s="16"/>
      <c r="M378" s="16"/>
      <c r="N378" s="16"/>
      <c r="O378" s="61"/>
      <c r="P378" s="177"/>
      <c r="Q378" s="177"/>
      <c r="R378" s="177"/>
      <c r="S378" s="177"/>
      <c r="T378" s="177"/>
      <c r="U378" s="177"/>
      <c r="V378" s="177"/>
      <c r="W378" s="177"/>
      <c r="X378" s="177"/>
      <c r="Y378" s="177"/>
      <c r="Z378" s="177"/>
    </row>
    <row r="379" ht="12.75" customHeight="1">
      <c r="A379" s="15"/>
      <c r="B379" s="16"/>
      <c r="C379" s="16"/>
      <c r="D379" s="16"/>
      <c r="E379" s="16"/>
      <c r="F379" s="16"/>
      <c r="G379" s="16"/>
      <c r="H379" s="16"/>
      <c r="I379" s="16"/>
      <c r="J379" s="16"/>
      <c r="K379" s="16"/>
      <c r="L379" s="16"/>
      <c r="M379" s="16"/>
      <c r="N379" s="16"/>
      <c r="O379" s="61"/>
      <c r="P379" s="177"/>
      <c r="Q379" s="177"/>
      <c r="R379" s="177"/>
      <c r="S379" s="177"/>
      <c r="T379" s="177"/>
      <c r="U379" s="177"/>
      <c r="V379" s="177"/>
      <c r="W379" s="177"/>
      <c r="X379" s="177"/>
      <c r="Y379" s="177"/>
      <c r="Z379" s="177"/>
    </row>
    <row r="380" ht="12.75" customHeight="1">
      <c r="A380" s="15"/>
      <c r="B380" s="387"/>
      <c r="C380" s="388"/>
      <c r="D380" s="388"/>
      <c r="E380" s="388"/>
      <c r="F380" s="388"/>
      <c r="G380" s="388"/>
      <c r="H380" s="389"/>
      <c r="I380" s="389"/>
      <c r="J380" s="389"/>
      <c r="K380" s="390"/>
      <c r="L380" s="16"/>
      <c r="M380" s="16"/>
      <c r="N380" s="16"/>
      <c r="O380" s="61"/>
      <c r="P380" s="177"/>
      <c r="Q380" s="177"/>
      <c r="R380" s="177"/>
      <c r="S380" s="177"/>
      <c r="T380" s="177"/>
      <c r="U380" s="177"/>
      <c r="V380" s="177"/>
      <c r="W380" s="177"/>
      <c r="X380" s="177"/>
      <c r="Y380" s="177"/>
      <c r="Z380" s="177"/>
    </row>
    <row r="381" ht="12.75" customHeight="1">
      <c r="A381" s="15"/>
      <c r="B381" s="387"/>
      <c r="C381" s="388"/>
      <c r="D381" s="388"/>
      <c r="E381" s="388"/>
      <c r="F381" s="388"/>
      <c r="G381" s="388"/>
      <c r="H381" s="389"/>
      <c r="I381" s="389"/>
      <c r="J381" s="389"/>
      <c r="K381" s="390"/>
      <c r="L381" s="16"/>
      <c r="M381" s="16"/>
      <c r="N381" s="16"/>
      <c r="O381" s="61"/>
      <c r="P381" s="177"/>
      <c r="Q381" s="177"/>
      <c r="R381" s="177"/>
      <c r="S381" s="177"/>
      <c r="T381" s="177"/>
      <c r="U381" s="177"/>
      <c r="V381" s="177"/>
      <c r="W381" s="177"/>
      <c r="X381" s="177"/>
      <c r="Y381" s="177"/>
      <c r="Z381" s="177"/>
    </row>
    <row r="382" ht="12.75" customHeight="1">
      <c r="A382" s="15"/>
      <c r="B382" s="387"/>
      <c r="C382" s="387"/>
      <c r="D382" s="387"/>
      <c r="E382" s="387"/>
      <c r="F382" s="387"/>
      <c r="G382" s="387"/>
      <c r="H382" s="387"/>
      <c r="I382" s="387"/>
      <c r="J382" s="387"/>
      <c r="K382" s="387"/>
      <c r="L382" s="16"/>
      <c r="M382" s="16"/>
      <c r="N382" s="16"/>
      <c r="O382" s="61"/>
      <c r="P382" s="177"/>
      <c r="Q382" s="177"/>
      <c r="R382" s="177"/>
      <c r="S382" s="177"/>
      <c r="T382" s="177"/>
      <c r="U382" s="177"/>
      <c r="V382" s="177"/>
      <c r="W382" s="177"/>
      <c r="X382" s="177"/>
      <c r="Y382" s="177"/>
      <c r="Z382" s="177"/>
    </row>
    <row r="383" ht="12.75" customHeight="1">
      <c r="A383" s="15"/>
      <c r="B383" s="387"/>
      <c r="C383" s="387"/>
      <c r="D383" s="387"/>
      <c r="E383" s="387"/>
      <c r="F383" s="387"/>
      <c r="G383" s="387"/>
      <c r="H383" s="387"/>
      <c r="I383" s="387"/>
      <c r="J383" s="387"/>
      <c r="K383" s="387"/>
      <c r="L383" s="16"/>
      <c r="M383" s="16"/>
      <c r="N383" s="16"/>
      <c r="O383" s="61"/>
      <c r="P383" s="177"/>
      <c r="Q383" s="177"/>
      <c r="R383" s="177"/>
      <c r="S383" s="177"/>
      <c r="T383" s="177"/>
      <c r="U383" s="177"/>
      <c r="V383" s="177"/>
      <c r="W383" s="177"/>
      <c r="X383" s="177"/>
      <c r="Y383" s="177"/>
      <c r="Z383" s="177"/>
    </row>
    <row r="384" ht="12.75" customHeight="1">
      <c r="A384" s="15"/>
      <c r="B384" s="387"/>
      <c r="C384" s="388"/>
      <c r="D384" s="388"/>
      <c r="E384" s="388"/>
      <c r="F384" s="388"/>
      <c r="G384" s="388"/>
      <c r="H384" s="387"/>
      <c r="I384" s="387"/>
      <c r="J384" s="387"/>
      <c r="K384" s="387"/>
      <c r="L384" s="16"/>
      <c r="M384" s="16"/>
      <c r="N384" s="16"/>
      <c r="O384" s="61"/>
      <c r="P384" s="177"/>
      <c r="Q384" s="177"/>
      <c r="R384" s="177"/>
      <c r="S384" s="177"/>
      <c r="T384" s="177"/>
      <c r="U384" s="177"/>
      <c r="V384" s="177"/>
      <c r="W384" s="177"/>
      <c r="X384" s="177"/>
      <c r="Y384" s="177"/>
      <c r="Z384" s="177"/>
    </row>
    <row r="385" ht="12.75" customHeight="1">
      <c r="A385" s="15"/>
      <c r="B385" s="387"/>
      <c r="C385" s="388"/>
      <c r="D385" s="388"/>
      <c r="E385" s="388"/>
      <c r="F385" s="388"/>
      <c r="G385" s="388"/>
      <c r="H385" s="387"/>
      <c r="I385" s="387"/>
      <c r="J385" s="387"/>
      <c r="K385" s="387"/>
      <c r="L385" s="16"/>
      <c r="M385" s="16"/>
      <c r="N385" s="16"/>
      <c r="O385" s="61"/>
      <c r="P385" s="177"/>
      <c r="Q385" s="177"/>
      <c r="R385" s="177"/>
      <c r="S385" s="177"/>
      <c r="T385" s="177"/>
      <c r="U385" s="177"/>
      <c r="V385" s="177"/>
      <c r="W385" s="177"/>
      <c r="X385" s="177"/>
      <c r="Y385" s="177"/>
      <c r="Z385" s="177"/>
    </row>
    <row r="386" ht="12.75" customHeight="1">
      <c r="A386" s="15"/>
      <c r="B386" s="387"/>
      <c r="C386" s="387"/>
      <c r="D386" s="387"/>
      <c r="E386" s="387"/>
      <c r="F386" s="387"/>
      <c r="G386" s="387"/>
      <c r="H386" s="387"/>
      <c r="I386" s="387"/>
      <c r="J386" s="387"/>
      <c r="K386" s="387"/>
      <c r="L386" s="16"/>
      <c r="M386" s="16"/>
      <c r="N386" s="16"/>
      <c r="O386" s="61"/>
      <c r="P386" s="177"/>
      <c r="Q386" s="177"/>
      <c r="R386" s="177"/>
      <c r="S386" s="177"/>
      <c r="T386" s="177"/>
      <c r="U386" s="177"/>
      <c r="V386" s="177"/>
      <c r="W386" s="177"/>
      <c r="X386" s="177"/>
      <c r="Y386" s="177"/>
      <c r="Z386" s="177"/>
    </row>
    <row r="387" ht="12.75" customHeight="1">
      <c r="A387" s="15"/>
      <c r="B387" s="387"/>
      <c r="C387" s="387"/>
      <c r="D387" s="387"/>
      <c r="E387" s="387"/>
      <c r="F387" s="387"/>
      <c r="G387" s="387"/>
      <c r="H387" s="387"/>
      <c r="I387" s="387"/>
      <c r="J387" s="387"/>
      <c r="K387" s="387"/>
      <c r="L387" s="16"/>
      <c r="M387" s="16"/>
      <c r="N387" s="16"/>
      <c r="O387" s="61"/>
      <c r="P387" s="177"/>
      <c r="Q387" s="177"/>
      <c r="R387" s="177"/>
      <c r="S387" s="177"/>
      <c r="T387" s="177"/>
      <c r="U387" s="177"/>
      <c r="V387" s="177"/>
      <c r="W387" s="177"/>
      <c r="X387" s="177"/>
      <c r="Y387" s="177"/>
      <c r="Z387" s="177"/>
    </row>
    <row r="388" ht="12.75" customHeight="1">
      <c r="A388" s="15"/>
      <c r="B388" s="387"/>
      <c r="C388" s="388"/>
      <c r="D388" s="388"/>
      <c r="E388" s="388"/>
      <c r="F388" s="388"/>
      <c r="G388" s="388"/>
      <c r="H388" s="387"/>
      <c r="I388" s="387"/>
      <c r="J388" s="387"/>
      <c r="K388" s="387"/>
      <c r="L388" s="16"/>
      <c r="M388" s="16"/>
      <c r="N388" s="16"/>
      <c r="O388" s="61"/>
      <c r="P388" s="177"/>
      <c r="Q388" s="177"/>
      <c r="R388" s="177"/>
      <c r="S388" s="177"/>
      <c r="T388" s="177"/>
      <c r="U388" s="177"/>
      <c r="V388" s="177"/>
      <c r="W388" s="177"/>
      <c r="X388" s="177"/>
      <c r="Y388" s="177"/>
      <c r="Z388" s="177"/>
    </row>
    <row r="389" ht="12.75" customHeight="1">
      <c r="A389" s="300"/>
      <c r="B389" s="391"/>
      <c r="C389" s="392"/>
      <c r="D389" s="392"/>
      <c r="E389" s="392"/>
      <c r="F389" s="392"/>
      <c r="G389" s="392"/>
      <c r="H389" s="391"/>
      <c r="I389" s="391"/>
      <c r="J389" s="391"/>
      <c r="K389" s="391"/>
      <c r="L389" s="175"/>
      <c r="M389" s="175"/>
      <c r="N389" s="175"/>
      <c r="O389" s="176"/>
      <c r="P389" s="177"/>
      <c r="Q389" s="177"/>
      <c r="R389" s="177"/>
      <c r="S389" s="177"/>
      <c r="T389" s="177"/>
      <c r="U389" s="177"/>
      <c r="V389" s="177"/>
      <c r="W389" s="177"/>
      <c r="X389" s="177"/>
      <c r="Y389" s="177"/>
      <c r="Z389" s="177"/>
    </row>
    <row r="390" ht="12.7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2.7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2.7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2.7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2.7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2.7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2.7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2.7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2.7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2.7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2.7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2.7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2.7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2.7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2.7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2.7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2.7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2.7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2.7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2.7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2.7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2.7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2.7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2.7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2.7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2.7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2.7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2.7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2.7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2.7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2.7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2.7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2.7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2.7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2.7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2.7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2.7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2.7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2.7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2.7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2.7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2.7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2.7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2.7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2.7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2.7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2.7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2.7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2.7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2.7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2.7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2.7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2.7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2.7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2.7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2.7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2.7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2.7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2.7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2.7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2.7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2.7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2.7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2.7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2.7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2.7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2.7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2.7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2.7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2.7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2.7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2.7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2.7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2.7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2.7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2.7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2.7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2.7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2.7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2.7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2.7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2.7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2.7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2.7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2.7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2.7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2.7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2.7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2.7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2.7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2.7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2.7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2.7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2.7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2.7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2.7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2.7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2.7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2.7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2.7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2.7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2.7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2.7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2.7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2.7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2.7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2.7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2.7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2.7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2.7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2.7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2.7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2.7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2.7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2.7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2.7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2.7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2.7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2.7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2.7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2.7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2.7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2.7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2.7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2.7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2.7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2.7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2.7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2.7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2.7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2.7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2.7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2.7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2.7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2.7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2.7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2.7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2.7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2.7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2.7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2.7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2.7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2.7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2.7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2.7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2.7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2.7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2.7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2.7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2.7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2.7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2.7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2.7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2.7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2.7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2.7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2.7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2.7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2.7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2.7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2.7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2.7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2.7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2.7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2.7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2.7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2.7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2.7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2.7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2.7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2.7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2.7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2.7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2.7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2.7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2.7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2.7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2.7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2.7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2.7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2.7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2.7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2.7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2.7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2.7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2.7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2.7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2.7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2.7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2.7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2.7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2.7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2.7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2.7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2.7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2.7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2.7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2.7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2.7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2.7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2.7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2.7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2.7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2.7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2.7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2.7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2.7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2.7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2.7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2.7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2.7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2.7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2.7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2.7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2.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2.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2.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2.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2.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2.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2.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2.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2.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2.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2.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2.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2.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2.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2.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2.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2.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2.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2.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2.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2.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2.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2.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2.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2.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2.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2.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2.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2.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2.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2.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2.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2.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2.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2.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2.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2.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2.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2.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2.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2.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2.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2.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2.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2.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2.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2.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2.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2.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2.7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2.7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2.7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2.7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2.7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2.7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2.7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2.7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2.7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2.7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2.7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2.7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2.7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2.7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2.7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2.7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2.7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2.7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2.7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2.7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2.7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2.7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2.7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2.7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2.7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2.7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2.7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2.7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2.7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2.7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2.7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2.7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2.7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2.7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2.7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2.7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2.7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2.7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2.7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2.7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2.7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2.7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2.7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2.7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2.7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2.7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2.7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2.7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2.7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2.7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2.7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2.7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2.7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2.7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2.7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2.7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2.7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2.7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2.7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2.7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2.7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2.7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2.7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2.7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2.7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2.7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2.7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2.7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2.7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2.7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2.7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2.7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2.7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2.7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2.7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2.7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2.7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2.7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2.7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2.7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2.7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2.7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2.7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2.7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2.7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2.7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2.7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2.7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2.7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2.7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2.7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2.7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2.7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2.7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2.7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2.7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2.7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2.7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2.7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2.7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2.7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2.7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2.7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2.7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2.7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2.7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2.7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2.7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2.7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2.7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2.7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2.7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2.7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2.7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2.7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2.7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2.7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2.7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2.7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2.7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2.7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2.7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2.7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2.7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2.7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2.7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2.7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2.7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2.7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2.7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2.7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2.7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2.7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2.7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2.7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2.7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2.7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2.7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2.7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2.7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2.7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2.7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2.7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2.7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2.7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2.7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2.7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2.7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2.7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2.7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2.7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2.7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2.7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2.7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2.7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2.7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2.7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2.7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2.7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2.7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2.7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2.7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2.7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2.7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2.7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2.7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2.7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2.7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2.7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2.7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2.7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2.7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2.7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2.7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2.7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2.7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2.7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2.7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2.7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2.7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2.7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2.7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2.7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2.7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2.7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2.7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2.7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2.7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2.7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2.7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2.7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2.7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2.7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2.7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2.7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2.7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2.7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2.7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2.7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2.7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2.7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2.7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2.7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2.7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2.7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2.7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2.7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2.7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2.7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2.7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2.7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2.7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2.7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2.7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2.7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2.7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2.7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2.7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2.7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2.7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2.7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2.7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2.7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2.7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2.7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2.7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2.7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2.7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2.7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2.7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2.7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2.7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2.7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2.7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2.7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2.7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2.7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2.7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2.7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2.7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2.7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2.7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2.7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2.7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2.7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2.7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2.7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2.7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2.7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2.7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2.7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2.7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2.7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2.7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2.7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2.7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2.7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2.7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2.7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2.7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2.7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2.7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2.7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2.7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2.7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2.7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2.7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2.7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2.7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2.7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2.7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2.7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2.7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2.7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2.7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2.7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2.7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2.7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2.7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2.7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2.7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2.7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2.7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2.7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2.7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2.7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2.7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2.7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2.7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2.7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2.7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2.7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2.7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2.7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2.7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2.7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2.7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2.7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2.7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2.7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2.7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2.7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2.7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2.7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2.7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2.7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2.7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2.7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2.7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2.7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2.7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2.7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2.7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2.7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2.7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2.7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2.7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2.7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2.7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2.7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2.7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2.7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2.7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2.7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2.7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2.7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2.7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2.7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2.7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2.7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2.7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2.7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2.7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2.7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2.7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2.7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2.7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2.7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2.7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2.7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2.7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2.7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2.7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2.7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2.7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2.7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2.7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2.7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231">
    <mergeCell ref="C46:C47"/>
    <mergeCell ref="C48:C49"/>
    <mergeCell ref="D48:D49"/>
    <mergeCell ref="D50:D51"/>
    <mergeCell ref="E50:E51"/>
    <mergeCell ref="E46:E47"/>
    <mergeCell ref="F46:F47"/>
    <mergeCell ref="H74:I74"/>
    <mergeCell ref="J74:K74"/>
    <mergeCell ref="C75:G76"/>
    <mergeCell ref="H75:I75"/>
    <mergeCell ref="J75:K75"/>
    <mergeCell ref="H9:I9"/>
    <mergeCell ref="J9:K9"/>
    <mergeCell ref="C10:G11"/>
    <mergeCell ref="H10:I10"/>
    <mergeCell ref="J10:K10"/>
    <mergeCell ref="H11:I11"/>
    <mergeCell ref="J11:K11"/>
    <mergeCell ref="H12:I12"/>
    <mergeCell ref="J12:K12"/>
    <mergeCell ref="C14:C15"/>
    <mergeCell ref="D14:G14"/>
    <mergeCell ref="D15:F15"/>
    <mergeCell ref="C16:C17"/>
    <mergeCell ref="D16:D17"/>
    <mergeCell ref="G16:G17"/>
    <mergeCell ref="D29:G29"/>
    <mergeCell ref="D30:F30"/>
    <mergeCell ref="E16:E17"/>
    <mergeCell ref="F16:F17"/>
    <mergeCell ref="C18:C19"/>
    <mergeCell ref="D18:D19"/>
    <mergeCell ref="D20:D21"/>
    <mergeCell ref="E20:E21"/>
    <mergeCell ref="C29:C30"/>
    <mergeCell ref="C31:C32"/>
    <mergeCell ref="D31:D32"/>
    <mergeCell ref="E31:E32"/>
    <mergeCell ref="F31:F32"/>
    <mergeCell ref="G31:G32"/>
    <mergeCell ref="C33:C34"/>
    <mergeCell ref="D33:D34"/>
    <mergeCell ref="D35:D36"/>
    <mergeCell ref="E35:E36"/>
    <mergeCell ref="C44:C45"/>
    <mergeCell ref="D44:G44"/>
    <mergeCell ref="D45:F45"/>
    <mergeCell ref="D46:D47"/>
    <mergeCell ref="G46:G47"/>
    <mergeCell ref="H76:I76"/>
    <mergeCell ref="J76:K76"/>
    <mergeCell ref="H77:I77"/>
    <mergeCell ref="J77:K77"/>
    <mergeCell ref="C79:C80"/>
    <mergeCell ref="D79:G79"/>
    <mergeCell ref="D80:F80"/>
    <mergeCell ref="C81:C82"/>
    <mergeCell ref="D81:D82"/>
    <mergeCell ref="E81:E82"/>
    <mergeCell ref="F81:F82"/>
    <mergeCell ref="G81:G82"/>
    <mergeCell ref="C83:C84"/>
    <mergeCell ref="D83:D84"/>
    <mergeCell ref="E96:E97"/>
    <mergeCell ref="F96:F97"/>
    <mergeCell ref="D85:D86"/>
    <mergeCell ref="E85:E86"/>
    <mergeCell ref="C94:C95"/>
    <mergeCell ref="D94:G94"/>
    <mergeCell ref="D95:F95"/>
    <mergeCell ref="D96:D97"/>
    <mergeCell ref="G96:G97"/>
    <mergeCell ref="C96:C97"/>
    <mergeCell ref="C98:C99"/>
    <mergeCell ref="D98:D99"/>
    <mergeCell ref="D100:D101"/>
    <mergeCell ref="E100:E101"/>
    <mergeCell ref="D109:G109"/>
    <mergeCell ref="D110:F110"/>
    <mergeCell ref="C109:C110"/>
    <mergeCell ref="C111:C112"/>
    <mergeCell ref="D111:D112"/>
    <mergeCell ref="E111:E112"/>
    <mergeCell ref="F111:F112"/>
    <mergeCell ref="G111:G112"/>
    <mergeCell ref="C113:C114"/>
    <mergeCell ref="H140:I140"/>
    <mergeCell ref="H141:I141"/>
    <mergeCell ref="H142:I142"/>
    <mergeCell ref="J142:K142"/>
    <mergeCell ref="D113:D114"/>
    <mergeCell ref="D115:D116"/>
    <mergeCell ref="E115:E116"/>
    <mergeCell ref="H139:I139"/>
    <mergeCell ref="J139:K139"/>
    <mergeCell ref="J140:K140"/>
    <mergeCell ref="J141:K141"/>
    <mergeCell ref="C176:C177"/>
    <mergeCell ref="C178:C179"/>
    <mergeCell ref="D178:D179"/>
    <mergeCell ref="D180:D181"/>
    <mergeCell ref="E180:E181"/>
    <mergeCell ref="E176:E177"/>
    <mergeCell ref="F176:F177"/>
    <mergeCell ref="H204:I204"/>
    <mergeCell ref="J204:K204"/>
    <mergeCell ref="C205:G206"/>
    <mergeCell ref="H205:I205"/>
    <mergeCell ref="J205:K205"/>
    <mergeCell ref="F146:F147"/>
    <mergeCell ref="G146:G147"/>
    <mergeCell ref="C140:G141"/>
    <mergeCell ref="C144:C145"/>
    <mergeCell ref="D144:G144"/>
    <mergeCell ref="D145:F145"/>
    <mergeCell ref="C146:C147"/>
    <mergeCell ref="D146:D147"/>
    <mergeCell ref="E146:E147"/>
    <mergeCell ref="C148:C149"/>
    <mergeCell ref="D148:D149"/>
    <mergeCell ref="D150:D151"/>
    <mergeCell ref="E150:E151"/>
    <mergeCell ref="C159:C160"/>
    <mergeCell ref="D159:G159"/>
    <mergeCell ref="D160:F160"/>
    <mergeCell ref="C161:C162"/>
    <mergeCell ref="D161:D162"/>
    <mergeCell ref="E161:E162"/>
    <mergeCell ref="F161:F162"/>
    <mergeCell ref="G161:G162"/>
    <mergeCell ref="C163:C164"/>
    <mergeCell ref="D163:D164"/>
    <mergeCell ref="D165:D166"/>
    <mergeCell ref="E165:E166"/>
    <mergeCell ref="C174:C175"/>
    <mergeCell ref="D174:G174"/>
    <mergeCell ref="D175:F175"/>
    <mergeCell ref="D176:D177"/>
    <mergeCell ref="G176:G177"/>
    <mergeCell ref="H206:I206"/>
    <mergeCell ref="J206:K206"/>
    <mergeCell ref="H207:I207"/>
    <mergeCell ref="J207:K207"/>
    <mergeCell ref="D228:D229"/>
    <mergeCell ref="D230:D231"/>
    <mergeCell ref="E230:E231"/>
    <mergeCell ref="C224:C225"/>
    <mergeCell ref="C226:C227"/>
    <mergeCell ref="D226:D227"/>
    <mergeCell ref="E226:E227"/>
    <mergeCell ref="F226:F227"/>
    <mergeCell ref="G226:G227"/>
    <mergeCell ref="C228:C229"/>
    <mergeCell ref="D290:G290"/>
    <mergeCell ref="D291:F291"/>
    <mergeCell ref="D277:D278"/>
    <mergeCell ref="E277:E278"/>
    <mergeCell ref="C279:C280"/>
    <mergeCell ref="D279:D280"/>
    <mergeCell ref="D281:D282"/>
    <mergeCell ref="E281:E282"/>
    <mergeCell ref="C290:C291"/>
    <mergeCell ref="C292:C293"/>
    <mergeCell ref="D292:D293"/>
    <mergeCell ref="E292:E293"/>
    <mergeCell ref="F292:F293"/>
    <mergeCell ref="G292:G293"/>
    <mergeCell ref="C294:C295"/>
    <mergeCell ref="D294:D295"/>
    <mergeCell ref="E307:E308"/>
    <mergeCell ref="F307:F308"/>
    <mergeCell ref="D296:D297"/>
    <mergeCell ref="E296:E297"/>
    <mergeCell ref="C305:C306"/>
    <mergeCell ref="D305:G305"/>
    <mergeCell ref="D306:F306"/>
    <mergeCell ref="D307:D308"/>
    <mergeCell ref="G307:G308"/>
    <mergeCell ref="B340:K340"/>
    <mergeCell ref="B341:K341"/>
    <mergeCell ref="B342:K342"/>
    <mergeCell ref="B343:K343"/>
    <mergeCell ref="C307:C308"/>
    <mergeCell ref="C309:C310"/>
    <mergeCell ref="D309:D310"/>
    <mergeCell ref="D311:D312"/>
    <mergeCell ref="E311:E312"/>
    <mergeCell ref="B338:K338"/>
    <mergeCell ref="B339:K339"/>
    <mergeCell ref="C209:C210"/>
    <mergeCell ref="D209:G209"/>
    <mergeCell ref="D210:F210"/>
    <mergeCell ref="D211:D212"/>
    <mergeCell ref="E211:E212"/>
    <mergeCell ref="F211:F212"/>
    <mergeCell ref="G211:G212"/>
    <mergeCell ref="C211:C212"/>
    <mergeCell ref="C213:C214"/>
    <mergeCell ref="D213:D214"/>
    <mergeCell ref="D215:D216"/>
    <mergeCell ref="E215:E216"/>
    <mergeCell ref="D224:G224"/>
    <mergeCell ref="D225:F225"/>
    <mergeCell ref="C239:C240"/>
    <mergeCell ref="D239:G239"/>
    <mergeCell ref="D240:F240"/>
    <mergeCell ref="D241:D242"/>
    <mergeCell ref="E241:E242"/>
    <mergeCell ref="F241:F242"/>
    <mergeCell ref="G241:G242"/>
    <mergeCell ref="H270:I270"/>
    <mergeCell ref="H271:I271"/>
    <mergeCell ref="H273:I273"/>
    <mergeCell ref="J273:K273"/>
    <mergeCell ref="C241:C242"/>
    <mergeCell ref="C243:C244"/>
    <mergeCell ref="D243:D244"/>
    <mergeCell ref="D245:D246"/>
    <mergeCell ref="E245:E246"/>
    <mergeCell ref="J270:K270"/>
    <mergeCell ref="J271:K271"/>
    <mergeCell ref="F277:F278"/>
    <mergeCell ref="G277:G278"/>
    <mergeCell ref="C271:G272"/>
    <mergeCell ref="H272:I272"/>
    <mergeCell ref="J272:K272"/>
    <mergeCell ref="C275:C276"/>
    <mergeCell ref="D275:G275"/>
    <mergeCell ref="D276:F276"/>
    <mergeCell ref="C277:C278"/>
  </mergeCells>
  <printOptions/>
  <pageMargins bottom="0.49" footer="0.0" header="0.0" left="0.19685" right="0.19685" top="0.590551"/>
  <pageSetup scale="80" orientation="portrait"/>
  <headerFooter>
    <oddHeader>&amp;L000000 &amp;C000000 </oddHeader>
    <oddFooter>&amp;R0000FF Certificado Original Metkal 000000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393"/>
      <c r="B1" s="393"/>
      <c r="C1" s="393"/>
      <c r="D1" s="393"/>
      <c r="E1" s="393"/>
      <c r="F1" s="393"/>
      <c r="G1" s="393"/>
      <c r="H1" s="393"/>
      <c r="I1" s="177"/>
      <c r="J1" s="177"/>
      <c r="K1" s="177"/>
      <c r="L1" s="177"/>
      <c r="M1" s="177"/>
      <c r="N1" s="177"/>
      <c r="O1" s="177"/>
      <c r="P1" s="177"/>
      <c r="Q1" s="177"/>
      <c r="R1" s="177"/>
      <c r="S1" s="177"/>
      <c r="T1" s="177"/>
      <c r="U1" s="177"/>
      <c r="V1" s="177"/>
      <c r="W1" s="177"/>
      <c r="X1" s="177"/>
      <c r="Y1" s="177"/>
      <c r="Z1" s="177"/>
    </row>
    <row r="2" ht="12.75" customHeight="1">
      <c r="A2" s="393"/>
      <c r="B2" s="393"/>
      <c r="C2" s="393"/>
      <c r="D2" s="393"/>
      <c r="E2" s="393"/>
      <c r="F2" s="393"/>
      <c r="G2" s="393"/>
      <c r="H2" s="393"/>
      <c r="I2" s="177"/>
      <c r="J2" s="177"/>
      <c r="K2" s="177"/>
      <c r="L2" s="177"/>
      <c r="M2" s="177"/>
      <c r="N2" s="177"/>
      <c r="O2" s="177"/>
      <c r="P2" s="177"/>
      <c r="Q2" s="177"/>
      <c r="R2" s="177"/>
      <c r="S2" s="177"/>
      <c r="T2" s="177"/>
      <c r="U2" s="177"/>
      <c r="V2" s="177"/>
      <c r="W2" s="177"/>
      <c r="X2" s="177"/>
      <c r="Y2" s="177"/>
      <c r="Z2" s="177"/>
    </row>
    <row r="3" ht="12.75" customHeight="1">
      <c r="A3" s="393"/>
      <c r="B3" s="393"/>
      <c r="C3" s="393"/>
      <c r="D3" s="393"/>
      <c r="E3" s="393"/>
      <c r="F3" s="393"/>
      <c r="G3" s="393"/>
      <c r="H3" s="393"/>
      <c r="I3" s="177"/>
      <c r="J3" s="177"/>
      <c r="K3" s="177"/>
      <c r="L3" s="177"/>
      <c r="M3" s="177"/>
      <c r="N3" s="177"/>
      <c r="O3" s="177"/>
      <c r="P3" s="177"/>
      <c r="Q3" s="177"/>
      <c r="R3" s="177"/>
      <c r="S3" s="177"/>
      <c r="T3" s="177"/>
      <c r="U3" s="177"/>
      <c r="V3" s="177"/>
      <c r="W3" s="177"/>
      <c r="X3" s="177"/>
      <c r="Y3" s="177"/>
      <c r="Z3" s="177"/>
    </row>
    <row r="4" ht="12.75" customHeight="1">
      <c r="A4" s="393"/>
      <c r="B4" s="393"/>
      <c r="C4" s="393"/>
      <c r="D4" s="393"/>
      <c r="E4" s="393"/>
      <c r="F4" s="393"/>
      <c r="G4" s="393"/>
      <c r="H4" s="393"/>
      <c r="I4" s="177"/>
      <c r="J4" s="177"/>
      <c r="K4" s="177"/>
      <c r="L4" s="177"/>
      <c r="M4" s="177"/>
      <c r="N4" s="177"/>
      <c r="O4" s="177"/>
      <c r="P4" s="177"/>
      <c r="Q4" s="177"/>
      <c r="R4" s="177"/>
      <c r="S4" s="177"/>
      <c r="T4" s="177"/>
      <c r="U4" s="177"/>
      <c r="V4" s="177"/>
      <c r="W4" s="177"/>
      <c r="X4" s="177"/>
      <c r="Y4" s="177"/>
      <c r="Z4" s="177"/>
    </row>
    <row r="5" ht="12.75" customHeight="1">
      <c r="A5" s="393"/>
      <c r="B5" s="393"/>
      <c r="C5" s="393"/>
      <c r="D5" s="393"/>
      <c r="E5" s="393"/>
      <c r="F5" s="393"/>
      <c r="G5" s="393"/>
      <c r="H5" s="393"/>
      <c r="I5" s="177"/>
      <c r="J5" s="177"/>
      <c r="K5" s="177"/>
      <c r="L5" s="177"/>
      <c r="M5" s="177"/>
      <c r="N5" s="177"/>
      <c r="O5" s="177"/>
      <c r="P5" s="177"/>
      <c r="Q5" s="177"/>
      <c r="R5" s="177"/>
      <c r="S5" s="177"/>
      <c r="T5" s="177"/>
      <c r="U5" s="177"/>
      <c r="V5" s="177"/>
      <c r="W5" s="177"/>
      <c r="X5" s="177"/>
      <c r="Y5" s="177"/>
      <c r="Z5" s="177"/>
    </row>
    <row r="6" ht="12.75" customHeight="1">
      <c r="A6" s="393"/>
      <c r="B6" s="393"/>
      <c r="C6" s="393"/>
      <c r="D6" s="393"/>
      <c r="E6" s="393"/>
      <c r="F6" s="393"/>
      <c r="G6" s="393"/>
      <c r="H6" s="393"/>
      <c r="I6" s="177"/>
      <c r="J6" s="177"/>
      <c r="K6" s="177"/>
      <c r="L6" s="177"/>
      <c r="M6" s="177"/>
      <c r="N6" s="177"/>
      <c r="O6" s="177"/>
      <c r="P6" s="177"/>
      <c r="Q6" s="177"/>
      <c r="R6" s="177"/>
      <c r="S6" s="177"/>
      <c r="T6" s="177"/>
      <c r="U6" s="177"/>
      <c r="V6" s="177"/>
      <c r="W6" s="177"/>
      <c r="X6" s="177"/>
      <c r="Y6" s="177"/>
      <c r="Z6" s="177"/>
    </row>
    <row r="7" ht="12.75" customHeight="1">
      <c r="A7" s="393"/>
      <c r="B7" s="393"/>
      <c r="C7" s="393"/>
      <c r="D7" s="393"/>
      <c r="E7" s="393"/>
      <c r="F7" s="393"/>
      <c r="G7" s="393"/>
      <c r="H7" s="393"/>
      <c r="I7" s="177"/>
      <c r="J7" s="177"/>
      <c r="K7" s="177"/>
      <c r="L7" s="177"/>
      <c r="M7" s="177"/>
      <c r="N7" s="177"/>
      <c r="O7" s="177"/>
      <c r="P7" s="177"/>
      <c r="Q7" s="177"/>
      <c r="R7" s="177"/>
      <c r="S7" s="177"/>
      <c r="T7" s="177"/>
      <c r="U7" s="177"/>
      <c r="V7" s="177"/>
      <c r="W7" s="177"/>
      <c r="X7" s="177"/>
      <c r="Y7" s="177"/>
      <c r="Z7" s="177"/>
    </row>
    <row r="8" ht="12.75" customHeight="1">
      <c r="A8" s="393"/>
      <c r="B8" s="393"/>
      <c r="C8" s="393"/>
      <c r="D8" s="393"/>
      <c r="E8" s="393"/>
      <c r="F8" s="393"/>
      <c r="G8" s="393"/>
      <c r="H8" s="393"/>
      <c r="I8" s="177"/>
      <c r="J8" s="177"/>
      <c r="K8" s="177"/>
      <c r="L8" s="177"/>
      <c r="M8" s="177"/>
      <c r="N8" s="177"/>
      <c r="O8" s="177"/>
      <c r="P8" s="177"/>
      <c r="Q8" s="177"/>
      <c r="R8" s="177"/>
      <c r="S8" s="177"/>
      <c r="T8" s="177"/>
      <c r="U8" s="177"/>
      <c r="V8" s="177"/>
      <c r="W8" s="177"/>
      <c r="X8" s="177"/>
      <c r="Y8" s="177"/>
      <c r="Z8" s="177"/>
    </row>
    <row r="9" ht="12.75" customHeight="1">
      <c r="A9" s="393"/>
      <c r="B9" s="393"/>
      <c r="C9" s="393"/>
      <c r="D9" s="393"/>
      <c r="E9" s="393"/>
      <c r="F9" s="393"/>
      <c r="G9" s="393"/>
      <c r="H9" s="393"/>
      <c r="I9" s="177"/>
      <c r="J9" s="177"/>
      <c r="K9" s="177"/>
      <c r="L9" s="177"/>
      <c r="M9" s="177"/>
      <c r="N9" s="177"/>
      <c r="O9" s="177"/>
      <c r="P9" s="177"/>
      <c r="Q9" s="177"/>
      <c r="R9" s="177"/>
      <c r="S9" s="177"/>
      <c r="T9" s="177"/>
      <c r="U9" s="177"/>
      <c r="V9" s="177"/>
      <c r="W9" s="177"/>
      <c r="X9" s="177"/>
      <c r="Y9" s="177"/>
      <c r="Z9" s="177"/>
    </row>
    <row r="10" ht="12.75" customHeight="1">
      <c r="A10" s="393"/>
      <c r="B10" s="393"/>
      <c r="C10" s="394"/>
      <c r="D10" s="393"/>
      <c r="E10" s="393"/>
      <c r="F10" s="393"/>
      <c r="G10" s="393"/>
      <c r="H10" s="393"/>
      <c r="I10" s="177"/>
      <c r="J10" s="177"/>
      <c r="K10" s="177"/>
      <c r="L10" s="177"/>
      <c r="M10" s="177"/>
      <c r="N10" s="177"/>
      <c r="O10" s="177"/>
      <c r="P10" s="177"/>
      <c r="Q10" s="177"/>
      <c r="R10" s="177"/>
      <c r="S10" s="177"/>
      <c r="T10" s="177"/>
      <c r="U10" s="177"/>
      <c r="V10" s="177"/>
      <c r="W10" s="177"/>
      <c r="X10" s="177"/>
      <c r="Y10" s="177"/>
      <c r="Z10" s="177"/>
    </row>
    <row r="11" ht="12.75" customHeight="1">
      <c r="A11" s="393"/>
      <c r="B11" s="394"/>
      <c r="C11" s="393"/>
      <c r="D11" s="393"/>
      <c r="E11" s="393"/>
      <c r="F11" s="393"/>
      <c r="G11" s="393"/>
      <c r="H11" s="393"/>
      <c r="I11" s="177"/>
      <c r="J11" s="177"/>
      <c r="K11" s="177"/>
      <c r="L11" s="177"/>
      <c r="M11" s="177"/>
      <c r="N11" s="177"/>
      <c r="O11" s="177"/>
      <c r="P11" s="177"/>
      <c r="Q11" s="177"/>
      <c r="R11" s="177"/>
      <c r="S11" s="177"/>
      <c r="T11" s="177"/>
      <c r="U11" s="177"/>
      <c r="V11" s="177"/>
      <c r="W11" s="177"/>
      <c r="X11" s="177"/>
      <c r="Y11" s="177"/>
      <c r="Z11" s="177"/>
    </row>
    <row r="12" ht="12.75" customHeight="1">
      <c r="A12" s="393"/>
      <c r="B12" s="394"/>
      <c r="C12" s="393"/>
      <c r="D12" s="393"/>
      <c r="E12" s="393"/>
      <c r="F12" s="393"/>
      <c r="G12" s="393"/>
      <c r="H12" s="393"/>
      <c r="I12" s="177"/>
      <c r="J12" s="177"/>
      <c r="K12" s="177"/>
      <c r="L12" s="177"/>
      <c r="M12" s="177"/>
      <c r="N12" s="177"/>
      <c r="O12" s="177"/>
      <c r="P12" s="177"/>
      <c r="Q12" s="177"/>
      <c r="R12" s="177"/>
      <c r="S12" s="177"/>
      <c r="T12" s="177"/>
      <c r="U12" s="177"/>
      <c r="V12" s="177"/>
      <c r="W12" s="177"/>
      <c r="X12" s="177"/>
      <c r="Y12" s="177"/>
      <c r="Z12" s="177"/>
    </row>
    <row r="13" ht="12.75" customHeight="1">
      <c r="A13" s="393"/>
      <c r="B13" s="394"/>
      <c r="C13" s="393"/>
      <c r="D13" s="394"/>
      <c r="E13" s="393"/>
      <c r="F13" s="394"/>
      <c r="G13" s="393"/>
      <c r="H13" s="393"/>
      <c r="I13" s="177"/>
      <c r="J13" s="177"/>
      <c r="K13" s="177"/>
      <c r="L13" s="177"/>
      <c r="M13" s="177"/>
      <c r="N13" s="177"/>
      <c r="O13" s="177"/>
      <c r="P13" s="177"/>
      <c r="Q13" s="177"/>
      <c r="R13" s="177"/>
      <c r="S13" s="177"/>
      <c r="T13" s="177"/>
      <c r="U13" s="177"/>
      <c r="V13" s="177"/>
      <c r="W13" s="177"/>
      <c r="X13" s="177"/>
      <c r="Y13" s="177"/>
      <c r="Z13" s="177"/>
    </row>
    <row r="14" ht="12.75" customHeight="1">
      <c r="A14" s="393"/>
      <c r="B14" s="394"/>
      <c r="C14" s="393"/>
      <c r="D14" s="393"/>
      <c r="E14" s="393"/>
      <c r="F14" s="395"/>
      <c r="G14" s="393"/>
      <c r="H14" s="393"/>
      <c r="I14" s="177"/>
      <c r="J14" s="177"/>
      <c r="K14" s="177"/>
      <c r="L14" s="177"/>
      <c r="M14" s="177"/>
      <c r="N14" s="177"/>
      <c r="O14" s="177"/>
      <c r="P14" s="177"/>
      <c r="Q14" s="177"/>
      <c r="R14" s="177"/>
      <c r="S14" s="177"/>
      <c r="T14" s="177"/>
      <c r="U14" s="177"/>
      <c r="V14" s="177"/>
      <c r="W14" s="177"/>
      <c r="X14" s="177"/>
      <c r="Y14" s="177"/>
      <c r="Z14" s="177"/>
    </row>
    <row r="15" ht="12.75" customHeight="1">
      <c r="A15" s="393"/>
      <c r="B15" s="393"/>
      <c r="C15" s="393"/>
      <c r="D15" s="393"/>
      <c r="E15" s="393"/>
      <c r="F15" s="393"/>
      <c r="G15" s="393"/>
      <c r="H15" s="393"/>
      <c r="I15" s="177"/>
      <c r="J15" s="177"/>
      <c r="K15" s="177"/>
      <c r="L15" s="177"/>
      <c r="M15" s="177"/>
      <c r="N15" s="177"/>
      <c r="O15" s="177"/>
      <c r="P15" s="177"/>
      <c r="Q15" s="177"/>
      <c r="R15" s="177"/>
      <c r="S15" s="177"/>
      <c r="T15" s="177"/>
      <c r="U15" s="177"/>
      <c r="V15" s="177"/>
      <c r="W15" s="177"/>
      <c r="X15" s="177"/>
      <c r="Y15" s="177"/>
      <c r="Z15" s="177"/>
    </row>
    <row r="16" ht="12.75" customHeight="1">
      <c r="A16" s="393"/>
      <c r="B16" s="394"/>
      <c r="C16" s="393"/>
      <c r="D16" s="393"/>
      <c r="E16" s="393"/>
      <c r="F16" s="393"/>
      <c r="G16" s="393"/>
      <c r="H16" s="393"/>
      <c r="I16" s="177"/>
      <c r="J16" s="177"/>
      <c r="K16" s="177"/>
      <c r="L16" s="177"/>
      <c r="M16" s="177"/>
      <c r="N16" s="177"/>
      <c r="O16" s="177"/>
      <c r="P16" s="177"/>
      <c r="Q16" s="177"/>
      <c r="R16" s="177"/>
      <c r="S16" s="177"/>
      <c r="T16" s="177"/>
      <c r="U16" s="177"/>
      <c r="V16" s="177"/>
      <c r="W16" s="177"/>
      <c r="X16" s="177"/>
      <c r="Y16" s="177"/>
      <c r="Z16" s="177"/>
    </row>
    <row r="17" ht="18.0" customHeight="1">
      <c r="A17" s="393"/>
      <c r="B17" s="394"/>
      <c r="C17" s="393"/>
      <c r="D17" s="393"/>
      <c r="E17" s="393"/>
      <c r="F17" s="393"/>
      <c r="G17" s="393"/>
      <c r="H17" s="393"/>
      <c r="I17" s="177"/>
      <c r="J17" s="177"/>
      <c r="K17" s="177"/>
      <c r="L17" s="177"/>
      <c r="M17" s="177"/>
      <c r="N17" s="177"/>
      <c r="O17" s="177"/>
      <c r="P17" s="177"/>
      <c r="Q17" s="177"/>
      <c r="R17" s="177"/>
      <c r="S17" s="177"/>
      <c r="T17" s="177"/>
      <c r="U17" s="177"/>
      <c r="V17" s="177"/>
      <c r="W17" s="177"/>
      <c r="X17" s="177"/>
      <c r="Y17" s="177"/>
      <c r="Z17" s="177"/>
    </row>
    <row r="18" ht="12.75" customHeight="1">
      <c r="A18" s="393"/>
      <c r="B18" s="393"/>
      <c r="C18" s="394"/>
      <c r="D18" s="393"/>
      <c r="E18" s="393"/>
      <c r="F18" s="393"/>
      <c r="G18" s="393"/>
      <c r="H18" s="393"/>
      <c r="I18" s="177"/>
      <c r="J18" s="177"/>
      <c r="K18" s="177"/>
      <c r="L18" s="177"/>
      <c r="M18" s="177"/>
      <c r="N18" s="177"/>
      <c r="O18" s="177"/>
      <c r="P18" s="177"/>
      <c r="Q18" s="177"/>
      <c r="R18" s="177"/>
      <c r="S18" s="177"/>
      <c r="T18" s="177"/>
      <c r="U18" s="177"/>
      <c r="V18" s="177"/>
      <c r="W18" s="177"/>
      <c r="X18" s="177"/>
      <c r="Y18" s="177"/>
      <c r="Z18" s="177"/>
    </row>
    <row r="19" ht="12.75" customHeight="1">
      <c r="A19" s="393"/>
      <c r="B19" s="394"/>
      <c r="C19" s="393"/>
      <c r="D19" s="393"/>
      <c r="E19" s="393"/>
      <c r="F19" s="395"/>
      <c r="G19" s="393"/>
      <c r="H19" s="393"/>
      <c r="I19" s="177"/>
      <c r="J19" s="177"/>
      <c r="K19" s="177"/>
      <c r="L19" s="177"/>
      <c r="M19" s="177"/>
      <c r="N19" s="177"/>
      <c r="O19" s="177"/>
      <c r="P19" s="177"/>
      <c r="Q19" s="177"/>
      <c r="R19" s="177"/>
      <c r="S19" s="177"/>
      <c r="T19" s="177"/>
      <c r="U19" s="177"/>
      <c r="V19" s="177"/>
      <c r="W19" s="177"/>
      <c r="X19" s="177"/>
      <c r="Y19" s="177"/>
      <c r="Z19" s="177"/>
    </row>
    <row r="20" ht="12.75" customHeight="1">
      <c r="A20" s="393"/>
      <c r="B20" s="394"/>
      <c r="C20" s="393"/>
      <c r="D20" s="393"/>
      <c r="E20" s="393"/>
      <c r="F20" s="395"/>
      <c r="G20" s="396"/>
      <c r="H20" s="393"/>
      <c r="I20" s="177"/>
      <c r="J20" s="177"/>
      <c r="K20" s="177"/>
      <c r="L20" s="177"/>
      <c r="M20" s="177"/>
      <c r="N20" s="177"/>
      <c r="O20" s="177"/>
      <c r="P20" s="177"/>
      <c r="Q20" s="177"/>
      <c r="R20" s="177"/>
      <c r="S20" s="177"/>
      <c r="T20" s="177"/>
      <c r="U20" s="177"/>
      <c r="V20" s="177"/>
      <c r="W20" s="177"/>
      <c r="X20" s="177"/>
      <c r="Y20" s="177"/>
      <c r="Z20" s="177"/>
    </row>
    <row r="21" ht="12.75" customHeight="1">
      <c r="A21" s="393"/>
      <c r="B21" s="394"/>
      <c r="C21" s="393"/>
      <c r="D21" s="393"/>
      <c r="E21" s="393"/>
      <c r="F21" s="393"/>
      <c r="G21" s="393"/>
      <c r="H21" s="393"/>
      <c r="I21" s="177"/>
      <c r="J21" s="177"/>
      <c r="K21" s="177"/>
      <c r="L21" s="177"/>
      <c r="M21" s="177"/>
      <c r="N21" s="177"/>
      <c r="O21" s="177"/>
      <c r="P21" s="177"/>
      <c r="Q21" s="177"/>
      <c r="R21" s="177"/>
      <c r="S21" s="177"/>
      <c r="T21" s="177"/>
      <c r="U21" s="177"/>
      <c r="V21" s="177"/>
      <c r="W21" s="177"/>
      <c r="X21" s="177"/>
      <c r="Y21" s="177"/>
      <c r="Z21" s="177"/>
    </row>
    <row r="22" ht="12.75" customHeight="1">
      <c r="A22" s="393"/>
      <c r="B22" s="394"/>
      <c r="C22" s="393"/>
      <c r="D22" s="393"/>
      <c r="E22" s="393"/>
      <c r="F22" s="393"/>
      <c r="G22" s="393"/>
      <c r="H22" s="393"/>
      <c r="I22" s="177"/>
      <c r="J22" s="177"/>
      <c r="K22" s="177"/>
      <c r="L22" s="177"/>
      <c r="M22" s="177"/>
      <c r="N22" s="177"/>
      <c r="O22" s="177"/>
      <c r="P22" s="177"/>
      <c r="Q22" s="177"/>
      <c r="R22" s="177"/>
      <c r="S22" s="177"/>
      <c r="T22" s="177"/>
      <c r="U22" s="177"/>
      <c r="V22" s="177"/>
      <c r="W22" s="177"/>
      <c r="X22" s="177"/>
      <c r="Y22" s="177"/>
      <c r="Z22" s="177"/>
    </row>
    <row r="23" ht="12.75" customHeight="1">
      <c r="A23" s="393"/>
      <c r="B23" s="394"/>
      <c r="C23" s="393"/>
      <c r="D23" s="393"/>
      <c r="E23" s="393"/>
      <c r="F23" s="393"/>
      <c r="G23" s="393"/>
      <c r="H23" s="393"/>
      <c r="I23" s="177"/>
      <c r="J23" s="177"/>
      <c r="K23" s="177"/>
      <c r="L23" s="177"/>
      <c r="M23" s="177"/>
      <c r="N23" s="177"/>
      <c r="O23" s="177"/>
      <c r="P23" s="177"/>
      <c r="Q23" s="177"/>
      <c r="R23" s="177"/>
      <c r="S23" s="177"/>
      <c r="T23" s="177"/>
      <c r="U23" s="177"/>
      <c r="V23" s="177"/>
      <c r="W23" s="177"/>
      <c r="X23" s="177"/>
      <c r="Y23" s="177"/>
      <c r="Z23" s="177"/>
    </row>
    <row r="24" ht="12.75" customHeight="1">
      <c r="A24" s="393"/>
      <c r="B24" s="393"/>
      <c r="C24" s="393"/>
      <c r="D24" s="393"/>
      <c r="E24" s="393"/>
      <c r="F24" s="393"/>
      <c r="G24" s="393"/>
      <c r="H24" s="393"/>
      <c r="I24" s="177"/>
      <c r="J24" s="177"/>
      <c r="K24" s="177"/>
      <c r="L24" s="177"/>
      <c r="M24" s="177"/>
      <c r="N24" s="177"/>
      <c r="O24" s="177"/>
      <c r="P24" s="177"/>
      <c r="Q24" s="177"/>
      <c r="R24" s="177"/>
      <c r="S24" s="177"/>
      <c r="T24" s="177"/>
      <c r="U24" s="177"/>
      <c r="V24" s="177"/>
      <c r="W24" s="177"/>
      <c r="X24" s="177"/>
      <c r="Y24" s="177"/>
      <c r="Z24" s="177"/>
    </row>
    <row r="25" ht="12.75" customHeight="1">
      <c r="A25" s="393"/>
      <c r="B25" s="394"/>
      <c r="C25" s="393"/>
      <c r="D25" s="393"/>
      <c r="E25" s="393"/>
      <c r="F25" s="393"/>
      <c r="G25" s="393"/>
      <c r="H25" s="393"/>
      <c r="I25" s="177"/>
      <c r="J25" s="177"/>
      <c r="K25" s="177"/>
      <c r="L25" s="177"/>
      <c r="M25" s="177"/>
      <c r="N25" s="177"/>
      <c r="O25" s="177"/>
      <c r="P25" s="177"/>
      <c r="Q25" s="177"/>
      <c r="R25" s="177"/>
      <c r="S25" s="177"/>
      <c r="T25" s="177"/>
      <c r="U25" s="177"/>
      <c r="V25" s="177"/>
      <c r="W25" s="177"/>
      <c r="X25" s="177"/>
      <c r="Y25" s="177"/>
      <c r="Z25" s="177"/>
    </row>
    <row r="26" ht="12.75" customHeight="1">
      <c r="A26" s="393"/>
      <c r="B26" s="394"/>
      <c r="C26" s="393"/>
      <c r="D26" s="393"/>
      <c r="E26" s="393"/>
      <c r="F26" s="393"/>
      <c r="G26" s="393"/>
      <c r="H26" s="393"/>
      <c r="I26" s="177"/>
      <c r="J26" s="177"/>
      <c r="K26" s="177"/>
      <c r="L26" s="177"/>
      <c r="M26" s="177"/>
      <c r="N26" s="177"/>
      <c r="O26" s="177"/>
      <c r="P26" s="177"/>
      <c r="Q26" s="177"/>
      <c r="R26" s="177"/>
      <c r="S26" s="177"/>
      <c r="T26" s="177"/>
      <c r="U26" s="177"/>
      <c r="V26" s="177"/>
      <c r="W26" s="177"/>
      <c r="X26" s="177"/>
      <c r="Y26" s="177"/>
      <c r="Z26" s="177"/>
    </row>
    <row r="27" ht="12.75" customHeight="1">
      <c r="A27" s="393"/>
      <c r="B27" s="393"/>
      <c r="C27" s="393"/>
      <c r="D27" s="393"/>
      <c r="E27" s="393"/>
      <c r="F27" s="393"/>
      <c r="G27" s="393"/>
      <c r="H27" s="393"/>
      <c r="I27" s="177"/>
      <c r="J27" s="177"/>
      <c r="K27" s="177"/>
      <c r="L27" s="177"/>
      <c r="M27" s="177"/>
      <c r="N27" s="177"/>
      <c r="O27" s="177"/>
      <c r="P27" s="177"/>
      <c r="Q27" s="177"/>
      <c r="R27" s="177"/>
      <c r="S27" s="177"/>
      <c r="T27" s="177"/>
      <c r="U27" s="177"/>
      <c r="V27" s="177"/>
      <c r="W27" s="177"/>
      <c r="X27" s="177"/>
      <c r="Y27" s="177"/>
      <c r="Z27" s="177"/>
    </row>
    <row r="28" ht="12.75" customHeight="1">
      <c r="A28" s="393"/>
      <c r="B28" s="393"/>
      <c r="C28" s="393"/>
      <c r="D28" s="393"/>
      <c r="E28" s="393"/>
      <c r="F28" s="393"/>
      <c r="G28" s="393"/>
      <c r="H28" s="393"/>
      <c r="I28" s="177"/>
      <c r="J28" s="177"/>
      <c r="K28" s="177"/>
      <c r="L28" s="177"/>
      <c r="M28" s="177"/>
      <c r="N28" s="177"/>
      <c r="O28" s="177"/>
      <c r="P28" s="177"/>
      <c r="Q28" s="177"/>
      <c r="R28" s="177"/>
      <c r="S28" s="177"/>
      <c r="T28" s="177"/>
      <c r="U28" s="177"/>
      <c r="V28" s="177"/>
      <c r="W28" s="177"/>
      <c r="X28" s="177"/>
      <c r="Y28" s="177"/>
      <c r="Z28" s="177"/>
    </row>
    <row r="29" ht="12.75" customHeight="1">
      <c r="A29" s="393"/>
      <c r="B29" s="393"/>
      <c r="C29" s="393"/>
      <c r="D29" s="393"/>
      <c r="E29" s="393"/>
      <c r="F29" s="393"/>
      <c r="G29" s="393"/>
      <c r="H29" s="393"/>
      <c r="I29" s="177"/>
      <c r="J29" s="177"/>
      <c r="K29" s="177"/>
      <c r="L29" s="177"/>
      <c r="M29" s="177"/>
      <c r="N29" s="177"/>
      <c r="O29" s="177"/>
      <c r="P29" s="177"/>
      <c r="Q29" s="177"/>
      <c r="R29" s="177"/>
      <c r="S29" s="177"/>
      <c r="T29" s="177"/>
      <c r="U29" s="177"/>
      <c r="V29" s="177"/>
      <c r="W29" s="177"/>
      <c r="X29" s="177"/>
      <c r="Y29" s="177"/>
      <c r="Z29" s="177"/>
    </row>
    <row r="30" ht="12.75" customHeight="1">
      <c r="A30" s="393"/>
      <c r="B30" s="393"/>
      <c r="C30" s="393"/>
      <c r="D30" s="393"/>
      <c r="E30" s="393"/>
      <c r="F30" s="393"/>
      <c r="G30" s="393"/>
      <c r="H30" s="393"/>
      <c r="I30" s="177"/>
      <c r="J30" s="177"/>
      <c r="K30" s="177"/>
      <c r="L30" s="177"/>
      <c r="M30" s="177"/>
      <c r="N30" s="177"/>
      <c r="O30" s="177"/>
      <c r="P30" s="177"/>
      <c r="Q30" s="177"/>
      <c r="R30" s="177"/>
      <c r="S30" s="177"/>
      <c r="T30" s="177"/>
      <c r="U30" s="177"/>
      <c r="V30" s="177"/>
      <c r="W30" s="177"/>
      <c r="X30" s="177"/>
      <c r="Y30" s="177"/>
      <c r="Z30" s="177"/>
    </row>
    <row r="31" ht="12.75" customHeight="1">
      <c r="A31" s="393"/>
      <c r="B31" s="393"/>
      <c r="C31" s="393"/>
      <c r="D31" s="393"/>
      <c r="E31" s="393"/>
      <c r="F31" s="393"/>
      <c r="G31" s="393"/>
      <c r="H31" s="393"/>
      <c r="I31" s="177"/>
      <c r="J31" s="177"/>
      <c r="K31" s="177"/>
      <c r="L31" s="177"/>
      <c r="M31" s="177"/>
      <c r="N31" s="177"/>
      <c r="O31" s="177"/>
      <c r="P31" s="177"/>
      <c r="Q31" s="177"/>
      <c r="R31" s="177"/>
      <c r="S31" s="177"/>
      <c r="T31" s="177"/>
      <c r="U31" s="177"/>
      <c r="V31" s="177"/>
      <c r="W31" s="177"/>
      <c r="X31" s="177"/>
      <c r="Y31" s="177"/>
      <c r="Z31" s="177"/>
    </row>
    <row r="32" ht="12.75" customHeight="1">
      <c r="A32" s="393"/>
      <c r="B32" s="393"/>
      <c r="C32" s="393"/>
      <c r="D32" s="393"/>
      <c r="E32" s="393"/>
      <c r="F32" s="393"/>
      <c r="G32" s="393"/>
      <c r="H32" s="393"/>
      <c r="I32" s="177"/>
      <c r="J32" s="177"/>
      <c r="K32" s="177"/>
      <c r="L32" s="177"/>
      <c r="M32" s="177"/>
      <c r="N32" s="177"/>
      <c r="O32" s="177"/>
      <c r="P32" s="177"/>
      <c r="Q32" s="177"/>
      <c r="R32" s="177"/>
      <c r="S32" s="177"/>
      <c r="T32" s="177"/>
      <c r="U32" s="177"/>
      <c r="V32" s="177"/>
      <c r="W32" s="177"/>
      <c r="X32" s="177"/>
      <c r="Y32" s="177"/>
      <c r="Z32" s="177"/>
    </row>
    <row r="33" ht="12.75" customHeight="1">
      <c r="A33" s="393"/>
      <c r="B33" s="393"/>
      <c r="C33" s="393"/>
      <c r="D33" s="393"/>
      <c r="E33" s="393"/>
      <c r="F33" s="393"/>
      <c r="G33" s="393"/>
      <c r="H33" s="393"/>
      <c r="I33" s="177"/>
      <c r="J33" s="177"/>
      <c r="K33" s="177"/>
      <c r="L33" s="177"/>
      <c r="M33" s="177"/>
      <c r="N33" s="177"/>
      <c r="O33" s="177"/>
      <c r="P33" s="177"/>
      <c r="Q33" s="177"/>
      <c r="R33" s="177"/>
      <c r="S33" s="177"/>
      <c r="T33" s="177"/>
      <c r="U33" s="177"/>
      <c r="V33" s="177"/>
      <c r="W33" s="177"/>
      <c r="X33" s="177"/>
      <c r="Y33" s="177"/>
      <c r="Z33" s="177"/>
    </row>
    <row r="34" ht="12.75" customHeight="1">
      <c r="A34" s="393"/>
      <c r="B34" s="393"/>
      <c r="C34" s="393"/>
      <c r="D34" s="393"/>
      <c r="E34" s="393"/>
      <c r="F34" s="393"/>
      <c r="G34" s="393"/>
      <c r="H34" s="393"/>
      <c r="I34" s="177"/>
      <c r="J34" s="177"/>
      <c r="K34" s="177"/>
      <c r="L34" s="177"/>
      <c r="M34" s="177"/>
      <c r="N34" s="177"/>
      <c r="O34" s="177"/>
      <c r="P34" s="177"/>
      <c r="Q34" s="177"/>
      <c r="R34" s="177"/>
      <c r="S34" s="177"/>
      <c r="T34" s="177"/>
      <c r="U34" s="177"/>
      <c r="V34" s="177"/>
      <c r="W34" s="177"/>
      <c r="X34" s="177"/>
      <c r="Y34" s="177"/>
      <c r="Z34" s="177"/>
    </row>
    <row r="35" ht="12.75" customHeight="1">
      <c r="A35" s="393"/>
      <c r="B35" s="393"/>
      <c r="C35" s="393"/>
      <c r="D35" s="393"/>
      <c r="E35" s="393"/>
      <c r="F35" s="393"/>
      <c r="G35" s="393"/>
      <c r="H35" s="393"/>
      <c r="I35" s="177"/>
      <c r="J35" s="177"/>
      <c r="K35" s="177"/>
      <c r="L35" s="177"/>
      <c r="M35" s="177"/>
      <c r="N35" s="177"/>
      <c r="O35" s="177"/>
      <c r="P35" s="177"/>
      <c r="Q35" s="177"/>
      <c r="R35" s="177"/>
      <c r="S35" s="177"/>
      <c r="T35" s="177"/>
      <c r="U35" s="177"/>
      <c r="V35" s="177"/>
      <c r="W35" s="177"/>
      <c r="X35" s="177"/>
      <c r="Y35" s="177"/>
      <c r="Z35" s="177"/>
    </row>
    <row r="36" ht="12.75" customHeight="1">
      <c r="A36" s="393"/>
      <c r="B36" s="393"/>
      <c r="C36" s="393"/>
      <c r="D36" s="393"/>
      <c r="E36" s="393"/>
      <c r="F36" s="393"/>
      <c r="G36" s="393"/>
      <c r="H36" s="393"/>
      <c r="I36" s="177"/>
      <c r="J36" s="177"/>
      <c r="K36" s="177"/>
      <c r="L36" s="177"/>
      <c r="M36" s="177"/>
      <c r="N36" s="177"/>
      <c r="O36" s="177"/>
      <c r="P36" s="177"/>
      <c r="Q36" s="177"/>
      <c r="R36" s="177"/>
      <c r="S36" s="177"/>
      <c r="T36" s="177"/>
      <c r="U36" s="177"/>
      <c r="V36" s="177"/>
      <c r="W36" s="177"/>
      <c r="X36" s="177"/>
      <c r="Y36" s="177"/>
      <c r="Z36" s="177"/>
    </row>
    <row r="37" ht="12.75" customHeight="1">
      <c r="A37" s="393"/>
      <c r="B37" s="393"/>
      <c r="C37" s="393"/>
      <c r="D37" s="393"/>
      <c r="E37" s="393"/>
      <c r="F37" s="393"/>
      <c r="G37" s="393"/>
      <c r="H37" s="393"/>
      <c r="I37" s="177"/>
      <c r="J37" s="177"/>
      <c r="K37" s="177"/>
      <c r="L37" s="177"/>
      <c r="M37" s="177"/>
      <c r="N37" s="177"/>
      <c r="O37" s="177"/>
      <c r="P37" s="177"/>
      <c r="Q37" s="177"/>
      <c r="R37" s="177"/>
      <c r="S37" s="177"/>
      <c r="T37" s="177"/>
      <c r="U37" s="177"/>
      <c r="V37" s="177"/>
      <c r="W37" s="177"/>
      <c r="X37" s="177"/>
      <c r="Y37" s="177"/>
      <c r="Z37" s="177"/>
    </row>
    <row r="38" ht="12.75" customHeight="1">
      <c r="A38" s="393"/>
      <c r="B38" s="393"/>
      <c r="C38" s="393"/>
      <c r="D38" s="393"/>
      <c r="E38" s="393"/>
      <c r="F38" s="393"/>
      <c r="G38" s="393"/>
      <c r="H38" s="393"/>
      <c r="I38" s="177"/>
      <c r="J38" s="177"/>
      <c r="K38" s="177"/>
      <c r="L38" s="177"/>
      <c r="M38" s="177"/>
      <c r="N38" s="177"/>
      <c r="O38" s="177"/>
      <c r="P38" s="177"/>
      <c r="Q38" s="177"/>
      <c r="R38" s="177"/>
      <c r="S38" s="177"/>
      <c r="T38" s="177"/>
      <c r="U38" s="177"/>
      <c r="V38" s="177"/>
      <c r="W38" s="177"/>
      <c r="X38" s="177"/>
      <c r="Y38" s="177"/>
      <c r="Z38" s="177"/>
    </row>
    <row r="39" ht="12.75" customHeight="1">
      <c r="A39" s="393"/>
      <c r="B39" s="393"/>
      <c r="C39" s="393"/>
      <c r="D39" s="393"/>
      <c r="E39" s="393"/>
      <c r="F39" s="393"/>
      <c r="G39" s="393"/>
      <c r="H39" s="393"/>
      <c r="I39" s="177"/>
      <c r="J39" s="177"/>
      <c r="K39" s="177"/>
      <c r="L39" s="177"/>
      <c r="M39" s="177"/>
      <c r="N39" s="177"/>
      <c r="O39" s="177"/>
      <c r="P39" s="177"/>
      <c r="Q39" s="177"/>
      <c r="R39" s="177"/>
      <c r="S39" s="177"/>
      <c r="T39" s="177"/>
      <c r="U39" s="177"/>
      <c r="V39" s="177"/>
      <c r="W39" s="177"/>
      <c r="X39" s="177"/>
      <c r="Y39" s="177"/>
      <c r="Z39" s="177"/>
    </row>
    <row r="40" ht="12.75" customHeight="1">
      <c r="A40" s="393"/>
      <c r="B40" s="393"/>
      <c r="C40" s="393"/>
      <c r="D40" s="393"/>
      <c r="E40" s="393"/>
      <c r="F40" s="393"/>
      <c r="G40" s="393"/>
      <c r="H40" s="393"/>
      <c r="I40" s="177"/>
      <c r="J40" s="177"/>
      <c r="K40" s="177"/>
      <c r="L40" s="177"/>
      <c r="M40" s="177"/>
      <c r="N40" s="177"/>
      <c r="O40" s="177"/>
      <c r="P40" s="177"/>
      <c r="Q40" s="177"/>
      <c r="R40" s="177"/>
      <c r="S40" s="177"/>
      <c r="T40" s="177"/>
      <c r="U40" s="177"/>
      <c r="V40" s="177"/>
      <c r="W40" s="177"/>
      <c r="X40" s="177"/>
      <c r="Y40" s="177"/>
      <c r="Z40" s="177"/>
    </row>
    <row r="41" ht="12.75" customHeight="1">
      <c r="A41" s="393"/>
      <c r="B41" s="393"/>
      <c r="C41" s="393"/>
      <c r="D41" s="393"/>
      <c r="E41" s="393"/>
      <c r="F41" s="393"/>
      <c r="G41" s="393"/>
      <c r="H41" s="393"/>
      <c r="I41" s="177"/>
      <c r="J41" s="177"/>
      <c r="K41" s="177"/>
      <c r="L41" s="177"/>
      <c r="M41" s="177"/>
      <c r="N41" s="177"/>
      <c r="O41" s="177"/>
      <c r="P41" s="177"/>
      <c r="Q41" s="177"/>
      <c r="R41" s="177"/>
      <c r="S41" s="177"/>
      <c r="T41" s="177"/>
      <c r="U41" s="177"/>
      <c r="V41" s="177"/>
      <c r="W41" s="177"/>
      <c r="X41" s="177"/>
      <c r="Y41" s="177"/>
      <c r="Z41" s="177"/>
    </row>
    <row r="42" ht="12.75" customHeight="1">
      <c r="A42" s="393"/>
      <c r="B42" s="393"/>
      <c r="C42" s="393"/>
      <c r="D42" s="393"/>
      <c r="E42" s="393"/>
      <c r="F42" s="393"/>
      <c r="G42" s="393"/>
      <c r="H42" s="393"/>
      <c r="I42" s="177"/>
      <c r="J42" s="177"/>
      <c r="K42" s="177"/>
      <c r="L42" s="177"/>
      <c r="M42" s="177"/>
      <c r="N42" s="177"/>
      <c r="O42" s="177"/>
      <c r="P42" s="177"/>
      <c r="Q42" s="177"/>
      <c r="R42" s="177"/>
      <c r="S42" s="177"/>
      <c r="T42" s="177"/>
      <c r="U42" s="177"/>
      <c r="V42" s="177"/>
      <c r="W42" s="177"/>
      <c r="X42" s="177"/>
      <c r="Y42" s="177"/>
      <c r="Z42" s="177"/>
    </row>
    <row r="43" ht="12.75" customHeight="1">
      <c r="A43" s="393"/>
      <c r="B43" s="393"/>
      <c r="C43" s="393"/>
      <c r="D43" s="393"/>
      <c r="E43" s="393"/>
      <c r="F43" s="393"/>
      <c r="G43" s="393"/>
      <c r="H43" s="393"/>
      <c r="I43" s="177"/>
      <c r="J43" s="177"/>
      <c r="K43" s="177"/>
      <c r="L43" s="177"/>
      <c r="M43" s="177"/>
      <c r="N43" s="177"/>
      <c r="O43" s="177"/>
      <c r="P43" s="177"/>
      <c r="Q43" s="177"/>
      <c r="R43" s="177"/>
      <c r="S43" s="177"/>
      <c r="T43" s="177"/>
      <c r="U43" s="177"/>
      <c r="V43" s="177"/>
      <c r="W43" s="177"/>
      <c r="X43" s="177"/>
      <c r="Y43" s="177"/>
      <c r="Z43" s="177"/>
    </row>
    <row r="44" ht="12.75" customHeight="1">
      <c r="A44" s="393"/>
      <c r="B44" s="393"/>
      <c r="C44" s="393"/>
      <c r="D44" s="393"/>
      <c r="E44" s="393"/>
      <c r="F44" s="393"/>
      <c r="G44" s="393"/>
      <c r="H44" s="393"/>
      <c r="I44" s="177"/>
      <c r="J44" s="177"/>
      <c r="K44" s="177"/>
      <c r="L44" s="177"/>
      <c r="M44" s="177"/>
      <c r="N44" s="177"/>
      <c r="O44" s="177"/>
      <c r="P44" s="177"/>
      <c r="Q44" s="177"/>
      <c r="R44" s="177"/>
      <c r="S44" s="177"/>
      <c r="T44" s="177"/>
      <c r="U44" s="177"/>
      <c r="V44" s="177"/>
      <c r="W44" s="177"/>
      <c r="X44" s="177"/>
      <c r="Y44" s="177"/>
      <c r="Z44" s="177"/>
    </row>
    <row r="45" ht="12.75" customHeight="1">
      <c r="A45" s="393"/>
      <c r="B45" s="393"/>
      <c r="C45" s="393"/>
      <c r="D45" s="393"/>
      <c r="E45" s="393"/>
      <c r="F45" s="393"/>
      <c r="G45" s="393"/>
      <c r="H45" s="393"/>
      <c r="I45" s="177"/>
      <c r="J45" s="177"/>
      <c r="K45" s="177"/>
      <c r="L45" s="177"/>
      <c r="M45" s="177"/>
      <c r="N45" s="177"/>
      <c r="O45" s="177"/>
      <c r="P45" s="177"/>
      <c r="Q45" s="177"/>
      <c r="R45" s="177"/>
      <c r="S45" s="177"/>
      <c r="T45" s="177"/>
      <c r="U45" s="177"/>
      <c r="V45" s="177"/>
      <c r="W45" s="177"/>
      <c r="X45" s="177"/>
      <c r="Y45" s="177"/>
      <c r="Z45" s="177"/>
    </row>
    <row r="46" ht="12.75" customHeight="1">
      <c r="A46" s="393"/>
      <c r="B46" s="393"/>
      <c r="C46" s="393"/>
      <c r="D46" s="393"/>
      <c r="E46" s="393"/>
      <c r="F46" s="393"/>
      <c r="G46" s="393"/>
      <c r="H46" s="393"/>
      <c r="I46" s="177"/>
      <c r="J46" s="177"/>
      <c r="K46" s="177"/>
      <c r="L46" s="177"/>
      <c r="M46" s="177"/>
      <c r="N46" s="177"/>
      <c r="O46" s="177"/>
      <c r="P46" s="177"/>
      <c r="Q46" s="177"/>
      <c r="R46" s="177"/>
      <c r="S46" s="177"/>
      <c r="T46" s="177"/>
      <c r="U46" s="177"/>
      <c r="V46" s="177"/>
      <c r="W46" s="177"/>
      <c r="X46" s="177"/>
      <c r="Y46" s="177"/>
      <c r="Z46" s="177"/>
    </row>
    <row r="47" ht="12.75" customHeight="1">
      <c r="A47" s="393"/>
      <c r="B47" s="393"/>
      <c r="C47" s="393"/>
      <c r="D47" s="393"/>
      <c r="E47" s="393"/>
      <c r="F47" s="393"/>
      <c r="G47" s="393"/>
      <c r="H47" s="393"/>
      <c r="I47" s="177"/>
      <c r="J47" s="177"/>
      <c r="K47" s="177"/>
      <c r="L47" s="177"/>
      <c r="M47" s="177"/>
      <c r="N47" s="177"/>
      <c r="O47" s="177"/>
      <c r="P47" s="177"/>
      <c r="Q47" s="177"/>
      <c r="R47" s="177"/>
      <c r="S47" s="177"/>
      <c r="T47" s="177"/>
      <c r="U47" s="177"/>
      <c r="V47" s="177"/>
      <c r="W47" s="177"/>
      <c r="X47" s="177"/>
      <c r="Y47" s="177"/>
      <c r="Z47" s="177"/>
    </row>
    <row r="48" ht="12.75" customHeight="1">
      <c r="A48" s="6"/>
      <c r="B48" s="7"/>
      <c r="C48" s="7"/>
      <c r="D48" s="7"/>
      <c r="E48" s="7"/>
      <c r="F48" s="7"/>
      <c r="G48" s="7"/>
      <c r="H48" s="182"/>
      <c r="I48" s="177"/>
      <c r="J48" s="177"/>
      <c r="K48" s="177"/>
      <c r="L48" s="177"/>
      <c r="M48" s="177"/>
      <c r="N48" s="177"/>
      <c r="O48" s="177"/>
      <c r="P48" s="177"/>
      <c r="Q48" s="177"/>
      <c r="R48" s="177"/>
      <c r="S48" s="177"/>
      <c r="T48" s="177"/>
      <c r="U48" s="177"/>
      <c r="V48" s="177"/>
      <c r="W48" s="177"/>
      <c r="X48" s="177"/>
      <c r="Y48" s="177"/>
      <c r="Z48" s="177"/>
    </row>
    <row r="49" ht="12.75" customHeight="1">
      <c r="A49" s="15"/>
      <c r="B49" s="16"/>
      <c r="C49" s="16"/>
      <c r="D49" s="16"/>
      <c r="E49" s="16"/>
      <c r="F49" s="16"/>
      <c r="G49" s="16"/>
      <c r="H49" s="61"/>
      <c r="I49" s="177"/>
      <c r="J49" s="177"/>
      <c r="K49" s="177"/>
      <c r="L49" s="177"/>
      <c r="M49" s="177"/>
      <c r="N49" s="177"/>
      <c r="O49" s="177"/>
      <c r="P49" s="177"/>
      <c r="Q49" s="177"/>
      <c r="R49" s="177"/>
      <c r="S49" s="177"/>
      <c r="T49" s="177"/>
      <c r="U49" s="177"/>
      <c r="V49" s="177"/>
      <c r="W49" s="177"/>
      <c r="X49" s="177"/>
      <c r="Y49" s="177"/>
      <c r="Z49" s="177"/>
    </row>
    <row r="50" ht="12.75" customHeight="1">
      <c r="A50" s="300"/>
      <c r="B50" s="175"/>
      <c r="C50" s="175"/>
      <c r="D50" s="175"/>
      <c r="E50" s="175"/>
      <c r="F50" s="175"/>
      <c r="G50" s="175"/>
      <c r="H50" s="176"/>
      <c r="I50" s="177"/>
      <c r="J50" s="177"/>
      <c r="K50" s="177"/>
      <c r="L50" s="177"/>
      <c r="M50" s="177"/>
      <c r="N50" s="177"/>
      <c r="O50" s="177"/>
      <c r="P50" s="177"/>
      <c r="Q50" s="177"/>
      <c r="R50" s="177"/>
      <c r="S50" s="177"/>
      <c r="T50" s="177"/>
      <c r="U50" s="177"/>
      <c r="V50" s="177"/>
      <c r="W50" s="177"/>
      <c r="X50" s="177"/>
      <c r="Y50" s="177"/>
      <c r="Z50" s="177"/>
    </row>
    <row r="51" ht="12.75" customHeight="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ht="12.75" customHeight="1">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ht="12.75" customHeight="1">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ht="12.75" customHeight="1">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ht="12.75" customHeight="1">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ht="12.75" customHeight="1">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ht="12.75" customHeight="1">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ht="12.75" customHeight="1">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ht="12.75"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ht="12.75"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ht="12.75" customHeight="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ht="12.75" customHeight="1">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ht="12.75" customHeight="1">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ht="12.75" customHeight="1">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ht="12.75" customHeight="1">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ht="12.7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ht="12.7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ht="12.7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ht="12.7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ht="12.7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ht="12.7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ht="12.7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ht="12.7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ht="12.7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ht="12.7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ht="12.7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ht="12.7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ht="12.7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ht="12.7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ht="12.7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ht="12.7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ht="12.7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ht="12.7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ht="12.7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ht="12.7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ht="12.7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ht="12.7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ht="12.7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ht="12.7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ht="12.7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ht="12.7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ht="12.7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ht="12.7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ht="12.7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ht="12.7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ht="12.7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ht="12.7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ht="12.7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ht="12.7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ht="12.7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ht="12.7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ht="12.7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ht="12.7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ht="12.7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ht="12.7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ht="12.7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ht="12.7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ht="12.7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ht="12.7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ht="12.7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ht="12.7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ht="12.7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ht="12.7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ht="12.7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ht="12.7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ht="12.7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ht="12.7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ht="12.7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ht="12.7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ht="12.7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ht="12.7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ht="12.7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ht="12.7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ht="12.7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ht="12.7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ht="12.7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ht="12.7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ht="12.7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ht="12.7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ht="12.7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ht="12.7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ht="12.7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ht="12.7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ht="12.7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ht="12.7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ht="12.7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ht="12.7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ht="12.7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ht="12.7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ht="12.7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ht="12.7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ht="12.7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ht="12.7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ht="12.7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ht="12.7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ht="12.7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ht="12.7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ht="12.7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ht="12.7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ht="12.7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ht="12.7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ht="12.7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ht="12.7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ht="12.7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ht="12.7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ht="12.7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ht="12.7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ht="12.7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ht="12.7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ht="12.7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ht="12.7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ht="12.7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ht="12.7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ht="12.7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ht="12.7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ht="12.7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ht="12.7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ht="12.7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ht="12.7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ht="12.7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ht="12.7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ht="12.7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ht="12.7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ht="12.7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ht="12.7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ht="12.7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ht="12.7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ht="12.7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ht="12.7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ht="12.7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ht="12.7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ht="12.7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ht="12.7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ht="12.7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ht="12.7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ht="12.7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ht="12.7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ht="12.7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ht="12.7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ht="12.7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ht="12.7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ht="12.7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ht="12.7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ht="12.7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ht="12.7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ht="12.7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ht="12.7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ht="12.7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ht="12.7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ht="12.7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ht="12.7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ht="12.7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ht="12.7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ht="12.7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ht="12.7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ht="12.7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ht="12.7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ht="12.7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ht="12.7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ht="12.7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ht="12.7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ht="12.7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ht="12.7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ht="12.7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ht="12.7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ht="12.7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ht="12.7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ht="12.7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ht="12.7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ht="12.7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ht="12.7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ht="12.7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ht="12.7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ht="12.7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ht="12.7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ht="12.7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ht="12.7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ht="12.7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ht="12.7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ht="12.7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ht="12.7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ht="12.7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ht="12.7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ht="12.7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ht="12.7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ht="12.7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ht="12.7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ht="12.7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ht="12.7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ht="12.7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ht="12.7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ht="12.7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ht="12.7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ht="12.7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ht="12.7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ht="12.7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ht="12.7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ht="12.7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ht="12.7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ht="12.7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ht="12.7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ht="12.7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ht="12.7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ht="12.7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ht="12.7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ht="12.7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ht="12.7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ht="12.7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ht="12.7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ht="12.7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ht="12.7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ht="12.7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ht="12.7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ht="12.7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ht="12.75" customHeight="1">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ht="12.75" customHeight="1">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ht="12.75" customHeight="1">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ht="12.75" customHeight="1">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ht="12.75" customHeight="1">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ht="12.75" customHeight="1">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ht="12.75" customHeight="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ht="12.75" customHeight="1">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ht="12.75" customHeight="1">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ht="12.75" customHeight="1">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ht="12.75" customHeight="1">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ht="12.75" customHeight="1">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ht="12.75" customHeight="1">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ht="12.75" customHeight="1">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ht="12.75" customHeight="1">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ht="12.75" customHeight="1">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ht="12.75" customHeight="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ht="12.75" customHeight="1">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ht="12.75" customHeight="1">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ht="12.75" customHeight="1">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ht="12.75" customHeight="1">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ht="12.75" customHeight="1">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ht="12.75" customHeight="1">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ht="12.75" customHeight="1">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ht="12.75" customHeight="1">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ht="12.75" customHeight="1">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ht="12.75" customHeight="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ht="12.75" customHeight="1">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ht="12.75" customHeight="1">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ht="12.75" customHeight="1">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ht="12.75" customHeight="1">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ht="12.75" customHeight="1">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ht="12.75" customHeight="1">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ht="12.75" customHeight="1">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ht="12.75" customHeight="1">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ht="12.75" customHeight="1">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ht="12.75" customHeight="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ht="12.75" customHeight="1">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ht="12.75" customHeight="1">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ht="12.75" customHeight="1">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ht="12.75" customHeight="1">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ht="12.75" customHeight="1">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ht="12.75" customHeight="1">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ht="12.75" customHeight="1">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ht="12.75" customHeight="1">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ht="12.75" customHeight="1">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ht="12.75" customHeight="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ht="12.75" customHeight="1">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ht="12.75" customHeight="1">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ht="12.75" customHeight="1">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ht="12.75" customHeight="1">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ht="12.75" customHeight="1">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ht="12.75" customHeight="1">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ht="12.75" customHeight="1">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ht="12.75" customHeight="1">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ht="12.75" customHeight="1">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ht="12.75" customHeight="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ht="12.75" customHeight="1">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ht="12.75" customHeight="1">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ht="12.75" customHeight="1">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ht="12.75" customHeight="1">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ht="12.75" customHeight="1">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ht="12.75" customHeight="1">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ht="12.75" customHeight="1">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ht="12.75" customHeight="1">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ht="12.75" customHeight="1">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ht="12.75" customHeight="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ht="12.75" customHeight="1">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ht="12.75" customHeight="1">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ht="12.75" customHeight="1">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ht="12.75" customHeight="1">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ht="12.75" customHeight="1">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ht="12.75" customHeight="1">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ht="12.75" customHeight="1">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ht="12.75" customHeight="1">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ht="12.75" customHeight="1">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ht="12.75" customHeight="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ht="12.75" customHeight="1">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ht="12.75" customHeight="1">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ht="12.75" customHeight="1">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ht="12.75" customHeight="1">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ht="12.75" customHeight="1">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ht="12.75" customHeight="1">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ht="12.75" customHeight="1">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ht="12.75" customHeight="1">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ht="12.75" customHeight="1">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ht="12.75" customHeight="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ht="12.75" customHeight="1">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ht="12.75" customHeight="1">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ht="12.75" customHeight="1">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ht="12.75" customHeight="1">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ht="12.75" customHeight="1">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ht="12.75" customHeight="1">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ht="12.75" customHeight="1">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ht="12.75" customHeight="1">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ht="12.75" customHeight="1">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ht="12.75" customHeight="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ht="12.75" customHeight="1">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ht="12.75" customHeight="1">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ht="12.75" customHeight="1">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ht="12.75" customHeight="1">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ht="12.75" customHeight="1">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ht="12.75" customHeight="1">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ht="12.75" customHeight="1">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ht="12.75" customHeight="1">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ht="12.75" customHeight="1">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ht="12.75" customHeight="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ht="12.75" customHeight="1">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ht="12.75" customHeight="1">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ht="12.75" customHeight="1">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ht="12.75" customHeight="1">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ht="12.75" customHeight="1">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ht="12.75" customHeight="1">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ht="12.75" customHeight="1">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ht="12.75" customHeight="1">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ht="12.75" customHeight="1">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ht="12.75" customHeight="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ht="12.75" customHeight="1">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ht="12.75" customHeight="1">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ht="12.75" customHeight="1">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ht="12.75" customHeight="1">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ht="12.75" customHeight="1">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ht="12.75" customHeight="1">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ht="12.75" customHeight="1">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ht="12.75" customHeight="1">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ht="12.7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2.7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2.7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2.7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2.7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2.7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2.7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2.7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2.7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2.7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2.7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2.7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2.7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2.7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2.7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2.7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2.7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2.7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2.7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2.7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2.7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2.7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2.7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2.7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2.7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2.7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2.7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2.7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2.7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2.7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2.7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2.7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2.7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2.7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2.7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2.7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2.7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2.7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2.7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2.7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2.7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2.7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2.7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2.7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2.7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2.7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2.7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2.7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2.7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2.7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2.7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2.7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2.7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2.7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2.7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2.7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2.7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2.7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2.7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2.7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2.7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2.7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2.7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2.7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2.7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2.7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2.7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2.7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2.7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2.7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2.7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2.7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2.7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2.7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2.7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2.7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2.7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2.7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2.7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2.7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2.7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2.7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2.7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2.7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2.7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2.7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2.7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2.7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2.7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2.7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2.7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2.7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2.7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2.7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2.7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2.7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2.7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2.7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2.7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2.7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2.7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2.7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2.7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2.7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2.7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2.7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2.7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2.7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2.7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2.7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2.7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2.7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2.7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2.7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2.7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2.7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2.7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2.7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2.7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2.7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2.7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2.7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2.7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2.7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2.7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2.7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2.7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2.7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2.7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2.7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2.7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2.7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2.7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2.7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2.7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2.7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2.7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2.7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2.7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2.7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2.7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2.7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2.7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2.7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2.7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2.7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2.7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2.7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2.7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2.7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2.7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2.7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2.7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2.7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2.7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2.7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2.7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2.7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2.7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2.7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2.7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2.7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2.7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2.7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2.7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2.7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2.7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2.7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2.7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2.7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2.7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2.7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2.7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2.7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2.7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2.7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2.7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2.7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2.7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2.7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2.7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2.7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2.7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2.7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2.7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2.7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2.7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2.7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2.7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2.7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2.7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2.7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2.7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2.7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2.7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2.7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2.7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2.7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2.7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2.7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2.7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2.7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2.7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2.7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2.7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2.7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2.7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2.7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2.7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2.7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2.7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2.7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2.7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2.7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2.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2.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2.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2.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2.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2.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2.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2.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2.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2.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2.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2.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2.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2.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2.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2.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2.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2.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2.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2.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2.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2.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2.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2.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2.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2.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2.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2.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2.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2.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2.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2.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2.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2.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2.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2.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2.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2.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2.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2.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2.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2.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2.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2.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2.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2.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2.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2.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2.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2.7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2.7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2.7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2.7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2.7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2.7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2.7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2.7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2.7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2.7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2.7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2.7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2.7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2.7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2.7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2.7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2.7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2.7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2.7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2.7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2.7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2.7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2.7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2.7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2.7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2.7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2.7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2.7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2.7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2.7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2.7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2.7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2.7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2.7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2.7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2.7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2.7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2.7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2.7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2.7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2.7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2.7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2.7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2.7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2.7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2.7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2.7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2.7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2.7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2.7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2.7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2.7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2.7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2.7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2.7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2.7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2.7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2.7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2.7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2.7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2.7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2.7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2.7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2.7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2.7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2.7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2.7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2.7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2.7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2.7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2.7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2.7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2.7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2.7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2.7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2.7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2.7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2.7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2.7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2.7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2.7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2.7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2.7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2.7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2.7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2.7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2.7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2.7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2.7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2.7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2.7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2.7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2.7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2.7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2.7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2.7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2.7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2.7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2.7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2.7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2.7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2.7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2.7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2.7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2.7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2.7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2.7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2.7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2.7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2.7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2.7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2.7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2.7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2.7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2.7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2.7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2.7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2.7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2.7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2.7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2.7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2.7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2.7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2.7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2.7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2.7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2.7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2.7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2.7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2.7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2.7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2.7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2.7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2.7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2.7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2.7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2.7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2.7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2.7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2.7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2.7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2.7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2.7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2.7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2.7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2.7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2.7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2.7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2.7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2.7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2.7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2.7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2.7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2.7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2.7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2.7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2.7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2.7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2.7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2.7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2.7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2.7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2.7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2.7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2.7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2.7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2.7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2.7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2.7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2.7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2.7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2.7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2.7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2.7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2.7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2.7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2.7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2.7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2.7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2.7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2.7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2.7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2.7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2.7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2.7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2.7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2.7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2.7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2.7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2.7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2.7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2.7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2.7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2.7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2.7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2.7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2.7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2.7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2.7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2.7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2.7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2.7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2.7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2.7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2.7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2.7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2.7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2.7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2.7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2.7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2.7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2.7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2.7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2.7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2.7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2.7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2.7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2.7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2.7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2.7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2.7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2.7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2.7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2.7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2.7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2.7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2.7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2.7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2.7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2.7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2.7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2.7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2.7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2.7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2.7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2.7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2.7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2.7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2.7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2.7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2.7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2.7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2.7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2.7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2.7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2.7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2.7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2.7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2.7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2.7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2.7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2.7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2.7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2.7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2.7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2.7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2.7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2.7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2.7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2.7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2.7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2.7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2.7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2.7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2.7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2.7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2.7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2.7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2.7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2.7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2.7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2.7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2.7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2.7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2.7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2.7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2.7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2.7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2.7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2.7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2.7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2.7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2.7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2.7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2.7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2.7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2.7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2.7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2.7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2.7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2.7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2.7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2.7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2.7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2.7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2.7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2.7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2.7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2.7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2.7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2.7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2.7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2.7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2.7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2.7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2.7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2.7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2.7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2.7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2.7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2.7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2.7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2.7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2.7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2.7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2.7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2.7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2.7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2.7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2.7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2.7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2.7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2.7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2.7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2.7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2.7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2.7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2.7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2.7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2.7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2.7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2.7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2.7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2.7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2.7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2.7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2.7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2.7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2.7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2.7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2.7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2.7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2.7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2.7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2.7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2.7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2.7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2.7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printOptions/>
  <pageMargins bottom="0.984252" footer="0.0" header="0.0" left="0.748031" right="0.748031" top="0.984252"/>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397" t="s">
        <v>161</v>
      </c>
      <c r="B1" s="325"/>
      <c r="C1" s="325"/>
      <c r="D1" s="325"/>
      <c r="E1" s="325"/>
      <c r="F1" s="325"/>
      <c r="G1" s="325"/>
      <c r="H1" s="325"/>
      <c r="I1" s="325"/>
      <c r="J1" s="325"/>
      <c r="K1" s="325"/>
      <c r="L1" s="325"/>
      <c r="M1" s="325"/>
      <c r="N1" s="325"/>
      <c r="O1" s="326"/>
      <c r="P1" s="398"/>
      <c r="Q1" s="399"/>
      <c r="R1" s="399"/>
      <c r="S1" s="399"/>
      <c r="T1" s="399"/>
      <c r="U1" s="399"/>
      <c r="V1" s="399"/>
      <c r="W1" s="399"/>
      <c r="X1" s="399"/>
      <c r="Y1" s="399"/>
      <c r="Z1" s="399"/>
      <c r="AA1" s="399"/>
      <c r="AB1" s="399"/>
      <c r="AC1" s="399"/>
      <c r="AD1" s="399"/>
      <c r="AE1" s="399"/>
      <c r="AF1" s="399"/>
      <c r="AG1" s="399"/>
    </row>
    <row r="2" ht="7.5" customHeight="1">
      <c r="A2" s="400"/>
      <c r="B2" s="401"/>
      <c r="C2" s="402"/>
      <c r="D2" s="402"/>
      <c r="E2" s="402"/>
      <c r="F2" s="402"/>
      <c r="G2" s="402"/>
      <c r="H2" s="402"/>
      <c r="I2" s="402"/>
      <c r="J2" s="402"/>
      <c r="K2" s="402"/>
      <c r="L2" s="402"/>
      <c r="M2" s="402"/>
      <c r="N2" s="403"/>
      <c r="O2" s="404"/>
      <c r="P2" s="399"/>
      <c r="Q2" s="399"/>
      <c r="R2" s="399"/>
      <c r="S2" s="399"/>
      <c r="T2" s="399"/>
      <c r="U2" s="399"/>
      <c r="V2" s="399"/>
      <c r="W2" s="399"/>
      <c r="X2" s="399"/>
      <c r="Y2" s="399"/>
      <c r="Z2" s="399"/>
      <c r="AA2" s="399"/>
      <c r="AB2" s="399"/>
      <c r="AC2" s="399"/>
      <c r="AD2" s="399"/>
      <c r="AE2" s="399"/>
      <c r="AF2" s="399"/>
      <c r="AG2" s="399"/>
    </row>
    <row r="3" ht="7.5" customHeight="1">
      <c r="A3" s="405"/>
      <c r="B3" s="406"/>
      <c r="C3" s="406"/>
      <c r="D3" s="406"/>
      <c r="E3" s="406"/>
      <c r="F3" s="406"/>
      <c r="G3" s="406"/>
      <c r="H3" s="406"/>
      <c r="I3" s="406"/>
      <c r="J3" s="406"/>
      <c r="K3" s="406"/>
      <c r="L3" s="406"/>
      <c r="M3" s="406"/>
      <c r="N3" s="406"/>
      <c r="O3" s="406"/>
      <c r="P3" s="407"/>
      <c r="Q3" s="399"/>
      <c r="R3" s="399"/>
      <c r="S3" s="399"/>
      <c r="T3" s="399"/>
      <c r="U3" s="399"/>
      <c r="V3" s="399"/>
      <c r="W3" s="399"/>
      <c r="X3" s="399"/>
      <c r="Y3" s="399"/>
      <c r="Z3" s="399"/>
      <c r="AA3" s="399"/>
      <c r="AB3" s="399"/>
      <c r="AC3" s="399"/>
      <c r="AD3" s="399"/>
      <c r="AE3" s="399"/>
      <c r="AF3" s="399"/>
      <c r="AG3" s="399"/>
    </row>
    <row r="4" ht="34.5" customHeight="1">
      <c r="A4" s="408" t="s">
        <v>162</v>
      </c>
      <c r="B4" s="409"/>
      <c r="C4" s="409"/>
      <c r="D4" s="409"/>
      <c r="E4" s="409"/>
      <c r="F4" s="409"/>
      <c r="G4" s="409"/>
      <c r="H4" s="410"/>
      <c r="I4" s="411" t="str">
        <f t="array" ref="I4">Certificado!I3</f>
        <v>E-MK-0153/26</v>
      </c>
      <c r="J4" s="409"/>
      <c r="K4" s="409"/>
      <c r="L4" s="409"/>
      <c r="M4" s="409"/>
      <c r="N4" s="409"/>
      <c r="O4" s="412"/>
      <c r="P4" s="413"/>
      <c r="Q4" s="414"/>
      <c r="R4" s="414"/>
      <c r="S4" s="414"/>
      <c r="T4" s="414"/>
      <c r="U4" s="415"/>
      <c r="V4" s="415"/>
      <c r="W4" s="415"/>
      <c r="X4" s="415"/>
      <c r="Y4" s="415"/>
      <c r="Z4" s="415"/>
      <c r="AA4" s="414"/>
      <c r="AB4" s="414"/>
      <c r="AC4" s="414"/>
      <c r="AD4" s="414"/>
      <c r="AE4" s="414"/>
      <c r="AF4" s="414"/>
      <c r="AG4" s="415"/>
    </row>
    <row r="5" ht="30.75" customHeight="1">
      <c r="A5" s="416" t="s">
        <v>163</v>
      </c>
      <c r="B5" s="417"/>
      <c r="C5" s="417"/>
      <c r="D5" s="417"/>
      <c r="E5" s="417"/>
      <c r="F5" s="417"/>
      <c r="G5" s="417"/>
      <c r="H5" s="417"/>
      <c r="I5" s="418"/>
      <c r="J5" s="419">
        <f t="array" ref="J5">Certificado!J5</f>
        <v>46037</v>
      </c>
      <c r="K5" s="417"/>
      <c r="L5" s="417"/>
      <c r="M5" s="417"/>
      <c r="N5" s="417"/>
      <c r="O5" s="420"/>
      <c r="P5" s="421"/>
      <c r="Q5" s="422"/>
      <c r="R5" s="422"/>
      <c r="S5" s="422"/>
      <c r="T5" s="422"/>
      <c r="U5" s="423"/>
      <c r="V5" s="423"/>
      <c r="W5" s="423"/>
      <c r="X5" s="423"/>
      <c r="Y5" s="423"/>
      <c r="Z5" s="423"/>
      <c r="AA5" s="423"/>
      <c r="AB5" s="423"/>
      <c r="AC5" s="422"/>
      <c r="AD5" s="422"/>
      <c r="AE5" s="422"/>
      <c r="AF5" s="422"/>
      <c r="AG5" s="423"/>
    </row>
    <row r="6" ht="32.25" customHeight="1">
      <c r="A6" s="416" t="s">
        <v>164</v>
      </c>
      <c r="B6" s="417"/>
      <c r="C6" s="417"/>
      <c r="D6" s="417"/>
      <c r="E6" s="417"/>
      <c r="F6" s="417"/>
      <c r="G6" s="417"/>
      <c r="H6" s="417"/>
      <c r="I6" s="418"/>
      <c r="J6" s="424">
        <f t="array" ref="J6">Certificado!J7</f>
        <v>46402</v>
      </c>
      <c r="K6" s="417"/>
      <c r="L6" s="417"/>
      <c r="M6" s="417"/>
      <c r="N6" s="417"/>
      <c r="O6" s="420"/>
      <c r="P6" s="421"/>
      <c r="Q6" s="422"/>
      <c r="R6" s="422"/>
      <c r="S6" s="422"/>
      <c r="T6" s="422"/>
      <c r="U6" s="423"/>
      <c r="V6" s="423"/>
      <c r="W6" s="423"/>
      <c r="X6" s="423"/>
      <c r="Y6" s="423"/>
      <c r="Z6" s="423"/>
      <c r="AA6" s="423"/>
      <c r="AB6" s="423"/>
      <c r="AC6" s="422"/>
      <c r="AD6" s="422"/>
      <c r="AE6" s="422"/>
      <c r="AF6" s="422"/>
      <c r="AG6" s="423"/>
    </row>
    <row r="7" ht="27.75" customHeight="1">
      <c r="A7" s="425" t="s">
        <v>165</v>
      </c>
      <c r="B7" s="426"/>
      <c r="C7" s="427"/>
      <c r="D7" s="428" t="str">
        <f t="array" ref="D7">Certificado!D21</f>
        <v>EVO-559</v>
      </c>
      <c r="E7" s="426"/>
      <c r="F7" s="426"/>
      <c r="G7" s="426"/>
      <c r="H7" s="426"/>
      <c r="I7" s="426"/>
      <c r="J7" s="426"/>
      <c r="K7" s="426"/>
      <c r="L7" s="426"/>
      <c r="M7" s="426"/>
      <c r="N7" s="426"/>
      <c r="O7" s="429"/>
      <c r="P7" s="430"/>
      <c r="Q7" s="431"/>
      <c r="R7" s="431"/>
      <c r="S7" s="431"/>
      <c r="T7" s="431"/>
      <c r="U7" s="432"/>
      <c r="V7" s="432"/>
      <c r="W7" s="431"/>
      <c r="X7" s="431"/>
      <c r="Y7" s="431"/>
      <c r="Z7" s="431"/>
      <c r="AA7" s="431"/>
      <c r="AB7" s="431"/>
      <c r="AC7" s="431"/>
      <c r="AD7" s="431"/>
      <c r="AE7" s="431"/>
      <c r="AF7" s="431"/>
      <c r="AG7" s="432"/>
    </row>
    <row r="8" ht="34.5" customHeight="1">
      <c r="A8" s="433"/>
      <c r="B8" s="434" t="s">
        <v>166</v>
      </c>
      <c r="C8" s="435"/>
      <c r="D8" s="435"/>
      <c r="E8" s="435"/>
      <c r="F8" s="435"/>
      <c r="G8" s="435"/>
      <c r="H8" s="435"/>
      <c r="I8" s="435"/>
      <c r="J8" s="435"/>
      <c r="K8" s="435"/>
      <c r="L8" s="436"/>
      <c r="M8" s="437" t="s">
        <v>167</v>
      </c>
      <c r="N8" s="435"/>
      <c r="O8" s="435"/>
      <c r="P8" s="435"/>
      <c r="Q8" s="435"/>
      <c r="R8" s="435"/>
      <c r="S8" s="435"/>
      <c r="T8" s="435"/>
      <c r="U8" s="435"/>
      <c r="V8" s="435"/>
      <c r="W8" s="435"/>
      <c r="X8" s="435"/>
      <c r="Y8" s="435"/>
      <c r="Z8" s="435"/>
      <c r="AA8" s="435"/>
      <c r="AB8" s="435"/>
      <c r="AC8" s="435"/>
      <c r="AD8" s="435"/>
      <c r="AE8" s="435"/>
      <c r="AF8" s="435"/>
      <c r="AG8" s="436"/>
    </row>
    <row r="9" ht="30.75" customHeight="1">
      <c r="A9" s="438"/>
      <c r="B9" s="248"/>
      <c r="C9" s="308"/>
      <c r="D9" s="308"/>
      <c r="E9" s="308"/>
      <c r="F9" s="308"/>
      <c r="G9" s="308"/>
      <c r="H9" s="308"/>
      <c r="I9" s="308"/>
      <c r="J9" s="308"/>
      <c r="K9" s="308"/>
      <c r="L9" s="439"/>
      <c r="M9" s="440"/>
      <c r="N9" s="441"/>
      <c r="O9" s="441"/>
      <c r="P9" s="441"/>
      <c r="Q9" s="441"/>
      <c r="R9" s="441"/>
      <c r="S9" s="441"/>
      <c r="T9" s="441"/>
      <c r="U9" s="441"/>
      <c r="V9" s="441"/>
      <c r="W9" s="441"/>
      <c r="X9" s="441"/>
      <c r="Y9" s="441"/>
      <c r="Z9" s="441"/>
      <c r="AA9" s="441"/>
      <c r="AB9" s="441"/>
      <c r="AC9" s="441"/>
      <c r="AD9" s="441"/>
      <c r="AE9" s="441"/>
      <c r="AF9" s="441"/>
      <c r="AG9" s="442"/>
    </row>
    <row r="10" ht="13.5" hidden="1" customHeight="1">
      <c r="A10" s="443"/>
      <c r="B10" s="443"/>
      <c r="C10" s="443"/>
      <c r="D10" s="443"/>
      <c r="E10" s="443"/>
      <c r="F10" s="443"/>
      <c r="G10" s="443"/>
      <c r="H10" s="443"/>
      <c r="I10" s="443"/>
      <c r="J10" s="443"/>
      <c r="K10" s="443"/>
      <c r="L10" s="443"/>
      <c r="M10" s="444"/>
      <c r="N10" s="444"/>
      <c r="O10" s="444"/>
      <c r="P10" s="444"/>
      <c r="Q10" s="444"/>
      <c r="R10" s="444"/>
      <c r="S10" s="444"/>
      <c r="T10" s="444"/>
      <c r="U10" s="444"/>
      <c r="V10" s="444"/>
      <c r="W10" s="444"/>
      <c r="X10" s="444"/>
      <c r="Y10" s="444"/>
      <c r="Z10" s="444"/>
      <c r="AA10" s="444"/>
      <c r="AB10" s="444"/>
      <c r="AC10" s="444"/>
      <c r="AD10" s="444"/>
      <c r="AE10" s="444"/>
      <c r="AF10" s="444"/>
      <c r="AG10" s="444"/>
    </row>
    <row r="11" ht="13.5" hidden="1" customHeight="1">
      <c r="A11" s="443"/>
      <c r="B11" s="443"/>
      <c r="C11" s="443"/>
      <c r="D11" s="443"/>
      <c r="E11" s="443"/>
      <c r="F11" s="443"/>
      <c r="G11" s="443"/>
      <c r="H11" s="443"/>
      <c r="I11" s="443"/>
      <c r="J11" s="443"/>
      <c r="K11" s="443"/>
      <c r="L11" s="443"/>
      <c r="M11" s="444"/>
      <c r="N11" s="444"/>
      <c r="O11" s="444"/>
      <c r="P11" s="444"/>
      <c r="Q11" s="444"/>
      <c r="R11" s="444"/>
      <c r="S11" s="444"/>
      <c r="T11" s="444"/>
      <c r="U11" s="444"/>
      <c r="V11" s="444"/>
      <c r="W11" s="444"/>
      <c r="X11" s="444"/>
      <c r="Y11" s="444"/>
      <c r="Z11" s="444"/>
      <c r="AA11" s="444"/>
      <c r="AB11" s="444"/>
      <c r="AC11" s="444"/>
      <c r="AD11" s="444"/>
      <c r="AE11" s="444"/>
      <c r="AF11" s="444"/>
      <c r="AG11" s="444"/>
    </row>
    <row r="12" ht="13.5" hidden="1" customHeight="1">
      <c r="A12" s="443"/>
      <c r="B12" s="443"/>
      <c r="C12" s="443"/>
      <c r="D12" s="443"/>
      <c r="E12" s="443"/>
      <c r="F12" s="443"/>
      <c r="G12" s="443"/>
      <c r="H12" s="443"/>
      <c r="I12" s="443"/>
      <c r="J12" s="443"/>
      <c r="K12" s="443"/>
      <c r="L12" s="443"/>
      <c r="M12" s="444"/>
      <c r="N12" s="444"/>
      <c r="O12" s="444"/>
      <c r="P12" s="444"/>
      <c r="Q12" s="444"/>
      <c r="R12" s="444"/>
      <c r="S12" s="444"/>
      <c r="T12" s="444"/>
      <c r="U12" s="444"/>
      <c r="V12" s="444"/>
      <c r="W12" s="444"/>
      <c r="X12" s="444"/>
      <c r="Y12" s="444"/>
      <c r="Z12" s="444"/>
      <c r="AA12" s="444"/>
      <c r="AB12" s="444"/>
      <c r="AC12" s="444"/>
      <c r="AD12" s="444"/>
      <c r="AE12" s="444"/>
      <c r="AF12" s="444"/>
      <c r="AG12" s="444"/>
    </row>
    <row r="13" ht="13.5" hidden="1" customHeight="1">
      <c r="A13" s="443"/>
      <c r="B13" s="443"/>
      <c r="C13" s="443"/>
      <c r="D13" s="443"/>
      <c r="E13" s="443"/>
      <c r="F13" s="443"/>
      <c r="G13" s="443"/>
      <c r="H13" s="443"/>
      <c r="I13" s="443"/>
      <c r="J13" s="443"/>
      <c r="K13" s="443"/>
      <c r="L13" s="443"/>
      <c r="M13" s="444"/>
      <c r="N13" s="444"/>
      <c r="O13" s="444"/>
      <c r="P13" s="444"/>
      <c r="Q13" s="444"/>
      <c r="R13" s="444"/>
      <c r="S13" s="444"/>
      <c r="T13" s="444"/>
      <c r="U13" s="444"/>
      <c r="V13" s="444"/>
      <c r="W13" s="444"/>
      <c r="X13" s="444"/>
      <c r="Y13" s="444"/>
      <c r="Z13" s="444"/>
      <c r="AA13" s="444"/>
      <c r="AB13" s="444"/>
      <c r="AC13" s="444"/>
      <c r="AD13" s="444"/>
      <c r="AE13" s="444"/>
      <c r="AF13" s="444"/>
      <c r="AG13" s="444"/>
    </row>
    <row r="14" ht="13.5" hidden="1" customHeight="1">
      <c r="A14" s="443"/>
      <c r="B14" s="443"/>
      <c r="C14" s="443"/>
      <c r="D14" s="443"/>
      <c r="E14" s="443"/>
      <c r="F14" s="443"/>
      <c r="G14" s="443"/>
      <c r="H14" s="443"/>
      <c r="I14" s="443"/>
      <c r="J14" s="443"/>
      <c r="K14" s="443"/>
      <c r="L14" s="443"/>
      <c r="M14" s="444"/>
      <c r="N14" s="444"/>
      <c r="O14" s="444"/>
      <c r="P14" s="444"/>
      <c r="Q14" s="444"/>
      <c r="R14" s="444"/>
      <c r="S14" s="444"/>
      <c r="T14" s="444"/>
      <c r="U14" s="444"/>
      <c r="V14" s="444"/>
      <c r="W14" s="444"/>
      <c r="X14" s="444"/>
      <c r="Y14" s="444"/>
      <c r="Z14" s="444"/>
      <c r="AA14" s="444"/>
      <c r="AB14" s="444"/>
      <c r="AC14" s="444"/>
      <c r="AD14" s="444"/>
      <c r="AE14" s="444"/>
      <c r="AF14" s="444"/>
      <c r="AG14" s="444"/>
    </row>
    <row r="15" ht="13.5" hidden="1" customHeight="1">
      <c r="A15" s="443"/>
      <c r="B15" s="443"/>
      <c r="C15" s="443"/>
      <c r="D15" s="443"/>
      <c r="E15" s="443"/>
      <c r="F15" s="443"/>
      <c r="G15" s="443"/>
      <c r="H15" s="443"/>
      <c r="I15" s="443"/>
      <c r="J15" s="443"/>
      <c r="K15" s="443"/>
      <c r="L15" s="443"/>
      <c r="M15" s="444"/>
      <c r="N15" s="444"/>
      <c r="O15" s="444"/>
      <c r="P15" s="444"/>
      <c r="Q15" s="444"/>
      <c r="R15" s="444"/>
      <c r="S15" s="444"/>
      <c r="T15" s="444"/>
      <c r="U15" s="444"/>
      <c r="V15" s="444"/>
      <c r="W15" s="444"/>
      <c r="X15" s="444"/>
      <c r="Y15" s="444"/>
      <c r="Z15" s="444"/>
      <c r="AA15" s="444"/>
      <c r="AB15" s="444"/>
      <c r="AC15" s="444"/>
      <c r="AD15" s="444"/>
      <c r="AE15" s="444"/>
      <c r="AF15" s="444"/>
      <c r="AG15" s="444"/>
    </row>
    <row r="16" ht="13.5" hidden="1" customHeight="1">
      <c r="A16" s="443"/>
      <c r="B16" s="443"/>
      <c r="C16" s="443"/>
      <c r="D16" s="443"/>
      <c r="E16" s="443"/>
      <c r="F16" s="443"/>
      <c r="G16" s="443"/>
      <c r="H16" s="443"/>
      <c r="I16" s="443"/>
      <c r="J16" s="443"/>
      <c r="K16" s="443"/>
      <c r="L16" s="443"/>
      <c r="M16" s="444"/>
      <c r="N16" s="444"/>
      <c r="O16" s="444"/>
      <c r="P16" s="444"/>
      <c r="Q16" s="444"/>
      <c r="R16" s="444"/>
      <c r="S16" s="444"/>
      <c r="T16" s="444"/>
      <c r="U16" s="444"/>
      <c r="V16" s="444"/>
      <c r="W16" s="444"/>
      <c r="X16" s="444"/>
      <c r="Y16" s="444"/>
      <c r="Z16" s="444"/>
      <c r="AA16" s="444"/>
      <c r="AB16" s="444"/>
      <c r="AC16" s="444"/>
      <c r="AD16" s="444"/>
      <c r="AE16" s="444"/>
      <c r="AF16" s="444"/>
      <c r="AG16" s="444"/>
    </row>
    <row r="17" ht="13.5" hidden="1" customHeight="1">
      <c r="A17" s="443"/>
      <c r="B17" s="443"/>
      <c r="C17" s="443"/>
      <c r="D17" s="443"/>
      <c r="E17" s="443"/>
      <c r="F17" s="443"/>
      <c r="G17" s="443"/>
      <c r="H17" s="443"/>
      <c r="I17" s="443"/>
      <c r="J17" s="443"/>
      <c r="K17" s="443"/>
      <c r="L17" s="443"/>
      <c r="M17" s="444"/>
      <c r="N17" s="444"/>
      <c r="O17" s="444"/>
      <c r="P17" s="444"/>
      <c r="Q17" s="444"/>
      <c r="R17" s="444"/>
      <c r="S17" s="444"/>
      <c r="T17" s="444"/>
      <c r="U17" s="444"/>
      <c r="V17" s="444"/>
      <c r="W17" s="444"/>
      <c r="X17" s="444"/>
      <c r="Y17" s="444"/>
      <c r="Z17" s="444"/>
      <c r="AA17" s="444"/>
      <c r="AB17" s="444"/>
      <c r="AC17" s="444"/>
      <c r="AD17" s="444"/>
      <c r="AE17" s="444"/>
      <c r="AF17" s="444"/>
      <c r="AG17" s="444"/>
    </row>
    <row r="18" ht="13.5" hidden="1" customHeight="1">
      <c r="A18" s="443"/>
      <c r="B18" s="443"/>
      <c r="C18" s="443"/>
      <c r="D18" s="443"/>
      <c r="E18" s="443"/>
      <c r="F18" s="443"/>
      <c r="G18" s="443"/>
      <c r="H18" s="443"/>
      <c r="I18" s="443"/>
      <c r="J18" s="443"/>
      <c r="K18" s="443"/>
      <c r="L18" s="443"/>
      <c r="M18" s="444"/>
      <c r="N18" s="444"/>
      <c r="O18" s="444"/>
      <c r="P18" s="444"/>
      <c r="Q18" s="444"/>
      <c r="R18" s="444"/>
      <c r="S18" s="444"/>
      <c r="T18" s="444"/>
      <c r="U18" s="444"/>
      <c r="V18" s="444"/>
      <c r="W18" s="444"/>
      <c r="X18" s="444"/>
      <c r="Y18" s="444"/>
      <c r="Z18" s="444"/>
      <c r="AA18" s="444"/>
      <c r="AB18" s="444"/>
      <c r="AC18" s="444"/>
      <c r="AD18" s="444"/>
      <c r="AE18" s="444"/>
      <c r="AF18" s="444"/>
      <c r="AG18" s="444"/>
    </row>
    <row r="19" ht="13.5" hidden="1" customHeight="1">
      <c r="A19" s="443"/>
      <c r="B19" s="443"/>
      <c r="C19" s="443"/>
      <c r="D19" s="443"/>
      <c r="E19" s="443"/>
      <c r="F19" s="443"/>
      <c r="G19" s="443"/>
      <c r="H19" s="443"/>
      <c r="I19" s="443"/>
      <c r="J19" s="443"/>
      <c r="K19" s="443"/>
      <c r="L19" s="443"/>
      <c r="M19" s="444"/>
      <c r="N19" s="444"/>
      <c r="O19" s="444"/>
      <c r="P19" s="444"/>
      <c r="Q19" s="444"/>
      <c r="R19" s="444"/>
      <c r="S19" s="444"/>
      <c r="T19" s="444"/>
      <c r="U19" s="444"/>
      <c r="V19" s="444"/>
      <c r="W19" s="444"/>
      <c r="X19" s="444"/>
      <c r="Y19" s="444"/>
      <c r="Z19" s="444"/>
      <c r="AA19" s="444"/>
      <c r="AB19" s="444"/>
      <c r="AC19" s="444"/>
      <c r="AD19" s="444"/>
      <c r="AE19" s="444"/>
      <c r="AF19" s="444"/>
      <c r="AG19" s="444"/>
    </row>
    <row r="20" ht="13.5" hidden="1" customHeight="1">
      <c r="A20" s="443"/>
      <c r="B20" s="443"/>
      <c r="C20" s="443"/>
      <c r="D20" s="443"/>
      <c r="E20" s="443"/>
      <c r="F20" s="443"/>
      <c r="G20" s="443"/>
      <c r="H20" s="443"/>
      <c r="I20" s="443"/>
      <c r="J20" s="443"/>
      <c r="K20" s="443"/>
      <c r="L20" s="443"/>
      <c r="M20" s="444"/>
      <c r="N20" s="444"/>
      <c r="O20" s="444"/>
      <c r="P20" s="444"/>
      <c r="Q20" s="444"/>
      <c r="R20" s="444"/>
      <c r="S20" s="444"/>
      <c r="T20" s="444"/>
      <c r="U20" s="444"/>
      <c r="V20" s="444"/>
      <c r="W20" s="444"/>
      <c r="X20" s="444"/>
      <c r="Y20" s="444"/>
      <c r="Z20" s="444"/>
      <c r="AA20" s="444"/>
      <c r="AB20" s="444"/>
      <c r="AC20" s="444"/>
      <c r="AD20" s="444"/>
      <c r="AE20" s="444"/>
      <c r="AF20" s="444"/>
      <c r="AG20" s="444"/>
    </row>
    <row r="21" ht="13.5" hidden="1" customHeight="1">
      <c r="A21" s="443"/>
      <c r="B21" s="443"/>
      <c r="C21" s="443"/>
      <c r="D21" s="443"/>
      <c r="E21" s="443"/>
      <c r="F21" s="443"/>
      <c r="G21" s="443"/>
      <c r="H21" s="443"/>
      <c r="I21" s="443"/>
      <c r="J21" s="443"/>
      <c r="K21" s="443"/>
      <c r="L21" s="443"/>
      <c r="M21" s="444"/>
      <c r="N21" s="444"/>
      <c r="O21" s="444"/>
      <c r="P21" s="444"/>
      <c r="Q21" s="444"/>
      <c r="R21" s="444"/>
      <c r="S21" s="444"/>
      <c r="T21" s="444"/>
      <c r="U21" s="444"/>
      <c r="V21" s="444"/>
      <c r="W21" s="444"/>
      <c r="X21" s="444"/>
      <c r="Y21" s="444"/>
      <c r="Z21" s="444"/>
      <c r="AA21" s="444"/>
      <c r="AB21" s="444"/>
      <c r="AC21" s="444"/>
      <c r="AD21" s="444"/>
      <c r="AE21" s="444"/>
      <c r="AF21" s="444"/>
      <c r="AG21" s="444"/>
    </row>
    <row r="22" ht="13.5" hidden="1" customHeight="1">
      <c r="A22" s="443"/>
      <c r="B22" s="443"/>
      <c r="C22" s="443"/>
      <c r="D22" s="443"/>
      <c r="E22" s="443"/>
      <c r="F22" s="443"/>
      <c r="G22" s="443"/>
      <c r="H22" s="443"/>
      <c r="I22" s="443"/>
      <c r="J22" s="443"/>
      <c r="K22" s="443"/>
      <c r="L22" s="443"/>
      <c r="M22" s="444"/>
      <c r="N22" s="444"/>
      <c r="O22" s="444"/>
      <c r="P22" s="444"/>
      <c r="Q22" s="444"/>
      <c r="R22" s="444"/>
      <c r="S22" s="444"/>
      <c r="T22" s="444"/>
      <c r="U22" s="444"/>
      <c r="V22" s="444"/>
      <c r="W22" s="444"/>
      <c r="X22" s="444"/>
      <c r="Y22" s="444"/>
      <c r="Z22" s="444"/>
      <c r="AA22" s="444"/>
      <c r="AB22" s="444"/>
      <c r="AC22" s="444"/>
      <c r="AD22" s="444"/>
      <c r="AE22" s="444"/>
      <c r="AF22" s="444"/>
      <c r="AG22" s="444"/>
    </row>
    <row r="23" ht="13.5" hidden="1" customHeight="1">
      <c r="A23" s="443"/>
      <c r="B23" s="443"/>
      <c r="C23" s="443"/>
      <c r="D23" s="443"/>
      <c r="E23" s="443"/>
      <c r="F23" s="443"/>
      <c r="G23" s="443"/>
      <c r="H23" s="443"/>
      <c r="I23" s="443"/>
      <c r="J23" s="443"/>
      <c r="K23" s="443"/>
      <c r="L23" s="443"/>
      <c r="M23" s="444"/>
      <c r="N23" s="444"/>
      <c r="O23" s="444"/>
      <c r="P23" s="444"/>
      <c r="Q23" s="444"/>
      <c r="R23" s="444"/>
      <c r="S23" s="444"/>
      <c r="T23" s="444"/>
      <c r="U23" s="444"/>
      <c r="V23" s="444"/>
      <c r="W23" s="444"/>
      <c r="X23" s="444"/>
      <c r="Y23" s="444"/>
      <c r="Z23" s="444"/>
      <c r="AA23" s="444"/>
      <c r="AB23" s="444"/>
      <c r="AC23" s="444"/>
      <c r="AD23" s="444"/>
      <c r="AE23" s="444"/>
      <c r="AF23" s="444"/>
      <c r="AG23" s="444"/>
    </row>
    <row r="24" ht="13.5" hidden="1" customHeight="1">
      <c r="A24" s="443"/>
      <c r="B24" s="443"/>
      <c r="C24" s="443"/>
      <c r="D24" s="443"/>
      <c r="E24" s="443"/>
      <c r="F24" s="443"/>
      <c r="G24" s="443"/>
      <c r="H24" s="443"/>
      <c r="I24" s="443"/>
      <c r="J24" s="443"/>
      <c r="K24" s="443"/>
      <c r="L24" s="443"/>
      <c r="M24" s="444"/>
      <c r="N24" s="444"/>
      <c r="O24" s="444"/>
      <c r="P24" s="444"/>
      <c r="Q24" s="444"/>
      <c r="R24" s="444"/>
      <c r="S24" s="444"/>
      <c r="T24" s="444"/>
      <c r="U24" s="444"/>
      <c r="V24" s="444"/>
      <c r="W24" s="444"/>
      <c r="X24" s="444"/>
      <c r="Y24" s="444"/>
      <c r="Z24" s="444"/>
      <c r="AA24" s="444"/>
      <c r="AB24" s="444"/>
      <c r="AC24" s="444"/>
      <c r="AD24" s="444"/>
      <c r="AE24" s="444"/>
      <c r="AF24" s="444"/>
      <c r="AG24" s="444"/>
    </row>
    <row r="25" ht="13.5" hidden="1" customHeight="1">
      <c r="A25" s="443"/>
      <c r="B25" s="443"/>
      <c r="C25" s="443"/>
      <c r="D25" s="443"/>
      <c r="E25" s="443"/>
      <c r="F25" s="443"/>
      <c r="G25" s="443"/>
      <c r="H25" s="443"/>
      <c r="I25" s="443"/>
      <c r="J25" s="443"/>
      <c r="K25" s="443"/>
      <c r="L25" s="443"/>
      <c r="M25" s="444"/>
      <c r="N25" s="444"/>
      <c r="O25" s="444"/>
      <c r="P25" s="444"/>
      <c r="Q25" s="444"/>
      <c r="R25" s="444"/>
      <c r="S25" s="444"/>
      <c r="T25" s="444"/>
      <c r="U25" s="444"/>
      <c r="V25" s="444"/>
      <c r="W25" s="444"/>
      <c r="X25" s="444"/>
      <c r="Y25" s="444"/>
      <c r="Z25" s="444"/>
      <c r="AA25" s="444"/>
      <c r="AB25" s="444"/>
      <c r="AC25" s="444"/>
      <c r="AD25" s="444"/>
      <c r="AE25" s="444"/>
      <c r="AF25" s="444"/>
      <c r="AG25" s="444"/>
    </row>
    <row r="26" ht="13.5" hidden="1" customHeight="1">
      <c r="A26" s="443"/>
      <c r="B26" s="443"/>
      <c r="C26" s="443"/>
      <c r="D26" s="443"/>
      <c r="E26" s="443"/>
      <c r="F26" s="443"/>
      <c r="G26" s="443"/>
      <c r="H26" s="443"/>
      <c r="I26" s="443"/>
      <c r="J26" s="443"/>
      <c r="K26" s="443"/>
      <c r="L26" s="443"/>
      <c r="M26" s="444"/>
      <c r="N26" s="444"/>
      <c r="O26" s="444"/>
      <c r="P26" s="444"/>
      <c r="Q26" s="444"/>
      <c r="R26" s="444"/>
      <c r="S26" s="444"/>
      <c r="T26" s="444"/>
      <c r="U26" s="444"/>
      <c r="V26" s="444"/>
      <c r="W26" s="444"/>
      <c r="X26" s="444"/>
      <c r="Y26" s="444"/>
      <c r="Z26" s="444"/>
      <c r="AA26" s="444"/>
      <c r="AB26" s="444"/>
      <c r="AC26" s="444"/>
      <c r="AD26" s="444"/>
      <c r="AE26" s="444"/>
      <c r="AF26" s="444"/>
      <c r="AG26" s="444"/>
    </row>
    <row r="27" ht="13.5" hidden="1" customHeight="1">
      <c r="A27" s="443"/>
      <c r="B27" s="443"/>
      <c r="C27" s="443"/>
      <c r="D27" s="443"/>
      <c r="E27" s="443"/>
      <c r="F27" s="443"/>
      <c r="G27" s="443"/>
      <c r="H27" s="443"/>
      <c r="I27" s="443"/>
      <c r="J27" s="443"/>
      <c r="K27" s="443"/>
      <c r="L27" s="443"/>
      <c r="M27" s="444"/>
      <c r="N27" s="444"/>
      <c r="O27" s="444"/>
      <c r="P27" s="444"/>
      <c r="Q27" s="444"/>
      <c r="R27" s="444"/>
      <c r="S27" s="444"/>
      <c r="T27" s="444"/>
      <c r="U27" s="444"/>
      <c r="V27" s="444"/>
      <c r="W27" s="444"/>
      <c r="X27" s="444"/>
      <c r="Y27" s="444"/>
      <c r="Z27" s="444"/>
      <c r="AA27" s="444"/>
      <c r="AB27" s="444"/>
      <c r="AC27" s="444"/>
      <c r="AD27" s="444"/>
      <c r="AE27" s="444"/>
      <c r="AF27" s="444"/>
      <c r="AG27" s="444"/>
    </row>
    <row r="28" ht="12.75" customHeight="1">
      <c r="A28" s="445"/>
      <c r="B28" s="445"/>
      <c r="C28" s="445"/>
      <c r="D28" s="445"/>
      <c r="E28" s="445"/>
      <c r="F28" s="445"/>
      <c r="G28" s="445"/>
      <c r="H28" s="445"/>
      <c r="I28" s="445"/>
      <c r="J28" s="445"/>
      <c r="K28" s="445"/>
      <c r="L28" s="445"/>
      <c r="M28" s="393"/>
      <c r="N28" s="393"/>
      <c r="O28" s="393"/>
      <c r="P28" s="393"/>
      <c r="Q28" s="393"/>
      <c r="R28" s="393"/>
      <c r="S28" s="393"/>
      <c r="T28" s="393"/>
      <c r="U28" s="393"/>
      <c r="V28" s="393"/>
      <c r="W28" s="393"/>
      <c r="X28" s="393"/>
      <c r="Y28" s="393"/>
      <c r="Z28" s="393"/>
      <c r="AA28" s="393"/>
      <c r="AB28" s="393"/>
      <c r="AC28" s="393"/>
      <c r="AD28" s="393"/>
      <c r="AE28" s="393"/>
      <c r="AF28" s="393"/>
      <c r="AG28" s="393"/>
    </row>
    <row r="29" ht="12.75" customHeight="1">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row>
    <row r="30" ht="12.75" customHeight="1">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row>
    <row r="31" ht="12.75" customHeight="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row>
    <row r="32" ht="12.75" customHeight="1">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row>
    <row r="33" ht="12.75" customHeight="1">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row>
    <row r="34" ht="12.75" customHeight="1">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row>
    <row r="35" ht="12.75" customHeight="1">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row>
    <row r="36" ht="12.75" customHeight="1">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row>
    <row r="37" ht="12.75" customHeight="1">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row>
    <row r="38" ht="12.75" customHeight="1">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row>
    <row r="39" ht="12.75" customHeight="1">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row>
    <row r="40" ht="12.75" customHeight="1">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row>
    <row r="41" ht="12.75" customHeight="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row>
    <row r="42" ht="12.75" customHeight="1">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row>
    <row r="43" ht="12.75" customHeight="1">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row>
    <row r="44" ht="12.75" customHeight="1">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row>
    <row r="45" ht="12.75" customHeight="1">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row>
    <row r="46" ht="12.75" customHeight="1">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row>
    <row r="47" ht="12.75" customHeight="1">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row>
    <row r="48" ht="12.75" customHeight="1">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row>
    <row r="49" ht="12.75" customHeight="1">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row>
    <row r="50" ht="12.75" customHeight="1">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row>
    <row r="51" ht="12.75" customHeight="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row>
    <row r="52" ht="12.75" customHeight="1">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row>
    <row r="53" ht="12.75" customHeight="1">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row>
    <row r="54" ht="12.75" customHeight="1">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row>
    <row r="55" ht="12.75" customHeight="1">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row>
    <row r="56" ht="12.75" customHeight="1">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row>
    <row r="57" ht="12.75" customHeight="1">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row>
    <row r="58" ht="12.75" customHeight="1">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row>
    <row r="59" ht="12.75"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row>
    <row r="60" ht="12.75"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row>
    <row r="61" ht="12.75" customHeight="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row>
    <row r="62" ht="12.75" customHeight="1">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row>
    <row r="63" ht="12.75" customHeight="1">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row>
    <row r="64" ht="12.75" customHeight="1">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row>
    <row r="65" ht="12.75" customHeight="1">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row>
    <row r="66" ht="12.7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row>
    <row r="67" ht="12.7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row>
    <row r="68" ht="12.7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row>
    <row r="69" ht="12.7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row>
    <row r="70" ht="12.7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c r="AG70" s="177"/>
    </row>
    <row r="71" ht="12.7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c r="AG71" s="177"/>
    </row>
    <row r="72" ht="12.7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c r="AG72" s="177"/>
    </row>
    <row r="73" ht="12.7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row>
    <row r="74" ht="12.7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row>
    <row r="75" ht="12.7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c r="AG75" s="177"/>
    </row>
    <row r="76" ht="12.7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c r="AD76" s="177"/>
      <c r="AE76" s="177"/>
      <c r="AF76" s="177"/>
      <c r="AG76" s="177"/>
    </row>
    <row r="77" ht="12.7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c r="AD77" s="177"/>
      <c r="AE77" s="177"/>
      <c r="AF77" s="177"/>
      <c r="AG77" s="177"/>
    </row>
    <row r="78" ht="12.7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c r="AG78" s="177"/>
    </row>
    <row r="79" ht="12.7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row>
    <row r="80" ht="12.7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77"/>
    </row>
    <row r="81" ht="12.7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77"/>
    </row>
    <row r="82" ht="12.7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c r="AG82" s="177"/>
    </row>
    <row r="83" ht="12.7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c r="AD83" s="177"/>
      <c r="AE83" s="177"/>
      <c r="AF83" s="177"/>
      <c r="AG83" s="177"/>
    </row>
    <row r="84" ht="12.7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row>
    <row r="85" ht="12.7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77"/>
    </row>
    <row r="86" ht="12.7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77"/>
    </row>
    <row r="87" ht="12.7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77"/>
    </row>
    <row r="88" ht="12.7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row>
    <row r="89" ht="12.7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row>
    <row r="90" ht="12.7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77"/>
    </row>
    <row r="91" ht="12.7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row>
    <row r="92" ht="12.7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row>
    <row r="93" ht="12.7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c r="AG93" s="177"/>
    </row>
    <row r="94" ht="12.7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77"/>
    </row>
    <row r="95" ht="12.7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77"/>
    </row>
    <row r="96" ht="12.7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177"/>
    </row>
    <row r="97" ht="12.7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c r="AG97" s="177"/>
    </row>
    <row r="98" ht="12.7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c r="AD98" s="177"/>
      <c r="AE98" s="177"/>
      <c r="AF98" s="177"/>
      <c r="AG98" s="177"/>
    </row>
    <row r="99" ht="12.7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c r="AG99" s="177"/>
    </row>
    <row r="100" ht="12.7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c r="AG100" s="177"/>
    </row>
    <row r="101" ht="12.7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row>
    <row r="102" ht="12.7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77"/>
    </row>
    <row r="103" ht="12.7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77"/>
    </row>
    <row r="104" ht="12.7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77"/>
    </row>
    <row r="105" ht="12.7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c r="AF105" s="177"/>
      <c r="AG105" s="177"/>
    </row>
    <row r="106" ht="12.7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c r="AG106" s="177"/>
    </row>
    <row r="107" ht="12.7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c r="AF107" s="177"/>
      <c r="AG107" s="177"/>
    </row>
    <row r="108" ht="12.7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c r="AG108" s="177"/>
    </row>
    <row r="109" ht="12.7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c r="AF109" s="177"/>
      <c r="AG109" s="177"/>
    </row>
    <row r="110" ht="12.7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c r="AD110" s="177"/>
      <c r="AE110" s="177"/>
      <c r="AF110" s="177"/>
      <c r="AG110" s="177"/>
    </row>
    <row r="111" ht="12.7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c r="AG111" s="177"/>
    </row>
    <row r="112" ht="12.7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c r="AF112" s="177"/>
      <c r="AG112" s="177"/>
    </row>
    <row r="113" ht="12.7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c r="AF113" s="177"/>
      <c r="AG113" s="177"/>
    </row>
    <row r="114" ht="12.7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c r="AG114" s="177"/>
    </row>
    <row r="115" ht="12.7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c r="AD115" s="177"/>
      <c r="AE115" s="177"/>
      <c r="AF115" s="177"/>
      <c r="AG115" s="177"/>
    </row>
    <row r="116" ht="12.7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row>
    <row r="117" ht="12.7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c r="AD117" s="177"/>
      <c r="AE117" s="177"/>
      <c r="AF117" s="177"/>
      <c r="AG117" s="177"/>
    </row>
    <row r="118" ht="12.7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row>
    <row r="119" ht="12.7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c r="AG119" s="177"/>
    </row>
    <row r="120" ht="12.7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c r="AF120" s="177"/>
      <c r="AG120" s="177"/>
    </row>
    <row r="121" ht="12.7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c r="AF121" s="177"/>
      <c r="AG121" s="177"/>
    </row>
    <row r="122" ht="12.7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c r="AD122" s="177"/>
      <c r="AE122" s="177"/>
      <c r="AF122" s="177"/>
      <c r="AG122" s="177"/>
    </row>
    <row r="123" ht="12.7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c r="AD123" s="177"/>
      <c r="AE123" s="177"/>
      <c r="AF123" s="177"/>
      <c r="AG123" s="177"/>
    </row>
    <row r="124" ht="12.7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c r="AD124" s="177"/>
      <c r="AE124" s="177"/>
      <c r="AF124" s="177"/>
      <c r="AG124" s="177"/>
    </row>
    <row r="125" ht="12.7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c r="AF125" s="177"/>
      <c r="AG125" s="177"/>
    </row>
    <row r="126" ht="12.7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c r="AF126" s="177"/>
      <c r="AG126" s="177"/>
    </row>
    <row r="127" ht="12.7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c r="AF127" s="177"/>
      <c r="AG127" s="177"/>
    </row>
    <row r="128" ht="12.7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177"/>
      <c r="AF128" s="177"/>
      <c r="AG128" s="177"/>
    </row>
    <row r="129" ht="12.7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c r="AF129" s="177"/>
      <c r="AG129" s="177"/>
    </row>
    <row r="130" ht="12.7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c r="AF130" s="177"/>
      <c r="AG130" s="177"/>
    </row>
    <row r="131" ht="12.7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c r="AF131" s="177"/>
      <c r="AG131" s="177"/>
    </row>
    <row r="132" ht="12.7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c r="AF132" s="177"/>
      <c r="AG132" s="177"/>
    </row>
    <row r="133" ht="12.7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row>
    <row r="134" ht="12.7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c r="AF134" s="177"/>
      <c r="AG134" s="177"/>
    </row>
    <row r="135" ht="12.7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c r="AD135" s="177"/>
      <c r="AE135" s="177"/>
      <c r="AF135" s="177"/>
      <c r="AG135" s="177"/>
    </row>
    <row r="136" ht="12.7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c r="AF136" s="177"/>
      <c r="AG136" s="177"/>
    </row>
    <row r="137" ht="12.7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c r="AF137" s="177"/>
      <c r="AG137" s="177"/>
    </row>
    <row r="138" ht="12.7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c r="AD138" s="177"/>
      <c r="AE138" s="177"/>
      <c r="AF138" s="177"/>
      <c r="AG138" s="177"/>
    </row>
    <row r="139" ht="12.7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c r="AD139" s="177"/>
      <c r="AE139" s="177"/>
      <c r="AF139" s="177"/>
      <c r="AG139" s="177"/>
    </row>
    <row r="140" ht="12.7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177"/>
      <c r="AF140" s="177"/>
      <c r="AG140" s="177"/>
    </row>
    <row r="141" ht="12.7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c r="AD141" s="177"/>
      <c r="AE141" s="177"/>
      <c r="AF141" s="177"/>
      <c r="AG141" s="177"/>
    </row>
    <row r="142" ht="12.7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c r="AD142" s="177"/>
      <c r="AE142" s="177"/>
      <c r="AF142" s="177"/>
      <c r="AG142" s="177"/>
    </row>
    <row r="143" ht="12.7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c r="AD143" s="177"/>
      <c r="AE143" s="177"/>
      <c r="AF143" s="177"/>
      <c r="AG143" s="177"/>
    </row>
    <row r="144" ht="12.7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c r="AG144" s="177"/>
    </row>
    <row r="145" ht="12.7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c r="AD145" s="177"/>
      <c r="AE145" s="177"/>
      <c r="AF145" s="177"/>
      <c r="AG145" s="177"/>
    </row>
    <row r="146" ht="12.7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c r="AF146" s="177"/>
      <c r="AG146" s="177"/>
    </row>
    <row r="147" ht="12.7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c r="AF147" s="177"/>
      <c r="AG147" s="177"/>
    </row>
    <row r="148" ht="12.7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c r="AD148" s="177"/>
      <c r="AE148" s="177"/>
      <c r="AF148" s="177"/>
      <c r="AG148" s="177"/>
    </row>
    <row r="149" ht="12.7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c r="AF149" s="177"/>
      <c r="AG149" s="177"/>
    </row>
    <row r="150" ht="12.7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177"/>
      <c r="AF150" s="177"/>
      <c r="AG150" s="177"/>
    </row>
    <row r="151" ht="12.7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c r="AF151" s="177"/>
      <c r="AG151" s="177"/>
    </row>
    <row r="152" ht="12.7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c r="AD152" s="177"/>
      <c r="AE152" s="177"/>
      <c r="AF152" s="177"/>
      <c r="AG152" s="177"/>
    </row>
    <row r="153" ht="12.7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c r="AD153" s="177"/>
      <c r="AE153" s="177"/>
      <c r="AF153" s="177"/>
      <c r="AG153" s="177"/>
    </row>
    <row r="154" ht="12.7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c r="AF154" s="177"/>
      <c r="AG154" s="177"/>
    </row>
    <row r="155" ht="12.7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c r="AF155" s="177"/>
      <c r="AG155" s="177"/>
    </row>
    <row r="156" ht="12.7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c r="AF156" s="177"/>
      <c r="AG156" s="177"/>
    </row>
    <row r="157" ht="12.7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row>
    <row r="158" ht="12.7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row>
    <row r="159" ht="12.7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row>
    <row r="160" ht="12.7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c r="AG160" s="177"/>
    </row>
    <row r="161" ht="12.7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c r="AF161" s="177"/>
      <c r="AG161" s="177"/>
    </row>
    <row r="162" ht="12.7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row>
    <row r="163" ht="12.7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c r="AF163" s="177"/>
      <c r="AG163" s="177"/>
    </row>
    <row r="164" ht="12.7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c r="AF164" s="177"/>
      <c r="AG164" s="177"/>
    </row>
    <row r="165" ht="12.7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c r="AG165" s="177"/>
    </row>
    <row r="166" ht="12.7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c r="AG166" s="177"/>
    </row>
    <row r="167" ht="12.7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c r="AG167" s="177"/>
    </row>
    <row r="168" ht="12.7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177"/>
    </row>
    <row r="169" ht="12.7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c r="AG169" s="177"/>
    </row>
    <row r="170" ht="12.7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c r="AG170" s="177"/>
    </row>
    <row r="171" ht="12.7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c r="AG171" s="177"/>
    </row>
    <row r="172" ht="12.7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c r="AG172" s="177"/>
    </row>
    <row r="173" ht="12.7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c r="AG173" s="177"/>
    </row>
    <row r="174" ht="12.7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177"/>
    </row>
    <row r="175" ht="12.7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c r="AG175" s="177"/>
    </row>
    <row r="176" ht="12.7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c r="AD176" s="177"/>
      <c r="AE176" s="177"/>
      <c r="AF176" s="177"/>
      <c r="AG176" s="177"/>
    </row>
    <row r="177" ht="12.7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c r="AD177" s="177"/>
      <c r="AE177" s="177"/>
      <c r="AF177" s="177"/>
      <c r="AG177" s="177"/>
    </row>
    <row r="178" ht="12.7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c r="AG178" s="177"/>
    </row>
    <row r="179" ht="12.7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c r="AD179" s="177"/>
      <c r="AE179" s="177"/>
      <c r="AF179" s="177"/>
      <c r="AG179" s="177"/>
    </row>
    <row r="180" ht="12.7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c r="AD180" s="177"/>
      <c r="AE180" s="177"/>
      <c r="AF180" s="177"/>
      <c r="AG180" s="177"/>
    </row>
    <row r="181" ht="12.7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c r="AD181" s="177"/>
      <c r="AE181" s="177"/>
      <c r="AF181" s="177"/>
      <c r="AG181" s="177"/>
    </row>
    <row r="182" ht="12.7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c r="AD182" s="177"/>
      <c r="AE182" s="177"/>
      <c r="AF182" s="177"/>
      <c r="AG182" s="177"/>
    </row>
    <row r="183" ht="12.7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c r="AD183" s="177"/>
      <c r="AE183" s="177"/>
      <c r="AF183" s="177"/>
      <c r="AG183" s="177"/>
    </row>
    <row r="184" ht="12.7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c r="AD184" s="177"/>
      <c r="AE184" s="177"/>
      <c r="AF184" s="177"/>
      <c r="AG184" s="177"/>
    </row>
    <row r="185" ht="12.7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c r="AG185" s="177"/>
    </row>
    <row r="186" ht="12.7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c r="AD186" s="177"/>
      <c r="AE186" s="177"/>
      <c r="AF186" s="177"/>
      <c r="AG186" s="177"/>
    </row>
    <row r="187" ht="12.7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c r="AD187" s="177"/>
      <c r="AE187" s="177"/>
      <c r="AF187" s="177"/>
      <c r="AG187" s="177"/>
    </row>
    <row r="188" ht="12.7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c r="AD188" s="177"/>
      <c r="AE188" s="177"/>
      <c r="AF188" s="177"/>
      <c r="AG188" s="177"/>
    </row>
    <row r="189" ht="12.7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c r="AG189" s="177"/>
    </row>
    <row r="190" ht="12.7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c r="AF190" s="177"/>
      <c r="AG190" s="177"/>
    </row>
    <row r="191" ht="12.7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c r="AF191" s="177"/>
      <c r="AG191" s="177"/>
    </row>
    <row r="192" ht="12.7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c r="AF192" s="177"/>
      <c r="AG192" s="177"/>
    </row>
    <row r="193" ht="12.7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c r="AF193" s="177"/>
      <c r="AG193" s="177"/>
    </row>
    <row r="194" ht="12.7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c r="AD194" s="177"/>
      <c r="AE194" s="177"/>
      <c r="AF194" s="177"/>
      <c r="AG194" s="177"/>
    </row>
    <row r="195" ht="12.7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c r="AD195" s="177"/>
      <c r="AE195" s="177"/>
      <c r="AF195" s="177"/>
      <c r="AG195" s="177"/>
    </row>
    <row r="196" ht="12.7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c r="AD196" s="177"/>
      <c r="AE196" s="177"/>
      <c r="AF196" s="177"/>
      <c r="AG196" s="177"/>
    </row>
    <row r="197" ht="12.7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c r="AD197" s="177"/>
      <c r="AE197" s="177"/>
      <c r="AF197" s="177"/>
      <c r="AG197" s="177"/>
    </row>
    <row r="198" ht="12.7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c r="AF198" s="177"/>
      <c r="AG198" s="177"/>
    </row>
    <row r="199" ht="12.7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c r="AD199" s="177"/>
      <c r="AE199" s="177"/>
      <c r="AF199" s="177"/>
      <c r="AG199" s="177"/>
    </row>
    <row r="200" ht="12.7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c r="AD200" s="177"/>
      <c r="AE200" s="177"/>
      <c r="AF200" s="177"/>
      <c r="AG200" s="177"/>
    </row>
    <row r="201" ht="12.7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c r="AD201" s="177"/>
      <c r="AE201" s="177"/>
      <c r="AF201" s="177"/>
      <c r="AG201" s="177"/>
    </row>
    <row r="202" ht="12.7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row>
    <row r="203" ht="12.7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c r="AD203" s="177"/>
      <c r="AE203" s="177"/>
      <c r="AF203" s="177"/>
      <c r="AG203" s="177"/>
    </row>
    <row r="204" ht="12.7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c r="AD204" s="177"/>
      <c r="AE204" s="177"/>
      <c r="AF204" s="177"/>
      <c r="AG204" s="177"/>
    </row>
    <row r="205" ht="12.7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c r="AD205" s="177"/>
      <c r="AE205" s="177"/>
      <c r="AF205" s="177"/>
      <c r="AG205" s="177"/>
    </row>
    <row r="206" ht="12.7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row>
    <row r="207" ht="12.7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c r="AD207" s="177"/>
      <c r="AE207" s="177"/>
      <c r="AF207" s="177"/>
      <c r="AG207" s="177"/>
    </row>
    <row r="208" ht="12.7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c r="AF208" s="177"/>
      <c r="AG208" s="177"/>
    </row>
    <row r="209" ht="12.7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c r="AD209" s="177"/>
      <c r="AE209" s="177"/>
      <c r="AF209" s="177"/>
      <c r="AG209" s="177"/>
    </row>
    <row r="210" ht="12.7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c r="AD210" s="177"/>
      <c r="AE210" s="177"/>
      <c r="AF210" s="177"/>
      <c r="AG210" s="177"/>
    </row>
    <row r="211" ht="12.7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c r="AF211" s="177"/>
      <c r="AG211" s="177"/>
    </row>
    <row r="212" ht="12.7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c r="AG212" s="177"/>
    </row>
    <row r="213" ht="12.7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177"/>
    </row>
    <row r="214" ht="12.7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c r="AF214" s="177"/>
      <c r="AG214" s="177"/>
    </row>
    <row r="215" ht="12.7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c r="AF215" s="177"/>
      <c r="AG215" s="177"/>
    </row>
    <row r="216" ht="12.7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c r="AG216" s="177"/>
    </row>
    <row r="217" ht="12.7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c r="AF217" s="177"/>
      <c r="AG217" s="177"/>
    </row>
    <row r="218" ht="12.7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c r="AG218" s="177"/>
    </row>
    <row r="219" ht="12.7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c r="AG219" s="177"/>
    </row>
    <row r="220" ht="12.7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c r="AF220" s="177"/>
      <c r="AG220" s="177"/>
    </row>
    <row r="221" ht="12.7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c r="AD221" s="177"/>
      <c r="AE221" s="177"/>
      <c r="AF221" s="177"/>
      <c r="AG221" s="177"/>
    </row>
    <row r="222" ht="12.7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c r="AG222" s="177"/>
    </row>
    <row r="223" ht="12.7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c r="AG223" s="177"/>
    </row>
    <row r="224" ht="12.7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c r="AF224" s="177"/>
      <c r="AG224" s="177"/>
    </row>
    <row r="225" ht="12.7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c r="AD225" s="177"/>
      <c r="AE225" s="177"/>
      <c r="AF225" s="177"/>
      <c r="AG225" s="177"/>
    </row>
    <row r="226" ht="12.7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c r="AF226" s="177"/>
      <c r="AG226" s="177"/>
    </row>
    <row r="227" ht="12.7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c r="AG227" s="177"/>
    </row>
    <row r="228" ht="12.7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c r="AG228" s="177"/>
    </row>
    <row r="229" ht="12.7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c r="AD229" s="177"/>
      <c r="AE229" s="177"/>
      <c r="AF229" s="177"/>
      <c r="AG229" s="177"/>
    </row>
    <row r="230" ht="12.7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c r="AC230" s="177"/>
      <c r="AD230" s="177"/>
      <c r="AE230" s="177"/>
      <c r="AF230" s="177"/>
      <c r="AG230" s="177"/>
    </row>
    <row r="231" ht="12.7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c r="AD231" s="177"/>
      <c r="AE231" s="177"/>
      <c r="AF231" s="177"/>
      <c r="AG231" s="177"/>
    </row>
    <row r="232" ht="12.7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c r="AD232" s="177"/>
      <c r="AE232" s="177"/>
      <c r="AF232" s="177"/>
      <c r="AG232" s="177"/>
    </row>
    <row r="233" ht="12.7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c r="AC233" s="177"/>
      <c r="AD233" s="177"/>
      <c r="AE233" s="177"/>
      <c r="AF233" s="177"/>
      <c r="AG233" s="177"/>
    </row>
    <row r="234" ht="12.7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c r="AC234" s="177"/>
      <c r="AD234" s="177"/>
      <c r="AE234" s="177"/>
      <c r="AF234" s="177"/>
      <c r="AG234" s="177"/>
    </row>
    <row r="235" ht="12.7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c r="AC235" s="177"/>
      <c r="AD235" s="177"/>
      <c r="AE235" s="177"/>
      <c r="AF235" s="177"/>
      <c r="AG235" s="177"/>
    </row>
    <row r="236" ht="12.7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c r="AC236" s="177"/>
      <c r="AD236" s="177"/>
      <c r="AE236" s="177"/>
      <c r="AF236" s="177"/>
      <c r="AG236" s="177"/>
    </row>
    <row r="237" ht="12.7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c r="AC237" s="177"/>
      <c r="AD237" s="177"/>
      <c r="AE237" s="177"/>
      <c r="AF237" s="177"/>
      <c r="AG237" s="177"/>
    </row>
    <row r="238" ht="12.7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c r="AC238" s="177"/>
      <c r="AD238" s="177"/>
      <c r="AE238" s="177"/>
      <c r="AF238" s="177"/>
      <c r="AG238" s="177"/>
    </row>
    <row r="239" ht="12.7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c r="AD239" s="177"/>
      <c r="AE239" s="177"/>
      <c r="AF239" s="177"/>
      <c r="AG239" s="177"/>
    </row>
    <row r="240" ht="12.7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c r="AD240" s="177"/>
      <c r="AE240" s="177"/>
      <c r="AF240" s="177"/>
      <c r="AG240" s="177"/>
    </row>
    <row r="241" ht="12.7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c r="AD241" s="177"/>
      <c r="AE241" s="177"/>
      <c r="AF241" s="177"/>
      <c r="AG241" s="177"/>
    </row>
    <row r="242" ht="12.7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c r="AD242" s="177"/>
      <c r="AE242" s="177"/>
      <c r="AF242" s="177"/>
      <c r="AG242" s="177"/>
    </row>
    <row r="243" ht="12.7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c r="AD243" s="177"/>
      <c r="AE243" s="177"/>
      <c r="AF243" s="177"/>
      <c r="AG243" s="177"/>
    </row>
    <row r="244" ht="12.7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c r="AD244" s="177"/>
      <c r="AE244" s="177"/>
      <c r="AF244" s="177"/>
      <c r="AG244" s="177"/>
    </row>
    <row r="245" ht="12.7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row>
    <row r="246" ht="12.7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c r="AG246" s="177"/>
    </row>
    <row r="247" ht="12.7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c r="AG247" s="177"/>
    </row>
    <row r="248" ht="12.7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c r="AG248" s="177"/>
    </row>
    <row r="249" ht="12.7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c r="AD249" s="177"/>
      <c r="AE249" s="177"/>
      <c r="AF249" s="177"/>
      <c r="AG249" s="177"/>
    </row>
    <row r="250" ht="12.7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row>
    <row r="251" ht="12.7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77"/>
    </row>
    <row r="252" ht="12.7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77"/>
    </row>
    <row r="253" ht="12.7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c r="AD253" s="177"/>
      <c r="AE253" s="177"/>
      <c r="AF253" s="177"/>
      <c r="AG253" s="177"/>
    </row>
    <row r="254" ht="12.7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c r="AD254" s="177"/>
      <c r="AE254" s="177"/>
      <c r="AF254" s="177"/>
      <c r="AG254" s="177"/>
    </row>
    <row r="255" ht="12.7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c r="AG255" s="177"/>
    </row>
    <row r="256" ht="12.7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177"/>
    </row>
    <row r="257" ht="12.7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c r="AG257" s="177"/>
    </row>
    <row r="258" ht="12.7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row>
    <row r="259" ht="12.7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c r="AD259" s="177"/>
      <c r="AE259" s="177"/>
      <c r="AF259" s="177"/>
      <c r="AG259" s="177"/>
    </row>
    <row r="260" ht="12.7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c r="AG260" s="177"/>
    </row>
    <row r="261" ht="12.7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c r="AD261" s="177"/>
      <c r="AE261" s="177"/>
      <c r="AF261" s="177"/>
      <c r="AG261" s="177"/>
    </row>
    <row r="262" ht="12.7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c r="AD262" s="177"/>
      <c r="AE262" s="177"/>
      <c r="AF262" s="177"/>
      <c r="AG262" s="177"/>
    </row>
    <row r="263" ht="12.7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c r="AD263" s="177"/>
      <c r="AE263" s="177"/>
      <c r="AF263" s="177"/>
      <c r="AG263" s="177"/>
    </row>
    <row r="264" ht="12.7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c r="AD264" s="177"/>
      <c r="AE264" s="177"/>
      <c r="AF264" s="177"/>
      <c r="AG264" s="177"/>
    </row>
    <row r="265" ht="12.75" customHeight="1">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c r="AD265" s="177"/>
      <c r="AE265" s="177"/>
      <c r="AF265" s="177"/>
      <c r="AG265" s="177"/>
    </row>
    <row r="266" ht="12.75" customHeight="1">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c r="AD266" s="177"/>
      <c r="AE266" s="177"/>
      <c r="AF266" s="177"/>
      <c r="AG266" s="177"/>
    </row>
    <row r="267" ht="12.75" customHeight="1">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c r="AC267" s="177"/>
      <c r="AD267" s="177"/>
      <c r="AE267" s="177"/>
      <c r="AF267" s="177"/>
      <c r="AG267" s="177"/>
    </row>
    <row r="268" ht="12.75" customHeight="1">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c r="AC268" s="177"/>
      <c r="AD268" s="177"/>
      <c r="AE268" s="177"/>
      <c r="AF268" s="177"/>
      <c r="AG268" s="177"/>
    </row>
    <row r="269" ht="12.75" customHeight="1">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c r="AC269" s="177"/>
      <c r="AD269" s="177"/>
      <c r="AE269" s="177"/>
      <c r="AF269" s="177"/>
      <c r="AG269" s="177"/>
    </row>
    <row r="270" ht="12.75" customHeight="1">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c r="AG270" s="177"/>
    </row>
    <row r="271" ht="12.75" customHeight="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c r="AD271" s="177"/>
      <c r="AE271" s="177"/>
      <c r="AF271" s="177"/>
      <c r="AG271" s="177"/>
    </row>
    <row r="272" ht="12.75" customHeight="1">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c r="AD272" s="177"/>
      <c r="AE272" s="177"/>
      <c r="AF272" s="177"/>
      <c r="AG272" s="177"/>
    </row>
    <row r="273" ht="12.75" customHeight="1">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c r="AD273" s="177"/>
      <c r="AE273" s="177"/>
      <c r="AF273" s="177"/>
      <c r="AG273" s="177"/>
    </row>
    <row r="274" ht="12.75" customHeight="1">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row>
    <row r="275" ht="12.75" customHeight="1">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row>
    <row r="276" ht="12.75" customHeight="1">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c r="AC276" s="177"/>
      <c r="AD276" s="177"/>
      <c r="AE276" s="177"/>
      <c r="AF276" s="177"/>
      <c r="AG276" s="177"/>
    </row>
    <row r="277" ht="12.75" customHeight="1">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c r="AD277" s="177"/>
      <c r="AE277" s="177"/>
      <c r="AF277" s="177"/>
      <c r="AG277" s="177"/>
    </row>
    <row r="278" ht="12.75" customHeight="1">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c r="AD278" s="177"/>
      <c r="AE278" s="177"/>
      <c r="AF278" s="177"/>
      <c r="AG278" s="177"/>
    </row>
    <row r="279" ht="12.75" customHeight="1">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c r="AC279" s="177"/>
      <c r="AD279" s="177"/>
      <c r="AE279" s="177"/>
      <c r="AF279" s="177"/>
      <c r="AG279" s="177"/>
    </row>
    <row r="280" ht="12.75" customHeight="1">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c r="AD280" s="177"/>
      <c r="AE280" s="177"/>
      <c r="AF280" s="177"/>
      <c r="AG280" s="177"/>
    </row>
    <row r="281" ht="12.75" customHeight="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c r="AG281" s="177"/>
    </row>
    <row r="282" ht="12.75" customHeight="1">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c r="AC282" s="177"/>
      <c r="AD282" s="177"/>
      <c r="AE282" s="177"/>
      <c r="AF282" s="177"/>
      <c r="AG282" s="177"/>
    </row>
    <row r="283" ht="12.75" customHeight="1">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c r="AD283" s="177"/>
      <c r="AE283" s="177"/>
      <c r="AF283" s="177"/>
      <c r="AG283" s="177"/>
    </row>
    <row r="284" ht="12.75" customHeight="1">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c r="AD284" s="177"/>
      <c r="AE284" s="177"/>
      <c r="AF284" s="177"/>
      <c r="AG284" s="177"/>
    </row>
    <row r="285" ht="12.75" customHeight="1">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c r="AD285" s="177"/>
      <c r="AE285" s="177"/>
      <c r="AF285" s="177"/>
      <c r="AG285" s="177"/>
    </row>
    <row r="286" ht="12.75" customHeight="1">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c r="AD286" s="177"/>
      <c r="AE286" s="177"/>
      <c r="AF286" s="177"/>
      <c r="AG286" s="177"/>
    </row>
    <row r="287" ht="12.75" customHeight="1">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c r="AC287" s="177"/>
      <c r="AD287" s="177"/>
      <c r="AE287" s="177"/>
      <c r="AF287" s="177"/>
      <c r="AG287" s="177"/>
    </row>
    <row r="288" ht="12.75" customHeight="1">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row>
    <row r="289" ht="12.75" customHeight="1">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c r="AC289" s="177"/>
      <c r="AD289" s="177"/>
      <c r="AE289" s="177"/>
      <c r="AF289" s="177"/>
      <c r="AG289" s="177"/>
    </row>
    <row r="290" ht="12.75" customHeight="1">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c r="AD290" s="177"/>
      <c r="AE290" s="177"/>
      <c r="AF290" s="177"/>
      <c r="AG290" s="177"/>
    </row>
    <row r="291" ht="12.75" customHeight="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c r="AD291" s="177"/>
      <c r="AE291" s="177"/>
      <c r="AF291" s="177"/>
      <c r="AG291" s="177"/>
    </row>
    <row r="292" ht="12.75" customHeight="1">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c r="AG292" s="177"/>
    </row>
    <row r="293" ht="12.75" customHeight="1">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c r="AC293" s="177"/>
      <c r="AD293" s="177"/>
      <c r="AE293" s="177"/>
      <c r="AF293" s="177"/>
      <c r="AG293" s="177"/>
    </row>
    <row r="294" ht="12.75" customHeight="1">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row>
    <row r="295" ht="12.75" customHeight="1">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c r="AD295" s="177"/>
      <c r="AE295" s="177"/>
      <c r="AF295" s="177"/>
      <c r="AG295" s="177"/>
    </row>
    <row r="296" ht="12.75" customHeight="1">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c r="AD296" s="177"/>
      <c r="AE296" s="177"/>
      <c r="AF296" s="177"/>
      <c r="AG296" s="177"/>
    </row>
    <row r="297" ht="12.75" customHeight="1">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c r="AD297" s="177"/>
      <c r="AE297" s="177"/>
      <c r="AF297" s="177"/>
      <c r="AG297" s="177"/>
    </row>
    <row r="298" ht="12.75" customHeight="1">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c r="AG298" s="177"/>
    </row>
    <row r="299" ht="12.75" customHeight="1">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c r="AG299" s="177"/>
    </row>
    <row r="300" ht="12.75" customHeight="1">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c r="AD300" s="177"/>
      <c r="AE300" s="177"/>
      <c r="AF300" s="177"/>
      <c r="AG300" s="177"/>
    </row>
    <row r="301" ht="12.75" customHeight="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c r="AG301" s="177"/>
    </row>
    <row r="302" ht="12.75" customHeight="1">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77"/>
    </row>
    <row r="303" ht="12.75" customHeight="1">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c r="AG303" s="177"/>
    </row>
    <row r="304" ht="12.75" customHeight="1">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c r="AC304" s="177"/>
      <c r="AD304" s="177"/>
      <c r="AE304" s="177"/>
      <c r="AF304" s="177"/>
      <c r="AG304" s="177"/>
    </row>
    <row r="305" ht="12.75" customHeight="1">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c r="AC305" s="177"/>
      <c r="AD305" s="177"/>
      <c r="AE305" s="177"/>
      <c r="AF305" s="177"/>
      <c r="AG305" s="177"/>
    </row>
    <row r="306" ht="12.75" customHeight="1">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c r="AD306" s="177"/>
      <c r="AE306" s="177"/>
      <c r="AF306" s="177"/>
      <c r="AG306" s="177"/>
    </row>
    <row r="307" ht="12.75" customHeight="1">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c r="AC307" s="177"/>
      <c r="AD307" s="177"/>
      <c r="AE307" s="177"/>
      <c r="AF307" s="177"/>
      <c r="AG307" s="177"/>
    </row>
    <row r="308" ht="12.75" customHeight="1">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77"/>
    </row>
    <row r="309" ht="12.75" customHeight="1">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c r="AG309" s="177"/>
    </row>
    <row r="310" ht="12.75" customHeight="1">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c r="AC310" s="177"/>
      <c r="AD310" s="177"/>
      <c r="AE310" s="177"/>
      <c r="AF310" s="177"/>
      <c r="AG310" s="177"/>
    </row>
    <row r="311" ht="12.75" customHeight="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c r="AC311" s="177"/>
      <c r="AD311" s="177"/>
      <c r="AE311" s="177"/>
      <c r="AF311" s="177"/>
      <c r="AG311" s="177"/>
    </row>
    <row r="312" ht="12.75" customHeight="1">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c r="AC312" s="177"/>
      <c r="AD312" s="177"/>
      <c r="AE312" s="177"/>
      <c r="AF312" s="177"/>
      <c r="AG312" s="177"/>
    </row>
    <row r="313" ht="12.75" customHeight="1">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c r="AC313" s="177"/>
      <c r="AD313" s="177"/>
      <c r="AE313" s="177"/>
      <c r="AF313" s="177"/>
      <c r="AG313" s="177"/>
    </row>
    <row r="314" ht="12.75" customHeight="1">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c r="AC314" s="177"/>
      <c r="AD314" s="177"/>
      <c r="AE314" s="177"/>
      <c r="AF314" s="177"/>
      <c r="AG314" s="177"/>
    </row>
    <row r="315" ht="12.75" customHeight="1">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c r="AC315" s="177"/>
      <c r="AD315" s="177"/>
      <c r="AE315" s="177"/>
      <c r="AF315" s="177"/>
      <c r="AG315" s="177"/>
    </row>
    <row r="316" ht="12.75" customHeight="1">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c r="AC316" s="177"/>
      <c r="AD316" s="177"/>
      <c r="AE316" s="177"/>
      <c r="AF316" s="177"/>
      <c r="AG316" s="177"/>
    </row>
    <row r="317" ht="12.75" customHeight="1">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c r="AC317" s="177"/>
      <c r="AD317" s="177"/>
      <c r="AE317" s="177"/>
      <c r="AF317" s="177"/>
      <c r="AG317" s="177"/>
    </row>
    <row r="318" ht="12.75" customHeight="1">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c r="AD318" s="177"/>
      <c r="AE318" s="177"/>
      <c r="AF318" s="177"/>
      <c r="AG318" s="177"/>
    </row>
    <row r="319" ht="12.75" customHeight="1">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c r="AD319" s="177"/>
      <c r="AE319" s="177"/>
      <c r="AF319" s="177"/>
      <c r="AG319" s="177"/>
    </row>
    <row r="320" ht="12.75" customHeight="1">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c r="AC320" s="177"/>
      <c r="AD320" s="177"/>
      <c r="AE320" s="177"/>
      <c r="AF320" s="177"/>
      <c r="AG320" s="177"/>
    </row>
    <row r="321" ht="12.75" customHeight="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c r="AD321" s="177"/>
      <c r="AE321" s="177"/>
      <c r="AF321" s="177"/>
      <c r="AG321" s="177"/>
    </row>
    <row r="322" ht="12.75" customHeight="1">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c r="AD322" s="177"/>
      <c r="AE322" s="177"/>
      <c r="AF322" s="177"/>
      <c r="AG322" s="177"/>
    </row>
    <row r="323" ht="12.75" customHeight="1">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c r="AD323" s="177"/>
      <c r="AE323" s="177"/>
      <c r="AF323" s="177"/>
      <c r="AG323" s="177"/>
    </row>
    <row r="324" ht="12.75" customHeight="1">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c r="AD324" s="177"/>
      <c r="AE324" s="177"/>
      <c r="AF324" s="177"/>
      <c r="AG324" s="177"/>
    </row>
    <row r="325" ht="12.75" customHeight="1">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c r="AD325" s="177"/>
      <c r="AE325" s="177"/>
      <c r="AF325" s="177"/>
      <c r="AG325" s="177"/>
    </row>
    <row r="326" ht="12.75" customHeight="1">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row>
    <row r="327" ht="12.75" customHeight="1">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c r="AC327" s="177"/>
      <c r="AD327" s="177"/>
      <c r="AE327" s="177"/>
      <c r="AF327" s="177"/>
      <c r="AG327" s="177"/>
    </row>
    <row r="328" ht="12.75" customHeight="1">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c r="AD328" s="177"/>
      <c r="AE328" s="177"/>
      <c r="AF328" s="177"/>
      <c r="AG328" s="177"/>
    </row>
    <row r="329" ht="12.75" customHeight="1">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c r="AD329" s="177"/>
      <c r="AE329" s="177"/>
      <c r="AF329" s="177"/>
      <c r="AG329" s="177"/>
    </row>
    <row r="330" ht="12.75" customHeight="1">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c r="AD330" s="177"/>
      <c r="AE330" s="177"/>
      <c r="AF330" s="177"/>
      <c r="AG330" s="177"/>
    </row>
    <row r="331" ht="12.75" customHeight="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row>
    <row r="332" ht="12.75" customHeight="1">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c r="AG332" s="177"/>
    </row>
    <row r="333" ht="12.75" customHeight="1">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c r="AG333" s="177"/>
    </row>
    <row r="334" ht="12.75" customHeight="1">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c r="AD334" s="177"/>
      <c r="AE334" s="177"/>
      <c r="AF334" s="177"/>
      <c r="AG334" s="177"/>
    </row>
    <row r="335" ht="12.75" customHeight="1">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c r="AD335" s="177"/>
      <c r="AE335" s="177"/>
      <c r="AF335" s="177"/>
      <c r="AG335" s="177"/>
    </row>
    <row r="336" ht="12.75" customHeight="1">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c r="AD336" s="177"/>
      <c r="AE336" s="177"/>
      <c r="AF336" s="177"/>
      <c r="AG336" s="177"/>
    </row>
    <row r="337" ht="12.75" customHeight="1">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c r="AD337" s="177"/>
      <c r="AE337" s="177"/>
      <c r="AF337" s="177"/>
      <c r="AG337" s="177"/>
    </row>
    <row r="338" ht="12.75" customHeight="1">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row>
    <row r="339" ht="12.75" customHeight="1">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c r="AC339" s="177"/>
      <c r="AD339" s="177"/>
      <c r="AE339" s="177"/>
      <c r="AF339" s="177"/>
      <c r="AG339" s="177"/>
    </row>
    <row r="340" ht="12.75" customHeight="1">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c r="AC340" s="177"/>
      <c r="AD340" s="177"/>
      <c r="AE340" s="177"/>
      <c r="AF340" s="177"/>
      <c r="AG340" s="177"/>
    </row>
    <row r="341" ht="12.75" customHeight="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c r="AC341" s="177"/>
      <c r="AD341" s="177"/>
      <c r="AE341" s="177"/>
      <c r="AF341" s="177"/>
      <c r="AG341" s="177"/>
    </row>
    <row r="342" ht="12.75" customHeight="1">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c r="AC342" s="177"/>
      <c r="AD342" s="177"/>
      <c r="AE342" s="177"/>
      <c r="AF342" s="177"/>
      <c r="AG342" s="177"/>
    </row>
    <row r="343" ht="12.75" customHeight="1">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c r="AC343" s="177"/>
      <c r="AD343" s="177"/>
      <c r="AE343" s="177"/>
      <c r="AF343" s="177"/>
      <c r="AG343" s="177"/>
    </row>
    <row r="344" ht="12.75" customHeight="1">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c r="AC344" s="177"/>
      <c r="AD344" s="177"/>
      <c r="AE344" s="177"/>
      <c r="AF344" s="177"/>
      <c r="AG344" s="177"/>
    </row>
    <row r="345" ht="12.75" customHeight="1">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c r="AC345" s="177"/>
      <c r="AD345" s="177"/>
      <c r="AE345" s="177"/>
      <c r="AF345" s="177"/>
      <c r="AG345" s="177"/>
    </row>
    <row r="346" ht="12.75" customHeight="1">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c r="AC346" s="177"/>
      <c r="AD346" s="177"/>
      <c r="AE346" s="177"/>
      <c r="AF346" s="177"/>
      <c r="AG346" s="177"/>
    </row>
    <row r="347" ht="12.75" customHeight="1">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c r="AC347" s="177"/>
      <c r="AD347" s="177"/>
      <c r="AE347" s="177"/>
      <c r="AF347" s="177"/>
      <c r="AG347" s="177"/>
    </row>
    <row r="348" ht="12.75" customHeight="1">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c r="AC348" s="177"/>
      <c r="AD348" s="177"/>
      <c r="AE348" s="177"/>
      <c r="AF348" s="177"/>
      <c r="AG348" s="177"/>
    </row>
    <row r="349" ht="12.75" customHeight="1">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c r="AC349" s="177"/>
      <c r="AD349" s="177"/>
      <c r="AE349" s="177"/>
      <c r="AF349" s="177"/>
      <c r="AG349" s="177"/>
    </row>
    <row r="350" ht="12.75" customHeight="1">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c r="AG350" s="177"/>
    </row>
    <row r="351" ht="12.75" customHeight="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c r="AC351" s="177"/>
      <c r="AD351" s="177"/>
      <c r="AE351" s="177"/>
      <c r="AF351" s="177"/>
      <c r="AG351" s="177"/>
    </row>
    <row r="352" ht="12.75" customHeight="1">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c r="AD352" s="177"/>
      <c r="AE352" s="177"/>
      <c r="AF352" s="177"/>
      <c r="AG352" s="177"/>
    </row>
    <row r="353" ht="12.75" customHeight="1">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c r="AD353" s="177"/>
      <c r="AE353" s="177"/>
      <c r="AF353" s="177"/>
      <c r="AG353" s="177"/>
    </row>
    <row r="354" ht="12.75" customHeight="1">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c r="AD354" s="177"/>
      <c r="AE354" s="177"/>
      <c r="AF354" s="177"/>
      <c r="AG354" s="177"/>
    </row>
    <row r="355" ht="12.75" customHeight="1">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c r="AG355" s="177"/>
    </row>
    <row r="356" ht="12.75" customHeight="1">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c r="AG356" s="177"/>
    </row>
    <row r="357" ht="12.75" customHeight="1">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c r="AG357" s="177"/>
    </row>
    <row r="358" ht="12.75" customHeight="1">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c r="AG358" s="177"/>
    </row>
    <row r="359" ht="12.75" customHeight="1">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c r="AG359" s="177"/>
    </row>
    <row r="360" ht="12.75" customHeight="1">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c r="AD360" s="177"/>
      <c r="AE360" s="177"/>
      <c r="AF360" s="177"/>
      <c r="AG360" s="177"/>
    </row>
    <row r="361" ht="12.75" customHeight="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c r="AG361" s="177"/>
    </row>
    <row r="362" ht="12.75" customHeight="1">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177"/>
    </row>
    <row r="363" ht="12.75" customHeight="1">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177"/>
    </row>
    <row r="364" ht="12.75" customHeight="1">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c r="AD364" s="177"/>
      <c r="AE364" s="177"/>
      <c r="AF364" s="177"/>
      <c r="AG364" s="177"/>
    </row>
    <row r="365" ht="12.75" customHeight="1">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c r="AG365" s="177"/>
    </row>
    <row r="366" ht="12.75" customHeight="1">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c r="AG366" s="177"/>
    </row>
    <row r="367" ht="12.75" customHeight="1">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c r="AG367" s="177"/>
    </row>
    <row r="368" ht="12.75" customHeight="1">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c r="AC368" s="177"/>
      <c r="AD368" s="177"/>
      <c r="AE368" s="177"/>
      <c r="AF368" s="177"/>
      <c r="AG368" s="177"/>
    </row>
    <row r="369" ht="12.75" customHeight="1">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c r="AD369" s="177"/>
      <c r="AE369" s="177"/>
      <c r="AF369" s="177"/>
      <c r="AG369" s="177"/>
    </row>
    <row r="370" ht="12.75" customHeight="1">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c r="AG370" s="177"/>
    </row>
    <row r="371" ht="12.75" customHeight="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177"/>
    </row>
    <row r="372" ht="12.75" customHeight="1">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177"/>
    </row>
    <row r="373" ht="12.75" customHeight="1">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c r="AD373" s="177"/>
      <c r="AE373" s="177"/>
      <c r="AF373" s="177"/>
      <c r="AG373" s="177"/>
    </row>
    <row r="374" ht="12.75" customHeight="1">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row>
    <row r="375" ht="12.75" customHeight="1">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c r="AD375" s="177"/>
      <c r="AE375" s="177"/>
      <c r="AF375" s="177"/>
      <c r="AG375" s="177"/>
    </row>
    <row r="376" ht="12.75" customHeight="1">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c r="AD376" s="177"/>
      <c r="AE376" s="177"/>
      <c r="AF376" s="177"/>
      <c r="AG376" s="177"/>
    </row>
    <row r="377" ht="12.75" customHeight="1">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c r="AC377" s="177"/>
      <c r="AD377" s="177"/>
      <c r="AE377" s="177"/>
      <c r="AF377" s="177"/>
      <c r="AG377" s="177"/>
    </row>
    <row r="378" ht="12.75" customHeight="1">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c r="AC378" s="177"/>
      <c r="AD378" s="177"/>
      <c r="AE378" s="177"/>
      <c r="AF378" s="177"/>
      <c r="AG378" s="177"/>
    </row>
    <row r="379" ht="12.75" customHeight="1">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c r="AD379" s="177"/>
      <c r="AE379" s="177"/>
      <c r="AF379" s="177"/>
      <c r="AG379" s="177"/>
    </row>
    <row r="380" ht="12.75" customHeight="1">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c r="AD380" s="177"/>
      <c r="AE380" s="177"/>
      <c r="AF380" s="177"/>
      <c r="AG380" s="177"/>
    </row>
    <row r="381" ht="12.75" customHeight="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c r="AD381" s="177"/>
      <c r="AE381" s="177"/>
      <c r="AF381" s="177"/>
      <c r="AG381" s="177"/>
    </row>
    <row r="382" ht="12.75" customHeight="1">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row>
    <row r="383" ht="12.75" customHeight="1">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c r="AD383" s="177"/>
      <c r="AE383" s="177"/>
      <c r="AF383" s="177"/>
      <c r="AG383" s="177"/>
    </row>
    <row r="384" ht="12.75" customHeight="1">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c r="AD384" s="177"/>
      <c r="AE384" s="177"/>
      <c r="AF384" s="177"/>
      <c r="AG384" s="177"/>
    </row>
    <row r="385" ht="12.75" customHeight="1">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c r="AD385" s="177"/>
      <c r="AE385" s="177"/>
      <c r="AF385" s="177"/>
      <c r="AG385" s="177"/>
    </row>
    <row r="386" ht="12.75" customHeight="1">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c r="AD386" s="177"/>
      <c r="AE386" s="177"/>
      <c r="AF386" s="177"/>
      <c r="AG386" s="177"/>
    </row>
    <row r="387" ht="12.75" customHeight="1">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c r="AD387" s="177"/>
      <c r="AE387" s="177"/>
      <c r="AF387" s="177"/>
      <c r="AG387" s="177"/>
    </row>
    <row r="388" ht="12.75" customHeight="1">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c r="AC388" s="177"/>
      <c r="AD388" s="177"/>
      <c r="AE388" s="177"/>
      <c r="AF388" s="177"/>
      <c r="AG388" s="177"/>
    </row>
    <row r="389" ht="12.75" customHeight="1">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c r="AC389" s="177"/>
      <c r="AD389" s="177"/>
      <c r="AE389" s="177"/>
      <c r="AF389" s="177"/>
      <c r="AG389" s="177"/>
    </row>
    <row r="390" ht="12.7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c r="AD390" s="177"/>
      <c r="AE390" s="177"/>
      <c r="AF390" s="177"/>
      <c r="AG390" s="177"/>
    </row>
    <row r="391" ht="12.7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c r="AD391" s="177"/>
      <c r="AE391" s="177"/>
      <c r="AF391" s="177"/>
      <c r="AG391" s="177"/>
    </row>
    <row r="392" ht="12.7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c r="AD392" s="177"/>
      <c r="AE392" s="177"/>
      <c r="AF392" s="177"/>
      <c r="AG392" s="177"/>
    </row>
    <row r="393" ht="12.7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c r="AD393" s="177"/>
      <c r="AE393" s="177"/>
      <c r="AF393" s="177"/>
      <c r="AG393" s="177"/>
    </row>
    <row r="394" ht="12.7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c r="AD394" s="177"/>
      <c r="AE394" s="177"/>
      <c r="AF394" s="177"/>
      <c r="AG394" s="177"/>
    </row>
    <row r="395" ht="12.7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c r="AC395" s="177"/>
      <c r="AD395" s="177"/>
      <c r="AE395" s="177"/>
      <c r="AF395" s="177"/>
      <c r="AG395" s="177"/>
    </row>
    <row r="396" ht="12.7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c r="AC396" s="177"/>
      <c r="AD396" s="177"/>
      <c r="AE396" s="177"/>
      <c r="AF396" s="177"/>
      <c r="AG396" s="177"/>
    </row>
    <row r="397" ht="12.7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c r="AC397" s="177"/>
      <c r="AD397" s="177"/>
      <c r="AE397" s="177"/>
      <c r="AF397" s="177"/>
      <c r="AG397" s="177"/>
    </row>
    <row r="398" ht="12.7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77"/>
      <c r="AD398" s="177"/>
      <c r="AE398" s="177"/>
      <c r="AF398" s="177"/>
      <c r="AG398" s="177"/>
    </row>
    <row r="399" ht="12.7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77"/>
      <c r="AD399" s="177"/>
      <c r="AE399" s="177"/>
      <c r="AF399" s="177"/>
      <c r="AG399" s="177"/>
    </row>
    <row r="400" ht="12.7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c r="AC400" s="177"/>
      <c r="AD400" s="177"/>
      <c r="AE400" s="177"/>
      <c r="AF400" s="177"/>
      <c r="AG400" s="177"/>
    </row>
    <row r="401" ht="12.7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c r="AC401" s="177"/>
      <c r="AD401" s="177"/>
      <c r="AE401" s="177"/>
      <c r="AF401" s="177"/>
      <c r="AG401" s="177"/>
    </row>
    <row r="402" ht="12.7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c r="AG402" s="177"/>
    </row>
    <row r="403" ht="12.7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c r="AC403" s="177"/>
      <c r="AD403" s="177"/>
      <c r="AE403" s="177"/>
      <c r="AF403" s="177"/>
      <c r="AG403" s="177"/>
    </row>
    <row r="404" ht="12.7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c r="AC404" s="177"/>
      <c r="AD404" s="177"/>
      <c r="AE404" s="177"/>
      <c r="AF404" s="177"/>
      <c r="AG404" s="177"/>
    </row>
    <row r="405" ht="12.7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c r="AC405" s="177"/>
      <c r="AD405" s="177"/>
      <c r="AE405" s="177"/>
      <c r="AF405" s="177"/>
      <c r="AG405" s="177"/>
    </row>
    <row r="406" ht="12.7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c r="AC406" s="177"/>
      <c r="AD406" s="177"/>
      <c r="AE406" s="177"/>
      <c r="AF406" s="177"/>
      <c r="AG406" s="177"/>
    </row>
    <row r="407" ht="12.7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c r="AC407" s="177"/>
      <c r="AD407" s="177"/>
      <c r="AE407" s="177"/>
      <c r="AF407" s="177"/>
      <c r="AG407" s="177"/>
    </row>
    <row r="408" ht="12.7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c r="AD408" s="177"/>
      <c r="AE408" s="177"/>
      <c r="AF408" s="177"/>
      <c r="AG408" s="177"/>
    </row>
    <row r="409" ht="12.7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c r="AD409" s="177"/>
      <c r="AE409" s="177"/>
      <c r="AF409" s="177"/>
      <c r="AG409" s="177"/>
    </row>
    <row r="410" ht="12.7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c r="AC410" s="177"/>
      <c r="AD410" s="177"/>
      <c r="AE410" s="177"/>
      <c r="AF410" s="177"/>
      <c r="AG410" s="177"/>
    </row>
    <row r="411" ht="12.7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c r="AD411" s="177"/>
      <c r="AE411" s="177"/>
      <c r="AF411" s="177"/>
      <c r="AG411" s="177"/>
    </row>
    <row r="412" ht="12.7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c r="AC412" s="177"/>
      <c r="AD412" s="177"/>
      <c r="AE412" s="177"/>
      <c r="AF412" s="177"/>
      <c r="AG412" s="177"/>
    </row>
    <row r="413" ht="12.7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c r="AC413" s="177"/>
      <c r="AD413" s="177"/>
      <c r="AE413" s="177"/>
      <c r="AF413" s="177"/>
      <c r="AG413" s="177"/>
    </row>
    <row r="414" ht="12.7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c r="AC414" s="177"/>
      <c r="AD414" s="177"/>
      <c r="AE414" s="177"/>
      <c r="AF414" s="177"/>
      <c r="AG414" s="177"/>
    </row>
    <row r="415" ht="12.7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c r="AC415" s="177"/>
      <c r="AD415" s="177"/>
      <c r="AE415" s="177"/>
      <c r="AF415" s="177"/>
      <c r="AG415" s="177"/>
    </row>
    <row r="416" ht="12.7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c r="AC416" s="177"/>
      <c r="AD416" s="177"/>
      <c r="AE416" s="177"/>
      <c r="AF416" s="177"/>
      <c r="AG416" s="177"/>
    </row>
    <row r="417" ht="12.7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row>
    <row r="418" ht="12.7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c r="AC418" s="177"/>
      <c r="AD418" s="177"/>
      <c r="AE418" s="177"/>
      <c r="AF418" s="177"/>
      <c r="AG418" s="177"/>
    </row>
    <row r="419" ht="12.7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c r="AC419" s="177"/>
      <c r="AD419" s="177"/>
      <c r="AE419" s="177"/>
      <c r="AF419" s="177"/>
      <c r="AG419" s="177"/>
    </row>
    <row r="420" ht="12.7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c r="AC420" s="177"/>
      <c r="AD420" s="177"/>
      <c r="AE420" s="177"/>
      <c r="AF420" s="177"/>
      <c r="AG420" s="177"/>
    </row>
    <row r="421" ht="12.7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c r="AC421" s="177"/>
      <c r="AD421" s="177"/>
      <c r="AE421" s="177"/>
      <c r="AF421" s="177"/>
      <c r="AG421" s="177"/>
    </row>
    <row r="422" ht="12.7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c r="AC422" s="177"/>
      <c r="AD422" s="177"/>
      <c r="AE422" s="177"/>
      <c r="AF422" s="177"/>
      <c r="AG422" s="177"/>
    </row>
    <row r="423" ht="12.7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c r="AC423" s="177"/>
      <c r="AD423" s="177"/>
      <c r="AE423" s="177"/>
      <c r="AF423" s="177"/>
      <c r="AG423" s="177"/>
    </row>
    <row r="424" ht="12.7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c r="AC424" s="177"/>
      <c r="AD424" s="177"/>
      <c r="AE424" s="177"/>
      <c r="AF424" s="177"/>
      <c r="AG424" s="177"/>
    </row>
    <row r="425" ht="12.7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c r="AD425" s="177"/>
      <c r="AE425" s="177"/>
      <c r="AF425" s="177"/>
      <c r="AG425" s="177"/>
    </row>
    <row r="426" ht="12.7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row>
    <row r="427" ht="12.7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c r="AG427" s="177"/>
    </row>
    <row r="428" ht="12.7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177"/>
    </row>
    <row r="429" ht="12.7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c r="AD429" s="177"/>
      <c r="AE429" s="177"/>
      <c r="AF429" s="177"/>
      <c r="AG429" s="177"/>
    </row>
    <row r="430" ht="12.7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c r="AG430" s="177"/>
    </row>
    <row r="431" ht="12.7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c r="AG431" s="177"/>
    </row>
    <row r="432" ht="12.7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c r="AG432" s="177"/>
    </row>
    <row r="433" ht="12.7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c r="AG433" s="177"/>
    </row>
    <row r="434" ht="12.7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c r="AG434" s="177"/>
    </row>
    <row r="435" ht="12.7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c r="AG435" s="177"/>
    </row>
    <row r="436" ht="12.7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c r="AG436" s="177"/>
    </row>
    <row r="437" ht="12.7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c r="AG437" s="177"/>
    </row>
    <row r="438" ht="12.7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c r="AG438" s="177"/>
    </row>
    <row r="439" ht="12.7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c r="AD439" s="177"/>
      <c r="AE439" s="177"/>
      <c r="AF439" s="177"/>
      <c r="AG439" s="177"/>
    </row>
    <row r="440" ht="12.7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c r="AG440" s="177"/>
    </row>
    <row r="441" ht="12.7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c r="AG441" s="177"/>
    </row>
    <row r="442" ht="12.7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c r="AG442" s="177"/>
    </row>
    <row r="443" ht="12.7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c r="AG443" s="177"/>
    </row>
    <row r="444" ht="12.7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c r="AG444" s="177"/>
    </row>
    <row r="445" ht="12.7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c r="AG445" s="177"/>
    </row>
    <row r="446" ht="12.7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c r="AG446" s="177"/>
    </row>
    <row r="447" ht="12.7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c r="AG447" s="177"/>
    </row>
    <row r="448" ht="12.7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c r="AD448" s="177"/>
      <c r="AE448" s="177"/>
      <c r="AF448" s="177"/>
      <c r="AG448" s="177"/>
    </row>
    <row r="449" ht="12.7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c r="AD449" s="177"/>
      <c r="AE449" s="177"/>
      <c r="AF449" s="177"/>
      <c r="AG449" s="177"/>
    </row>
    <row r="450" ht="12.7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c r="AG450" s="177"/>
    </row>
    <row r="451" ht="12.7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c r="AD451" s="177"/>
      <c r="AE451" s="177"/>
      <c r="AF451" s="177"/>
      <c r="AG451" s="177"/>
    </row>
    <row r="452" ht="12.7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c r="AD452" s="177"/>
      <c r="AE452" s="177"/>
      <c r="AF452" s="177"/>
      <c r="AG452" s="177"/>
    </row>
    <row r="453" ht="12.7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c r="AD453" s="177"/>
      <c r="AE453" s="177"/>
      <c r="AF453" s="177"/>
      <c r="AG453" s="177"/>
    </row>
    <row r="454" ht="12.7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c r="AD454" s="177"/>
      <c r="AE454" s="177"/>
      <c r="AF454" s="177"/>
      <c r="AG454" s="177"/>
    </row>
    <row r="455" ht="12.7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c r="AD455" s="177"/>
      <c r="AE455" s="177"/>
      <c r="AF455" s="177"/>
      <c r="AG455" s="177"/>
    </row>
    <row r="456" ht="12.7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c r="AD456" s="177"/>
      <c r="AE456" s="177"/>
      <c r="AF456" s="177"/>
      <c r="AG456" s="177"/>
    </row>
    <row r="457" ht="12.7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c r="AD457" s="177"/>
      <c r="AE457" s="177"/>
      <c r="AF457" s="177"/>
      <c r="AG457" s="177"/>
    </row>
    <row r="458" ht="12.7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c r="AD458" s="177"/>
      <c r="AE458" s="177"/>
      <c r="AF458" s="177"/>
      <c r="AG458" s="177"/>
    </row>
    <row r="459" ht="12.7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c r="AD459" s="177"/>
      <c r="AE459" s="177"/>
      <c r="AF459" s="177"/>
      <c r="AG459" s="177"/>
    </row>
    <row r="460" ht="12.7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row>
    <row r="461" ht="12.7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c r="AG461" s="177"/>
    </row>
    <row r="462" ht="12.7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c r="AG462" s="177"/>
    </row>
    <row r="463" ht="12.7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c r="AD463" s="177"/>
      <c r="AE463" s="177"/>
      <c r="AF463" s="177"/>
      <c r="AG463" s="177"/>
    </row>
    <row r="464" ht="12.7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c r="AG464" s="177"/>
    </row>
    <row r="465" ht="12.7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c r="AG465" s="177"/>
    </row>
    <row r="466" ht="12.7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c r="AG466" s="177"/>
    </row>
    <row r="467" ht="12.7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c r="AG467" s="177"/>
    </row>
    <row r="468" ht="12.7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c r="AG468" s="177"/>
    </row>
    <row r="469" ht="12.7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c r="AG469" s="177"/>
    </row>
    <row r="470" ht="12.7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row>
    <row r="471" ht="12.7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c r="AG471" s="177"/>
    </row>
    <row r="472" ht="12.7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row>
    <row r="473" ht="12.7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c r="AD473" s="177"/>
      <c r="AE473" s="177"/>
      <c r="AF473" s="177"/>
      <c r="AG473" s="177"/>
    </row>
    <row r="474" ht="12.7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c r="AG474" s="177"/>
    </row>
    <row r="475" ht="12.7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c r="AG475" s="177"/>
    </row>
    <row r="476" ht="12.7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c r="AG476" s="177"/>
    </row>
    <row r="477" ht="12.7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c r="AD477" s="177"/>
      <c r="AE477" s="177"/>
      <c r="AF477" s="177"/>
      <c r="AG477" s="177"/>
    </row>
    <row r="478" ht="12.7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c r="AG478" s="177"/>
    </row>
    <row r="479" ht="12.7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c r="AG479" s="177"/>
    </row>
    <row r="480" ht="12.7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c r="AG480" s="177"/>
    </row>
    <row r="481" ht="12.7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c r="AG481" s="177"/>
    </row>
    <row r="482" ht="12.7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c r="AG482" s="177"/>
    </row>
    <row r="483" ht="12.7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c r="AG483" s="177"/>
    </row>
    <row r="484" ht="12.7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c r="AG484" s="177"/>
    </row>
    <row r="485" ht="12.7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c r="AG485" s="177"/>
    </row>
    <row r="486" ht="12.7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c r="AD486" s="177"/>
      <c r="AE486" s="177"/>
      <c r="AF486" s="177"/>
      <c r="AG486" s="177"/>
    </row>
    <row r="487" ht="12.7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c r="AG487" s="177"/>
    </row>
    <row r="488" ht="12.7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c r="AG488" s="177"/>
    </row>
    <row r="489" ht="12.7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c r="AD489" s="177"/>
      <c r="AE489" s="177"/>
      <c r="AF489" s="177"/>
      <c r="AG489" s="177"/>
    </row>
    <row r="490" ht="12.7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c r="AD490" s="177"/>
      <c r="AE490" s="177"/>
      <c r="AF490" s="177"/>
      <c r="AG490" s="177"/>
    </row>
    <row r="491" ht="12.7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c r="AD491" s="177"/>
      <c r="AE491" s="177"/>
      <c r="AF491" s="177"/>
      <c r="AG491" s="177"/>
    </row>
    <row r="492" ht="12.7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c r="AD492" s="177"/>
      <c r="AE492" s="177"/>
      <c r="AF492" s="177"/>
      <c r="AG492" s="177"/>
    </row>
    <row r="493" ht="12.7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c r="AD493" s="177"/>
      <c r="AE493" s="177"/>
      <c r="AF493" s="177"/>
      <c r="AG493" s="177"/>
    </row>
    <row r="494" ht="12.7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77"/>
    </row>
    <row r="495" ht="12.7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c r="AD495" s="177"/>
      <c r="AE495" s="177"/>
      <c r="AF495" s="177"/>
      <c r="AG495" s="177"/>
    </row>
    <row r="496" ht="12.7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c r="AD496" s="177"/>
      <c r="AE496" s="177"/>
      <c r="AF496" s="177"/>
      <c r="AG496" s="177"/>
    </row>
    <row r="497" ht="12.7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c r="AD497" s="177"/>
      <c r="AE497" s="177"/>
      <c r="AF497" s="177"/>
      <c r="AG497" s="177"/>
    </row>
    <row r="498" ht="12.7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c r="AD498" s="177"/>
      <c r="AE498" s="177"/>
      <c r="AF498" s="177"/>
      <c r="AG498" s="177"/>
    </row>
    <row r="499" ht="12.7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c r="AD499" s="177"/>
      <c r="AE499" s="177"/>
      <c r="AF499" s="177"/>
      <c r="AG499" s="177"/>
    </row>
    <row r="500" ht="12.7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c r="AD500" s="177"/>
      <c r="AE500" s="177"/>
      <c r="AF500" s="177"/>
      <c r="AG500" s="177"/>
    </row>
    <row r="501" ht="12.7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c r="AD501" s="177"/>
      <c r="AE501" s="177"/>
      <c r="AF501" s="177"/>
      <c r="AG501" s="177"/>
    </row>
    <row r="502" ht="12.7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c r="AD502" s="177"/>
      <c r="AE502" s="177"/>
      <c r="AF502" s="177"/>
      <c r="AG502" s="177"/>
    </row>
    <row r="503" ht="12.7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row>
    <row r="504" ht="12.7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c r="AD504" s="177"/>
      <c r="AE504" s="177"/>
      <c r="AF504" s="177"/>
      <c r="AG504" s="177"/>
    </row>
    <row r="505" ht="12.7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c r="AG505" s="177"/>
    </row>
    <row r="506" ht="12.7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c r="AD506" s="177"/>
      <c r="AE506" s="177"/>
      <c r="AF506" s="177"/>
      <c r="AG506" s="177"/>
    </row>
    <row r="507" ht="12.7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c r="AD507" s="177"/>
      <c r="AE507" s="177"/>
      <c r="AF507" s="177"/>
      <c r="AG507" s="177"/>
    </row>
    <row r="508" ht="12.7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c r="AD508" s="177"/>
      <c r="AE508" s="177"/>
      <c r="AF508" s="177"/>
      <c r="AG508" s="177"/>
    </row>
    <row r="509" ht="12.7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c r="AD509" s="177"/>
      <c r="AE509" s="177"/>
      <c r="AF509" s="177"/>
      <c r="AG509" s="177"/>
    </row>
    <row r="510" ht="12.7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c r="AD510" s="177"/>
      <c r="AE510" s="177"/>
      <c r="AF510" s="177"/>
      <c r="AG510" s="177"/>
    </row>
    <row r="511" ht="12.7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c r="AD511" s="177"/>
      <c r="AE511" s="177"/>
      <c r="AF511" s="177"/>
      <c r="AG511" s="177"/>
    </row>
    <row r="512" ht="12.7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c r="AF512" s="177"/>
      <c r="AG512" s="177"/>
    </row>
    <row r="513" ht="12.7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c r="AF513" s="177"/>
      <c r="AG513" s="177"/>
    </row>
    <row r="514" ht="12.7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row>
    <row r="515" ht="12.7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c r="AG515" s="177"/>
    </row>
    <row r="516" ht="12.7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c r="AF516" s="177"/>
      <c r="AG516" s="177"/>
    </row>
    <row r="517" ht="12.7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c r="AG517" s="177"/>
    </row>
    <row r="518" ht="12.7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c r="AF518" s="177"/>
      <c r="AG518" s="177"/>
    </row>
    <row r="519" ht="12.7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c r="AG519" s="177"/>
    </row>
    <row r="520" ht="12.7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c r="AF520" s="177"/>
      <c r="AG520" s="177"/>
    </row>
    <row r="521" ht="12.7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c r="AF521" s="177"/>
      <c r="AG521" s="177"/>
    </row>
    <row r="522" ht="12.7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c r="AF522" s="177"/>
      <c r="AG522" s="177"/>
    </row>
    <row r="523" ht="12.7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c r="AF523" s="177"/>
      <c r="AG523" s="177"/>
    </row>
    <row r="524" ht="12.7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c r="AF524" s="177"/>
      <c r="AG524" s="177"/>
    </row>
    <row r="525" ht="12.7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c r="AF525" s="177"/>
      <c r="AG525" s="177"/>
    </row>
    <row r="526" ht="12.7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c r="AG526" s="177"/>
    </row>
    <row r="527" ht="12.7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c r="AF527" s="177"/>
      <c r="AG527" s="177"/>
    </row>
    <row r="528" ht="12.7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c r="AF528" s="177"/>
      <c r="AG528" s="177"/>
    </row>
    <row r="529" ht="12.7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c r="AF529" s="177"/>
      <c r="AG529" s="177"/>
    </row>
    <row r="530" ht="12.7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c r="AF530" s="177"/>
      <c r="AG530" s="177"/>
    </row>
    <row r="531" ht="12.7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c r="AF531" s="177"/>
      <c r="AG531" s="177"/>
    </row>
    <row r="532" ht="12.7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c r="AF532" s="177"/>
      <c r="AG532" s="177"/>
    </row>
    <row r="533" ht="12.7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c r="AF533" s="177"/>
      <c r="AG533" s="177"/>
    </row>
    <row r="534" ht="12.7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c r="AF534" s="177"/>
      <c r="AG534" s="177"/>
    </row>
    <row r="535" ht="12.7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c r="AF535" s="177"/>
      <c r="AG535" s="177"/>
    </row>
    <row r="536" ht="12.7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c r="AF536" s="177"/>
      <c r="AG536" s="177"/>
    </row>
    <row r="537" ht="12.7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c r="AF537" s="177"/>
      <c r="AG537" s="177"/>
    </row>
    <row r="538" ht="12.7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c r="AF538" s="177"/>
      <c r="AG538" s="177"/>
    </row>
    <row r="539" ht="12.7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c r="AF539" s="177"/>
      <c r="AG539" s="177"/>
    </row>
    <row r="540" ht="12.7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c r="AF540" s="177"/>
      <c r="AG540" s="177"/>
    </row>
    <row r="541" ht="12.7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c r="AF541" s="177"/>
      <c r="AG541" s="177"/>
    </row>
    <row r="542" ht="12.7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c r="AF542" s="177"/>
      <c r="AG542" s="177"/>
    </row>
    <row r="543" ht="12.7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c r="AF543" s="177"/>
      <c r="AG543" s="177"/>
    </row>
    <row r="544" ht="12.7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c r="AF544" s="177"/>
      <c r="AG544" s="177"/>
    </row>
    <row r="545" ht="12.7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c r="AF545" s="177"/>
      <c r="AG545" s="177"/>
    </row>
    <row r="546" ht="12.7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c r="AF546" s="177"/>
      <c r="AG546" s="177"/>
    </row>
    <row r="547" ht="12.7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c r="AF547" s="177"/>
      <c r="AG547" s="177"/>
    </row>
    <row r="548" ht="12.7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c r="AF548" s="177"/>
      <c r="AG548" s="177"/>
    </row>
    <row r="549" ht="12.7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c r="AF549" s="177"/>
      <c r="AG549" s="177"/>
    </row>
    <row r="550" ht="12.7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c r="AF550" s="177"/>
      <c r="AG550" s="177"/>
    </row>
    <row r="551" ht="12.7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c r="AF551" s="177"/>
      <c r="AG551" s="177"/>
    </row>
    <row r="552" ht="12.7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c r="AF552" s="177"/>
      <c r="AG552" s="177"/>
    </row>
    <row r="553" ht="12.7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c r="AF553" s="177"/>
      <c r="AG553" s="177"/>
    </row>
    <row r="554" ht="12.7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c r="AF554" s="177"/>
      <c r="AG554" s="177"/>
    </row>
    <row r="555" ht="12.7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c r="AF555" s="177"/>
      <c r="AG555" s="177"/>
    </row>
    <row r="556" ht="12.7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c r="AF556" s="177"/>
      <c r="AG556" s="177"/>
    </row>
    <row r="557" ht="12.7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c r="AF557" s="177"/>
      <c r="AG557" s="177"/>
    </row>
    <row r="558" ht="12.7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c r="AF558" s="177"/>
      <c r="AG558" s="177"/>
    </row>
    <row r="559" ht="12.7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c r="AF559" s="177"/>
      <c r="AG559" s="177"/>
    </row>
    <row r="560" ht="12.7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c r="AF560" s="177"/>
      <c r="AG560" s="177"/>
    </row>
    <row r="561" ht="12.7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c r="AF561" s="177"/>
      <c r="AG561" s="177"/>
    </row>
    <row r="562" ht="12.7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c r="AF562" s="177"/>
      <c r="AG562" s="177"/>
    </row>
    <row r="563" ht="12.7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c r="AF563" s="177"/>
      <c r="AG563" s="177"/>
    </row>
    <row r="564" ht="12.7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c r="AF564" s="177"/>
      <c r="AG564" s="177"/>
    </row>
    <row r="565" ht="12.7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c r="AF565" s="177"/>
      <c r="AG565" s="177"/>
    </row>
    <row r="566" ht="12.7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c r="AF566" s="177"/>
      <c r="AG566" s="177"/>
    </row>
    <row r="567" ht="12.7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c r="AF567" s="177"/>
      <c r="AG567" s="177"/>
    </row>
    <row r="568" ht="12.7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c r="AG568" s="177"/>
    </row>
    <row r="569" ht="12.7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c r="AF569" s="177"/>
      <c r="AG569" s="177"/>
    </row>
    <row r="570" ht="12.7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c r="AF570" s="177"/>
      <c r="AG570" s="177"/>
    </row>
    <row r="571" ht="12.7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c r="AF571" s="177"/>
      <c r="AG571" s="177"/>
    </row>
    <row r="572" ht="12.7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c r="AF572" s="177"/>
      <c r="AG572" s="177"/>
    </row>
    <row r="573" ht="12.7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c r="AF573" s="177"/>
      <c r="AG573" s="177"/>
    </row>
    <row r="574" ht="12.7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c r="AF574" s="177"/>
      <c r="AG574" s="177"/>
    </row>
    <row r="575" ht="12.7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c r="AF575" s="177"/>
      <c r="AG575" s="177"/>
    </row>
    <row r="576" ht="12.7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c r="AF576" s="177"/>
      <c r="AG576" s="177"/>
    </row>
    <row r="577" ht="12.7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c r="AF577" s="177"/>
      <c r="AG577" s="177"/>
    </row>
    <row r="578" ht="12.7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c r="AF578" s="177"/>
      <c r="AG578" s="177"/>
    </row>
    <row r="579" ht="12.7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c r="AF579" s="177"/>
      <c r="AG579" s="177"/>
    </row>
    <row r="580" ht="12.7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row>
    <row r="581" ht="12.7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c r="AG581" s="177"/>
    </row>
    <row r="582" ht="12.7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c r="AG582" s="177"/>
    </row>
    <row r="583" ht="12.7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c r="AG583" s="177"/>
    </row>
    <row r="584" ht="12.7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c r="AG584" s="177"/>
    </row>
    <row r="585" ht="12.7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c r="AG585" s="177"/>
    </row>
    <row r="586" ht="12.7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c r="AG586" s="177"/>
    </row>
    <row r="587" ht="12.7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c r="AG587" s="177"/>
    </row>
    <row r="588" ht="12.7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c r="AG588" s="177"/>
    </row>
    <row r="589" ht="12.7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c r="AG589" s="177"/>
    </row>
    <row r="590" ht="12.7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c r="AG590" s="177"/>
    </row>
    <row r="591" ht="12.7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c r="AG591" s="177"/>
    </row>
    <row r="592" ht="12.7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c r="AF592" s="177"/>
      <c r="AG592" s="177"/>
    </row>
    <row r="593" ht="12.7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c r="AF593" s="177"/>
      <c r="AG593" s="177"/>
    </row>
    <row r="594" ht="12.7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c r="AF594" s="177"/>
      <c r="AG594" s="177"/>
    </row>
    <row r="595" ht="12.7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c r="AF595" s="177"/>
      <c r="AG595" s="177"/>
    </row>
    <row r="596" ht="12.7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c r="AG596" s="177"/>
    </row>
    <row r="597" ht="12.7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c r="AG597" s="177"/>
    </row>
    <row r="598" ht="12.7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c r="AG598" s="177"/>
    </row>
    <row r="599" ht="12.7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c r="AG599" s="177"/>
    </row>
    <row r="600" ht="12.7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c r="AG600" s="177"/>
    </row>
    <row r="601" ht="12.7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c r="AF601" s="177"/>
      <c r="AG601" s="177"/>
    </row>
    <row r="602" ht="12.7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c r="AF602" s="177"/>
      <c r="AG602" s="177"/>
    </row>
    <row r="603" ht="12.7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c r="AF603" s="177"/>
      <c r="AG603" s="177"/>
    </row>
    <row r="604" ht="12.7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c r="AG604" s="177"/>
    </row>
    <row r="605" ht="12.7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c r="AG605" s="177"/>
    </row>
    <row r="606" ht="12.7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c r="AG606" s="177"/>
    </row>
    <row r="607" ht="12.7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row>
    <row r="608" ht="12.7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row>
    <row r="609" ht="12.7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row>
    <row r="610" ht="12.7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row>
    <row r="611" ht="12.7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row>
    <row r="612" ht="12.7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row>
    <row r="613" ht="12.7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row>
    <row r="614" ht="12.7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row>
    <row r="615" ht="12.7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c r="AG615" s="177"/>
    </row>
    <row r="616" ht="12.7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c r="AG616" s="177"/>
    </row>
    <row r="617" ht="12.7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c r="AG617" s="177"/>
    </row>
    <row r="618" ht="12.7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c r="AG618" s="177"/>
    </row>
    <row r="619" ht="12.7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c r="AG619" s="177"/>
    </row>
    <row r="620" ht="12.7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row>
    <row r="621" ht="12.7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row>
    <row r="622" ht="12.7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c r="AG622" s="177"/>
    </row>
    <row r="623" ht="12.7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c r="AG623" s="177"/>
    </row>
    <row r="624" ht="12.7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c r="AG624" s="177"/>
    </row>
    <row r="625" ht="12.7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row>
    <row r="626" ht="12.7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row>
    <row r="627" ht="12.7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c r="AG627" s="177"/>
    </row>
    <row r="628" ht="12.7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c r="AG628" s="177"/>
    </row>
    <row r="629" ht="12.7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row>
    <row r="630" ht="12.7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row>
    <row r="631" ht="12.7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row>
    <row r="632" ht="12.7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row>
    <row r="633" ht="12.7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row>
    <row r="634" ht="12.7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row>
    <row r="635" ht="12.7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row>
    <row r="636" ht="12.7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row>
    <row r="637" ht="12.7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row>
    <row r="638" ht="12.7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row>
    <row r="639" ht="12.7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row>
    <row r="640" ht="12.7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row>
    <row r="641" ht="12.7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row>
    <row r="642" ht="12.7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row>
    <row r="643" ht="12.7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77"/>
    </row>
    <row r="644" ht="12.7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c r="AG644" s="177"/>
    </row>
    <row r="645" ht="12.7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c r="AG645" s="177"/>
    </row>
    <row r="646" ht="12.7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77"/>
    </row>
    <row r="647" ht="12.7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77"/>
    </row>
    <row r="648" ht="12.7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77"/>
    </row>
    <row r="649" ht="12.7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c r="AG649" s="177"/>
    </row>
    <row r="650" ht="12.7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c r="AG650" s="177"/>
    </row>
    <row r="651" ht="12.7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c r="AG651" s="177"/>
    </row>
    <row r="652" ht="12.7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c r="AG652" s="177"/>
    </row>
    <row r="653" ht="12.7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c r="AG653" s="177"/>
    </row>
    <row r="654" ht="12.7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c r="AG654" s="177"/>
    </row>
    <row r="655" ht="12.7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row>
    <row r="656" ht="12.7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row>
    <row r="657" ht="12.7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row>
    <row r="658" ht="12.7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row>
    <row r="659" ht="12.7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row>
    <row r="660" ht="12.7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row>
    <row r="661" ht="12.7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row>
    <row r="662" ht="12.7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row>
    <row r="663" ht="12.7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row>
    <row r="664" ht="12.7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row>
    <row r="665" ht="12.7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row>
    <row r="666" ht="12.7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row>
    <row r="667" ht="12.7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c r="AG667" s="177"/>
    </row>
    <row r="668" ht="12.7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row>
    <row r="669" ht="12.7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row>
    <row r="670" ht="12.7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row>
    <row r="671" ht="12.7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row>
    <row r="672" ht="12.7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c r="AG672" s="177"/>
    </row>
    <row r="673" ht="12.7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c r="AG673" s="177"/>
    </row>
    <row r="674" ht="12.7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c r="AG674" s="177"/>
    </row>
    <row r="675" ht="12.7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c r="AG675" s="177"/>
    </row>
    <row r="676" ht="12.7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c r="AG676" s="177"/>
    </row>
    <row r="677" ht="12.7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c r="AG677" s="177"/>
    </row>
    <row r="678" ht="12.7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c r="AG678" s="177"/>
    </row>
    <row r="679" ht="12.7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c r="AG679" s="177"/>
    </row>
    <row r="680" ht="12.7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c r="AG680" s="177"/>
    </row>
    <row r="681" ht="12.7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c r="AG681" s="177"/>
    </row>
    <row r="682" ht="12.7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c r="AG682" s="177"/>
    </row>
    <row r="683" ht="12.7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c r="AG683" s="177"/>
    </row>
    <row r="684" ht="12.7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c r="AG684" s="177"/>
    </row>
    <row r="685" ht="12.7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c r="AG685" s="177"/>
    </row>
    <row r="686" ht="12.7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c r="AG686" s="177"/>
    </row>
    <row r="687" ht="12.7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c r="AG687" s="177"/>
    </row>
    <row r="688" ht="12.7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c r="AG688" s="177"/>
    </row>
    <row r="689" ht="12.7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c r="AG689" s="177"/>
    </row>
    <row r="690" ht="12.7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row>
    <row r="691" ht="12.7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row>
    <row r="692" ht="12.7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c r="AG692" s="177"/>
    </row>
    <row r="693" ht="12.7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c r="AG693" s="177"/>
    </row>
    <row r="694" ht="12.7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c r="AG694" s="177"/>
    </row>
    <row r="695" ht="12.7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c r="AG695" s="177"/>
    </row>
    <row r="696" ht="12.7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c r="AG696" s="177"/>
    </row>
    <row r="697" ht="12.7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c r="AG697" s="177"/>
    </row>
    <row r="698" ht="12.7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c r="AG698" s="177"/>
    </row>
    <row r="699" ht="12.7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c r="AG699" s="177"/>
    </row>
    <row r="700" ht="12.7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c r="AG700" s="177"/>
    </row>
    <row r="701" ht="12.7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c r="AG701" s="177"/>
    </row>
    <row r="702" ht="12.7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c r="AG702" s="177"/>
    </row>
    <row r="703" ht="12.7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c r="AG703" s="177"/>
    </row>
    <row r="704" ht="12.7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c r="AG704" s="177"/>
    </row>
    <row r="705" ht="12.7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c r="AG705" s="177"/>
    </row>
    <row r="706" ht="12.7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c r="AG706" s="177"/>
    </row>
    <row r="707" ht="12.7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c r="AG707" s="177"/>
    </row>
    <row r="708" ht="12.7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c r="AG708" s="177"/>
    </row>
    <row r="709" ht="12.7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c r="AG709" s="177"/>
    </row>
    <row r="710" ht="12.7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c r="AG710" s="177"/>
    </row>
    <row r="711" ht="12.7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c r="AG711" s="177"/>
    </row>
    <row r="712" ht="12.7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c r="AG712" s="177"/>
    </row>
    <row r="713" ht="12.7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c r="AG713" s="177"/>
    </row>
    <row r="714" ht="12.7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c r="AG714" s="177"/>
    </row>
    <row r="715" ht="12.7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c r="AG715" s="177"/>
    </row>
    <row r="716" ht="12.7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c r="AG716" s="177"/>
    </row>
    <row r="717" ht="12.7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c r="AG717" s="177"/>
    </row>
    <row r="718" ht="12.7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c r="AG718" s="177"/>
    </row>
    <row r="719" ht="12.7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c r="AG719" s="177"/>
    </row>
    <row r="720" ht="12.7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c r="AG720" s="177"/>
    </row>
    <row r="721" ht="12.7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c r="AG721" s="177"/>
    </row>
    <row r="722" ht="12.7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c r="AG722" s="177"/>
    </row>
    <row r="723" ht="12.7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c r="AG723" s="177"/>
    </row>
    <row r="724" ht="12.7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c r="AG724" s="177"/>
    </row>
    <row r="725" ht="12.7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c r="AG725" s="177"/>
    </row>
    <row r="726" ht="12.7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c r="AG726" s="177"/>
    </row>
    <row r="727" ht="12.7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c r="AG727" s="177"/>
    </row>
    <row r="728" ht="12.7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c r="AG728" s="177"/>
    </row>
    <row r="729" ht="12.7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c r="AG729" s="177"/>
    </row>
    <row r="730" ht="12.7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c r="AG730" s="177"/>
    </row>
    <row r="731" ht="12.7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c r="AG731" s="177"/>
    </row>
    <row r="732" ht="12.7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c r="AG732" s="177"/>
    </row>
    <row r="733" ht="12.7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c r="AG733" s="177"/>
    </row>
    <row r="734" ht="12.7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c r="AG734" s="177"/>
    </row>
    <row r="735" ht="12.7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c r="AG735" s="177"/>
    </row>
    <row r="736" ht="12.7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c r="AG736" s="177"/>
    </row>
    <row r="737" ht="12.7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c r="AG737" s="177"/>
    </row>
    <row r="738" ht="12.7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c r="AG738" s="177"/>
    </row>
    <row r="739" ht="12.7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c r="AG739" s="177"/>
    </row>
    <row r="740" ht="12.7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c r="AG740" s="177"/>
    </row>
    <row r="741" ht="12.7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c r="AG741" s="177"/>
    </row>
    <row r="742" ht="12.7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c r="AG742" s="177"/>
    </row>
    <row r="743" ht="12.7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c r="AG743" s="177"/>
    </row>
    <row r="744" ht="12.7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c r="AG744" s="177"/>
    </row>
    <row r="745" ht="12.7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c r="AG745" s="177"/>
    </row>
    <row r="746" ht="12.7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c r="AG746" s="177"/>
    </row>
    <row r="747" ht="12.7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c r="AG747" s="177"/>
    </row>
    <row r="748" ht="12.7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c r="AG748" s="177"/>
    </row>
    <row r="749" ht="12.7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c r="AG749" s="177"/>
    </row>
    <row r="750" ht="12.7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c r="AG750" s="177"/>
    </row>
    <row r="751" ht="12.7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c r="AG751" s="177"/>
    </row>
    <row r="752" ht="12.7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c r="AG752" s="177"/>
    </row>
    <row r="753" ht="12.7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c r="AG753" s="177"/>
    </row>
    <row r="754" ht="12.7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c r="AG754" s="177"/>
    </row>
    <row r="755" ht="12.7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c r="AG755" s="177"/>
    </row>
    <row r="756" ht="12.7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c r="AG756" s="177"/>
    </row>
    <row r="757" ht="12.7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c r="AG757" s="177"/>
    </row>
    <row r="758" ht="12.7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c r="AG758" s="177"/>
    </row>
    <row r="759" ht="12.7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c r="AG759" s="177"/>
    </row>
    <row r="760" ht="12.7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c r="AG760" s="177"/>
    </row>
    <row r="761" ht="12.7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c r="AG761" s="177"/>
    </row>
    <row r="762" ht="12.7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c r="AG762" s="177"/>
    </row>
    <row r="763" ht="12.7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c r="AG763" s="177"/>
    </row>
    <row r="764" ht="12.7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c r="AG764" s="177"/>
    </row>
    <row r="765" ht="12.7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c r="AG765" s="177"/>
    </row>
    <row r="766" ht="12.7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c r="AG766" s="177"/>
    </row>
    <row r="767" ht="12.7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c r="AG767" s="177"/>
    </row>
    <row r="768" ht="12.7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c r="AG768" s="177"/>
    </row>
    <row r="769" ht="12.7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c r="AG769" s="177"/>
    </row>
    <row r="770" ht="12.7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c r="AG770" s="177"/>
    </row>
    <row r="771" ht="12.7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c r="AG771" s="177"/>
    </row>
    <row r="772" ht="12.7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c r="AG772" s="177"/>
    </row>
    <row r="773" ht="12.7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row>
    <row r="774" ht="12.7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row>
    <row r="775" ht="12.7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c r="AG775" s="177"/>
    </row>
    <row r="776" ht="12.7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c r="AG776" s="177"/>
    </row>
    <row r="777" ht="12.7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c r="AG777" s="177"/>
    </row>
    <row r="778" ht="12.7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c r="AG778" s="177"/>
    </row>
    <row r="779" ht="12.7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c r="AG779" s="177"/>
    </row>
    <row r="780" ht="12.7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c r="AG780" s="177"/>
    </row>
    <row r="781" ht="12.7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c r="AG781" s="177"/>
    </row>
    <row r="782" ht="12.7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c r="AG782" s="177"/>
    </row>
    <row r="783" ht="12.7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c r="AG783" s="177"/>
    </row>
    <row r="784" ht="12.7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c r="AG784" s="177"/>
    </row>
    <row r="785" ht="12.7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c r="AG785" s="177"/>
    </row>
    <row r="786" ht="12.7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c r="AG786" s="177"/>
    </row>
    <row r="787" ht="12.7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c r="AG787" s="177"/>
    </row>
    <row r="788" ht="12.7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c r="AG788" s="177"/>
    </row>
    <row r="789" ht="12.7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c r="AG789" s="177"/>
    </row>
    <row r="790" ht="12.7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c r="AG790" s="177"/>
    </row>
    <row r="791" ht="12.7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c r="AG791" s="177"/>
    </row>
    <row r="792" ht="12.7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c r="AG792" s="177"/>
    </row>
    <row r="793" ht="12.7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c r="AG793" s="177"/>
    </row>
    <row r="794" ht="12.7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c r="AG794" s="177"/>
    </row>
    <row r="795" ht="12.7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c r="AG795" s="177"/>
    </row>
    <row r="796" ht="12.7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c r="AG796" s="177"/>
    </row>
    <row r="797" ht="12.7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c r="AG797" s="177"/>
    </row>
    <row r="798" ht="12.7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c r="AG798" s="177"/>
    </row>
    <row r="799" ht="12.7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c r="AG799" s="177"/>
    </row>
    <row r="800" ht="12.7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c r="AG800" s="177"/>
    </row>
    <row r="801" ht="12.7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c r="AG801" s="177"/>
    </row>
    <row r="802" ht="12.7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c r="AG802" s="177"/>
    </row>
    <row r="803" ht="12.7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c r="AG803" s="177"/>
    </row>
    <row r="804" ht="12.7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c r="AG804" s="177"/>
    </row>
    <row r="805" ht="12.7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c r="AG805" s="177"/>
    </row>
    <row r="806" ht="12.7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c r="AG806" s="177"/>
    </row>
    <row r="807" ht="12.7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c r="AG807" s="177"/>
    </row>
    <row r="808" ht="12.7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c r="AG808" s="177"/>
    </row>
    <row r="809" ht="12.7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c r="AG809" s="177"/>
    </row>
    <row r="810" ht="12.7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c r="AG810" s="177"/>
    </row>
    <row r="811" ht="12.7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c r="AG811" s="177"/>
    </row>
    <row r="812" ht="12.7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c r="AG812" s="177"/>
    </row>
    <row r="813" ht="12.7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c r="AG813" s="177"/>
    </row>
    <row r="814" ht="12.7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c r="AG814" s="177"/>
    </row>
    <row r="815" ht="12.7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c r="AG815" s="177"/>
    </row>
    <row r="816" ht="12.7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c r="AG816" s="177"/>
    </row>
    <row r="817" ht="12.7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c r="AG817" s="177"/>
    </row>
    <row r="818" ht="12.7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c r="AG818" s="177"/>
    </row>
    <row r="819" ht="12.7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c r="AG819" s="177"/>
    </row>
    <row r="820" ht="12.7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c r="AG820" s="177"/>
    </row>
    <row r="821" ht="12.7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c r="AG821" s="177"/>
    </row>
    <row r="822" ht="12.7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c r="AG822" s="177"/>
    </row>
    <row r="823" ht="12.7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c r="AG823" s="177"/>
    </row>
    <row r="824" ht="12.7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c r="AG824" s="177"/>
    </row>
    <row r="825" ht="12.7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c r="AG825" s="177"/>
    </row>
    <row r="826" ht="12.7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c r="AG826" s="177"/>
    </row>
    <row r="827" ht="12.7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c r="AG827" s="177"/>
    </row>
    <row r="828" ht="12.7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c r="AG828" s="177"/>
    </row>
    <row r="829" ht="12.7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c r="AG829" s="177"/>
    </row>
    <row r="830" ht="12.7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c r="AG830" s="177"/>
    </row>
    <row r="831" ht="12.7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c r="AG831" s="177"/>
    </row>
    <row r="832" ht="12.7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c r="AG832" s="177"/>
    </row>
    <row r="833" ht="12.7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c r="AG833" s="177"/>
    </row>
    <row r="834" ht="12.7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c r="AG834" s="177"/>
    </row>
    <row r="835" ht="12.7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c r="AG835" s="177"/>
    </row>
    <row r="836" ht="12.7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c r="AG836" s="177"/>
    </row>
    <row r="837" ht="12.7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c r="AG837" s="177"/>
    </row>
    <row r="838" ht="12.7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c r="AG838" s="177"/>
    </row>
    <row r="839" ht="12.7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c r="AG839" s="177"/>
    </row>
    <row r="840" ht="12.7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c r="AG840" s="177"/>
    </row>
    <row r="841" ht="12.7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c r="AG841" s="177"/>
    </row>
    <row r="842" ht="12.7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c r="AG842" s="177"/>
    </row>
    <row r="843" ht="12.7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c r="AG843" s="177"/>
    </row>
    <row r="844" ht="12.7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c r="AG844" s="177"/>
    </row>
    <row r="845" ht="12.7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c r="AG845" s="177"/>
    </row>
    <row r="846" ht="12.7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c r="AG846" s="177"/>
    </row>
    <row r="847" ht="12.7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c r="AG847" s="177"/>
    </row>
    <row r="848" ht="12.7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c r="AG848" s="177"/>
    </row>
    <row r="849" ht="12.7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c r="AG849" s="177"/>
    </row>
    <row r="850" ht="12.7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c r="AG850" s="177"/>
    </row>
    <row r="851" ht="12.7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c r="AG851" s="177"/>
    </row>
    <row r="852" ht="12.7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c r="AG852" s="177"/>
    </row>
    <row r="853" ht="12.7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c r="AG853" s="177"/>
    </row>
    <row r="854" ht="12.7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c r="AG854" s="177"/>
    </row>
    <row r="855" ht="12.7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c r="AG855" s="177"/>
    </row>
    <row r="856" ht="12.7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row>
    <row r="857" ht="12.7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row>
    <row r="858" ht="12.7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row>
    <row r="859" ht="12.7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row>
    <row r="860" ht="12.7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row>
    <row r="861" ht="12.7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row>
    <row r="862" ht="12.7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row>
    <row r="863" ht="12.7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row>
    <row r="864" ht="12.7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row>
    <row r="865" ht="12.7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row>
    <row r="866" ht="12.7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c r="AG866" s="177"/>
    </row>
    <row r="867" ht="12.7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c r="AG867" s="177"/>
    </row>
    <row r="868" ht="12.7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c r="AG868" s="177"/>
    </row>
    <row r="869" ht="12.7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c r="AG869" s="177"/>
    </row>
    <row r="870" ht="12.7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c r="AG870" s="177"/>
    </row>
    <row r="871" ht="12.7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c r="AG871" s="177"/>
    </row>
    <row r="872" ht="12.7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c r="AG872" s="177"/>
    </row>
    <row r="873" ht="12.7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c r="AG873" s="177"/>
    </row>
    <row r="874" ht="12.7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c r="AG874" s="177"/>
    </row>
    <row r="875" ht="12.7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c r="AG875" s="177"/>
    </row>
    <row r="876" ht="12.7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c r="AG876" s="177"/>
    </row>
    <row r="877" ht="12.7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c r="AG877" s="177"/>
    </row>
    <row r="878" ht="12.7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c r="AG878" s="177"/>
    </row>
    <row r="879" ht="12.7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c r="AG879" s="177"/>
    </row>
    <row r="880" ht="12.7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c r="AG880" s="177"/>
    </row>
    <row r="881" ht="12.7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c r="AG881" s="177"/>
    </row>
    <row r="882" ht="12.7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c r="AG882" s="177"/>
    </row>
    <row r="883" ht="12.7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c r="AG883" s="177"/>
    </row>
    <row r="884" ht="12.7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c r="AG884" s="177"/>
    </row>
    <row r="885" ht="12.7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c r="AG885" s="177"/>
    </row>
    <row r="886" ht="12.7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c r="AG886" s="177"/>
    </row>
    <row r="887" ht="12.7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c r="AG887" s="177"/>
    </row>
    <row r="888" ht="12.7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c r="AG888" s="177"/>
    </row>
    <row r="889" ht="12.7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c r="AG889" s="177"/>
    </row>
    <row r="890" ht="12.7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c r="AG890" s="177"/>
    </row>
    <row r="891" ht="12.7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c r="AG891" s="177"/>
    </row>
    <row r="892" ht="12.7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c r="AG892" s="177"/>
    </row>
    <row r="893" ht="12.7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c r="AG893" s="177"/>
    </row>
    <row r="894" ht="12.7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c r="AG894" s="177"/>
    </row>
    <row r="895" ht="12.7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c r="AG895" s="177"/>
    </row>
    <row r="896" ht="12.7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c r="AG896" s="177"/>
    </row>
    <row r="897" ht="12.7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c r="AG897" s="177"/>
    </row>
    <row r="898" ht="12.7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c r="AG898" s="177"/>
    </row>
    <row r="899" ht="12.7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c r="AG899" s="177"/>
    </row>
    <row r="900" ht="12.7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c r="AG900" s="177"/>
    </row>
    <row r="901" ht="12.7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c r="AG901" s="177"/>
    </row>
    <row r="902" ht="12.7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c r="AG902" s="177"/>
    </row>
    <row r="903" ht="12.7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c r="AG903" s="177"/>
    </row>
    <row r="904" ht="12.7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c r="AG904" s="177"/>
    </row>
    <row r="905" ht="12.7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c r="AG905" s="177"/>
    </row>
    <row r="906" ht="12.7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c r="AG906" s="177"/>
    </row>
    <row r="907" ht="12.7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c r="AG907" s="177"/>
    </row>
    <row r="908" ht="12.7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c r="AG908" s="177"/>
    </row>
    <row r="909" ht="12.7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c r="AF909" s="177"/>
      <c r="AG909" s="177"/>
    </row>
    <row r="910" ht="12.7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c r="AF910" s="177"/>
      <c r="AG910" s="177"/>
    </row>
    <row r="911" ht="12.7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c r="AF911" s="177"/>
      <c r="AG911" s="177"/>
    </row>
    <row r="912" ht="12.7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c r="AF912" s="177"/>
      <c r="AG912" s="177"/>
    </row>
    <row r="913" ht="12.7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c r="AF913" s="177"/>
      <c r="AG913" s="177"/>
    </row>
    <row r="914" ht="12.7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c r="AF914" s="177"/>
      <c r="AG914" s="177"/>
    </row>
    <row r="915" ht="12.7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c r="AF915" s="177"/>
      <c r="AG915" s="177"/>
    </row>
    <row r="916" ht="12.7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c r="AF916" s="177"/>
      <c r="AG916" s="177"/>
    </row>
    <row r="917" ht="12.7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c r="AF917" s="177"/>
      <c r="AG917" s="177"/>
    </row>
    <row r="918" ht="12.7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c r="AF918" s="177"/>
      <c r="AG918" s="177"/>
    </row>
    <row r="919" ht="12.7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c r="AF919" s="177"/>
      <c r="AG919" s="177"/>
    </row>
    <row r="920" ht="12.7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c r="AF920" s="177"/>
      <c r="AG920" s="177"/>
    </row>
    <row r="921" ht="12.7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c r="AF921" s="177"/>
      <c r="AG921" s="177"/>
    </row>
    <row r="922" ht="12.7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c r="AF922" s="177"/>
      <c r="AG922" s="177"/>
    </row>
    <row r="923" ht="12.7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c r="AF923" s="177"/>
      <c r="AG923" s="177"/>
    </row>
    <row r="924" ht="12.7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c r="AF924" s="177"/>
      <c r="AG924" s="177"/>
    </row>
    <row r="925" ht="12.7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c r="AF925" s="177"/>
      <c r="AG925" s="177"/>
    </row>
    <row r="926" ht="12.7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c r="AF926" s="177"/>
      <c r="AG926" s="177"/>
    </row>
    <row r="927" ht="12.7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c r="AF927" s="177"/>
      <c r="AG927" s="177"/>
    </row>
    <row r="928" ht="12.7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c r="AF928" s="177"/>
      <c r="AG928" s="177"/>
    </row>
    <row r="929" ht="12.7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c r="AF929" s="177"/>
      <c r="AG929" s="177"/>
    </row>
    <row r="930" ht="12.7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c r="AF930" s="177"/>
      <c r="AG930" s="177"/>
    </row>
    <row r="931" ht="12.7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c r="AF931" s="177"/>
      <c r="AG931" s="177"/>
    </row>
    <row r="932" ht="12.7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c r="AF932" s="177"/>
      <c r="AG932" s="177"/>
    </row>
    <row r="933" ht="12.7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c r="AF933" s="177"/>
      <c r="AG933" s="177"/>
    </row>
    <row r="934" ht="12.7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c r="AF934" s="177"/>
      <c r="AG934" s="177"/>
    </row>
    <row r="935" ht="12.7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c r="AF935" s="177"/>
      <c r="AG935" s="177"/>
    </row>
    <row r="936" ht="12.7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c r="AF936" s="177"/>
      <c r="AG936" s="177"/>
    </row>
    <row r="937" ht="12.7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c r="AF937" s="177"/>
      <c r="AG937" s="177"/>
    </row>
    <row r="938" ht="12.7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c r="AF938" s="177"/>
      <c r="AG938" s="177"/>
    </row>
    <row r="939" ht="12.7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c r="AF939" s="177"/>
      <c r="AG939" s="177"/>
    </row>
    <row r="940" ht="12.7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c r="AF940" s="177"/>
      <c r="AG940" s="177"/>
    </row>
    <row r="941" ht="12.7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c r="AF941" s="177"/>
      <c r="AG941" s="177"/>
    </row>
    <row r="942" ht="12.7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c r="AF942" s="177"/>
      <c r="AG942" s="177"/>
    </row>
    <row r="943" ht="12.7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c r="AF943" s="177"/>
      <c r="AG943" s="177"/>
    </row>
    <row r="944" ht="12.7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c r="AF944" s="177"/>
      <c r="AG944" s="177"/>
    </row>
    <row r="945" ht="12.7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c r="AF945" s="177"/>
      <c r="AG945" s="177"/>
    </row>
    <row r="946" ht="12.7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c r="AF946" s="177"/>
      <c r="AG946" s="177"/>
    </row>
    <row r="947" ht="12.7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c r="AF947" s="177"/>
      <c r="AG947" s="177"/>
    </row>
    <row r="948" ht="12.7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c r="AF948" s="177"/>
      <c r="AG948" s="177"/>
    </row>
    <row r="949" ht="12.7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c r="AF949" s="177"/>
      <c r="AG949" s="177"/>
    </row>
    <row r="950" ht="12.7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c r="AF950" s="177"/>
      <c r="AG950" s="177"/>
    </row>
    <row r="951" ht="12.7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c r="AF951" s="177"/>
      <c r="AG951" s="177"/>
    </row>
    <row r="952" ht="12.7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c r="AF952" s="177"/>
      <c r="AG952" s="177"/>
    </row>
    <row r="953" ht="12.7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c r="AF953" s="177"/>
      <c r="AG953" s="177"/>
    </row>
    <row r="954" ht="12.7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c r="AF954" s="177"/>
      <c r="AG954" s="177"/>
    </row>
    <row r="955" ht="12.7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c r="AF955" s="177"/>
      <c r="AG955" s="177"/>
    </row>
    <row r="956" ht="12.7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c r="AF956" s="177"/>
      <c r="AG956" s="177"/>
    </row>
    <row r="957" ht="12.7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c r="AF957" s="177"/>
      <c r="AG957" s="177"/>
    </row>
    <row r="958" ht="12.7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c r="AF958" s="177"/>
      <c r="AG958" s="177"/>
    </row>
    <row r="959" ht="12.7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c r="AF959" s="177"/>
      <c r="AG959" s="177"/>
    </row>
    <row r="960" ht="12.7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c r="AF960" s="177"/>
      <c r="AG960" s="177"/>
    </row>
    <row r="961" ht="12.7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c r="AF961" s="177"/>
      <c r="AG961" s="177"/>
    </row>
    <row r="962" ht="12.7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c r="AF962" s="177"/>
      <c r="AG962" s="177"/>
    </row>
    <row r="963" ht="12.7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c r="AF963" s="177"/>
      <c r="AG963" s="177"/>
    </row>
    <row r="964" ht="12.7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c r="AF964" s="177"/>
      <c r="AG964" s="177"/>
    </row>
    <row r="965" ht="12.7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c r="AF965" s="177"/>
      <c r="AG965" s="177"/>
    </row>
    <row r="966" ht="12.7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c r="AF966" s="177"/>
      <c r="AG966" s="177"/>
    </row>
    <row r="967" ht="12.7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c r="AF967" s="177"/>
      <c r="AG967" s="177"/>
    </row>
    <row r="968" ht="12.7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c r="AF968" s="177"/>
      <c r="AG968" s="177"/>
    </row>
    <row r="969" ht="12.7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c r="AF969" s="177"/>
      <c r="AG969" s="177"/>
    </row>
    <row r="970" ht="12.7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c r="AF970" s="177"/>
      <c r="AG970" s="177"/>
    </row>
    <row r="971" ht="12.7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c r="AF971" s="177"/>
      <c r="AG971" s="177"/>
    </row>
    <row r="972" ht="12.7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c r="AF972" s="177"/>
      <c r="AG972" s="177"/>
    </row>
    <row r="973" ht="12.7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c r="AF973" s="177"/>
      <c r="AG973" s="177"/>
    </row>
    <row r="974" ht="12.7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c r="AF974" s="177"/>
      <c r="AG974" s="177"/>
    </row>
    <row r="975" ht="12.7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c r="AF975" s="177"/>
      <c r="AG975" s="177"/>
    </row>
    <row r="976" ht="12.7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c r="AF976" s="177"/>
      <c r="AG976" s="177"/>
    </row>
    <row r="977" ht="12.7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c r="AF977" s="177"/>
      <c r="AG977" s="177"/>
    </row>
    <row r="978" ht="12.7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c r="AF978" s="177"/>
      <c r="AG978" s="177"/>
    </row>
    <row r="979" ht="12.7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c r="AF979" s="177"/>
      <c r="AG979" s="177"/>
    </row>
    <row r="980" ht="12.7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c r="AF980" s="177"/>
      <c r="AG980" s="177"/>
    </row>
    <row r="981" ht="12.7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c r="AF981" s="177"/>
      <c r="AG981" s="177"/>
    </row>
    <row r="982" ht="12.7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c r="AF982" s="177"/>
      <c r="AG982" s="177"/>
    </row>
    <row r="983" ht="12.7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c r="AF983" s="177"/>
      <c r="AG983" s="177"/>
    </row>
    <row r="984" ht="12.7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c r="AF984" s="177"/>
      <c r="AG984" s="177"/>
    </row>
    <row r="985" ht="12.7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c r="AF985" s="177"/>
      <c r="AG985" s="177"/>
    </row>
    <row r="986" ht="12.7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c r="AF986" s="177"/>
      <c r="AG986" s="177"/>
    </row>
    <row r="987" ht="12.7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c r="AF987" s="177"/>
      <c r="AG987" s="177"/>
    </row>
    <row r="988" ht="12.7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c r="AF988" s="177"/>
      <c r="AG988" s="177"/>
    </row>
    <row r="989" ht="12.7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c r="AF989" s="177"/>
      <c r="AG989" s="177"/>
    </row>
    <row r="990" ht="12.7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c r="AF990" s="177"/>
      <c r="AG990" s="177"/>
    </row>
    <row r="991" ht="12.7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c r="AF991" s="177"/>
      <c r="AG991" s="177"/>
    </row>
    <row r="992" ht="12.7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c r="AF992" s="177"/>
      <c r="AG992" s="177"/>
    </row>
    <row r="993" ht="12.7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c r="AF993" s="177"/>
      <c r="AG993" s="177"/>
    </row>
    <row r="994" ht="12.7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c r="AF994" s="177"/>
      <c r="AG994" s="177"/>
    </row>
    <row r="995" ht="12.7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c r="AF995" s="177"/>
      <c r="AG995" s="177"/>
    </row>
    <row r="996" ht="12.7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c r="AF996" s="177"/>
      <c r="AG996" s="177"/>
    </row>
    <row r="997" ht="12.7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c r="AF997" s="177"/>
      <c r="AG997" s="177"/>
    </row>
    <row r="998" ht="12.7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c r="AF998" s="177"/>
      <c r="AG998" s="177"/>
    </row>
    <row r="999" ht="12.7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c r="AF999" s="177"/>
      <c r="AG999" s="177"/>
    </row>
    <row r="1000" ht="12.7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c r="AF1000" s="177"/>
      <c r="AG1000" s="177"/>
    </row>
  </sheetData>
  <mergeCells count="11">
    <mergeCell ref="A7:C7"/>
    <mergeCell ref="D7:O7"/>
    <mergeCell ref="B8:L9"/>
    <mergeCell ref="M8:AG9"/>
    <mergeCell ref="A1:O1"/>
    <mergeCell ref="A4:H4"/>
    <mergeCell ref="I4:O4"/>
    <mergeCell ref="A5:I5"/>
    <mergeCell ref="J5:O5"/>
    <mergeCell ref="A6:I6"/>
    <mergeCell ref="J6:O6"/>
  </mergeCells>
  <printOptions/>
  <pageMargins bottom="0.0" footer="0.0" header="0.0" left="0.0393701" right="0.0" top="0.0"/>
  <pageSetup scale="25" orientation="landscape"/>
  <headerFooter>
    <oddFooter>&amp;C000000&amp;P</oddFooter>
  </headerFooter>
  <drawing r:id="rId1"/>
</worksheet>
</file>